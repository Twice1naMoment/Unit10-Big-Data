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reyes\Downloads\"/>
    </mc:Choice>
  </mc:AlternateContent>
  <xr:revisionPtr revIDLastSave="0" documentId="8_{ED59BD1A-FBB2-48A2-BC6E-D6B453F92BE9}" xr6:coauthVersionLast="47" xr6:coauthVersionMax="47" xr10:uidLastSave="{00000000-0000-0000-0000-000000000000}"/>
  <bookViews>
    <workbookView xWindow="-120" yWindow="-120" windowWidth="38640" windowHeight="21840" tabRatio="792" activeTab="14" xr2:uid="{B33DFF4F-1EE2-4C04-B9C1-546B915AF3CC}"/>
  </bookViews>
  <sheets>
    <sheet name="Index" sheetId="53" r:id="rId1"/>
    <sheet name="Table 7" sheetId="54" r:id="rId2"/>
    <sheet name="Table 8" sheetId="55" r:id="rId3"/>
    <sheet name="Table 9" sheetId="56" r:id="rId4"/>
    <sheet name="Table 10a" sheetId="57" r:id="rId5"/>
    <sheet name="Table 10b" sheetId="58" r:id="rId6"/>
    <sheet name="Table 11" sheetId="59" r:id="rId7"/>
    <sheet name="Table 12" sheetId="60" r:id="rId8"/>
    <sheet name="Table 13" sheetId="61" r:id="rId9"/>
    <sheet name="Table 14" sheetId="62" r:id="rId10"/>
    <sheet name="Table 15" sheetId="63" r:id="rId11"/>
    <sheet name="Table 16 data" sheetId="48" state="hidden" r:id="rId12"/>
    <sheet name="Table 16" sheetId="47" r:id="rId13"/>
    <sheet name="GCSE Data Set - Girls" sheetId="65" r:id="rId14"/>
    <sheet name="GCSE Data Set - Boys" sheetId="66" r:id="rId15"/>
    <sheet name="Table 17" sheetId="28" r:id="rId16"/>
    <sheet name="Table 17 data" sheetId="50" state="hidden" r:id="rId17"/>
    <sheet name="Table 18" sheetId="29" r:id="rId18"/>
    <sheet name="Table 19" sheetId="51" r:id="rId19"/>
    <sheet name="Table 19 data" sheetId="30" state="hidden" r:id="rId20"/>
    <sheet name="Table 20" sheetId="52" r:id="rId21"/>
    <sheet name="Table 21" sheetId="64" r:id="rId22"/>
    <sheet name="Table 20 data" sheetId="31" state="hidden" r:id="rId23"/>
  </sheets>
  <externalReferences>
    <externalReference r:id="rId24"/>
    <externalReference r:id="rId25"/>
  </externalReferences>
  <definedNames>
    <definedName name="EngMaths" localSheetId="21">'[1]Table 19 data'!$A$205:$A$206</definedName>
    <definedName name="EngMaths">'Table 19 data'!$A$205:$A$206</definedName>
    <definedName name="Gender" localSheetId="21">'[1]Table 16 data'!$B$170:$B$172</definedName>
    <definedName name="Gender">'Table 16 data'!$B$170:$B$172</definedName>
    <definedName name="_xlnm.Print_Area" localSheetId="4">'Table 10a'!$A$1:$Q$105</definedName>
    <definedName name="_xlnm.Print_Area" localSheetId="5">'Table 10b'!$A$1:$F$100</definedName>
    <definedName name="_xlnm.Print_Area" localSheetId="6">'Table 11'!$A$1:$M$94</definedName>
    <definedName name="_xlnm.Print_Area" localSheetId="7">'Table 12'!$A$1:$M$39</definedName>
    <definedName name="_xlnm.Print_Area" localSheetId="8">'Table 13'!$A$1:$T$28</definedName>
    <definedName name="_xlnm.Print_Area" localSheetId="9">'Table 14'!$A$1:$L$40</definedName>
    <definedName name="_xlnm.Print_Area" localSheetId="10">'Table 15'!$A$1:$I$30</definedName>
    <definedName name="_xlnm.Print_Area" localSheetId="12">'Table 16'!$A$1:$L$191</definedName>
    <definedName name="_xlnm.Print_Area" localSheetId="15">'Table 17'!$A$1:$J$196</definedName>
    <definedName name="_xlnm.Print_Area" localSheetId="16">'Table 17 data'!$A$1:$S$191</definedName>
    <definedName name="_xlnm.Print_Area" localSheetId="17">'Table 18'!$A$1:$R$194</definedName>
    <definedName name="_xlnm.Print_Area" localSheetId="18">'Table 19'!$A$1:$L$194</definedName>
    <definedName name="_xlnm.Print_Area" localSheetId="19">'Table 19 data'!$A$1:$W$193</definedName>
    <definedName name="_xlnm.Print_Area" localSheetId="20">'Table 20'!$A$1:$L$194</definedName>
    <definedName name="_xlnm.Print_Area" localSheetId="22">'Table 20 data'!$A$1:$W$193</definedName>
    <definedName name="_xlnm.Print_Area" localSheetId="21">'Table 21'!$A$1:$E$190</definedName>
    <definedName name="_xlnm.Print_Area" localSheetId="1">'Table 7'!$A$1:$L$100</definedName>
    <definedName name="_xlnm.Print_Area" localSheetId="2">'Table 8'!$A$1:$L$100</definedName>
    <definedName name="_xlnm.Print_Area" localSheetId="3">'Table 9'!$A$1:$L$102</definedName>
    <definedName name="_xlnm.Print_Titles" localSheetId="4">'Table 10a'!$4:$5</definedName>
    <definedName name="_xlnm.Print_Titles" localSheetId="5">'Table 10b'!$4:$5</definedName>
    <definedName name="_xlnm.Print_Titles" localSheetId="12">'Table 16'!$4:$6</definedName>
    <definedName name="_xlnm.Print_Titles" localSheetId="15">'Table 17'!$4:$7</definedName>
    <definedName name="_xlnm.Print_Titles" localSheetId="16">'Table 17 data'!$4:$7</definedName>
    <definedName name="_xlnm.Print_Titles" localSheetId="17">'Table 18'!$4:$7</definedName>
    <definedName name="_xlnm.Print_Titles" localSheetId="18">'Table 19'!$4:$7</definedName>
    <definedName name="_xlnm.Print_Titles" localSheetId="19">'Table 19 data'!$4:$7</definedName>
    <definedName name="_xlnm.Print_Titles" localSheetId="20">'Table 20'!$4:$7</definedName>
    <definedName name="_xlnm.Print_Titles" localSheetId="22">'Table 20 data'!$4:$7</definedName>
    <definedName name="_xlnm.Print_Titles" localSheetId="21">'Table 21'!$1:$7</definedName>
    <definedName name="_xlnm.Print_Titles" localSheetId="1">'Table 7'!$4:$6</definedName>
    <definedName name="_xlnm.Print_Titles" localSheetId="2">'Table 8'!$4:$6</definedName>
    <definedName name="_xlnm.Print_Titles" localSheetId="3">'Table 9'!$4:$6</definedName>
    <definedName name="qa">'[2]Table 16 data'!$B$3:$AI$167</definedName>
    <definedName name="T16Percentage" localSheetId="21">'[1]Table 16 data'!$B$3:$AI$167</definedName>
    <definedName name="T16Percentage">'Table 16 data'!$B$3:$AI$167</definedName>
    <definedName name="Table17dropdown" localSheetId="21">'[1]Table 16 data'!$B$175:$B$176</definedName>
    <definedName name="Table17dropdown">'Table 16 data'!$B$175:$B$176</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86" i="50" l="1"/>
  <c r="J186" i="50"/>
  <c r="S107" i="50"/>
  <c r="S184" i="50"/>
  <c r="J184" i="50"/>
  <c r="S180" i="50"/>
  <c r="S179" i="50"/>
  <c r="S177" i="50"/>
  <c r="J175" i="50"/>
  <c r="S173" i="50"/>
  <c r="S171" i="50"/>
  <c r="J171" i="50"/>
  <c r="S168" i="50"/>
  <c r="S167" i="50"/>
  <c r="J167" i="50"/>
  <c r="S163" i="50"/>
  <c r="S162" i="50"/>
  <c r="J162" i="50"/>
  <c r="S158" i="50"/>
  <c r="S154" i="50"/>
  <c r="J154" i="50"/>
  <c r="S152" i="50"/>
  <c r="S151" i="50"/>
  <c r="S150" i="50"/>
  <c r="S147" i="50"/>
  <c r="S146" i="50"/>
  <c r="S142" i="50"/>
  <c r="S141" i="50"/>
  <c r="S139" i="50"/>
  <c r="S138" i="50"/>
  <c r="S137" i="50"/>
  <c r="S135" i="50"/>
  <c r="S134" i="50"/>
  <c r="S133" i="50"/>
  <c r="J133" i="50"/>
  <c r="S131" i="50"/>
  <c r="S130" i="50"/>
  <c r="S129" i="50"/>
  <c r="S125" i="50"/>
  <c r="S121" i="50"/>
  <c r="S120" i="50"/>
  <c r="J120" i="50"/>
  <c r="S117" i="50"/>
  <c r="S116" i="50"/>
  <c r="J116" i="50"/>
  <c r="S114" i="50"/>
  <c r="S113" i="50"/>
  <c r="S112" i="50"/>
  <c r="S109" i="50"/>
  <c r="S108" i="50"/>
  <c r="S105" i="50"/>
  <c r="J105" i="50"/>
  <c r="S102" i="50"/>
  <c r="S101" i="50"/>
  <c r="J101" i="50"/>
  <c r="S99" i="50"/>
  <c r="S98" i="50"/>
  <c r="S97" i="50"/>
  <c r="J97" i="50"/>
  <c r="S95" i="50"/>
  <c r="S93" i="50"/>
  <c r="J91" i="50"/>
  <c r="S89" i="50"/>
  <c r="S88" i="50"/>
  <c r="S87" i="50"/>
  <c r="J87" i="50"/>
  <c r="S85" i="50"/>
  <c r="S84" i="50"/>
  <c r="S83" i="50"/>
  <c r="S81" i="50"/>
  <c r="S79" i="50"/>
  <c r="J79" i="50"/>
  <c r="S75" i="50"/>
  <c r="S74" i="50"/>
  <c r="J74" i="50"/>
  <c r="S71" i="50"/>
  <c r="S70" i="50"/>
  <c r="S68" i="50"/>
  <c r="S67" i="50"/>
  <c r="S66" i="50"/>
  <c r="S62" i="50"/>
  <c r="S61" i="50"/>
  <c r="J61" i="50"/>
  <c r="S58" i="50"/>
  <c r="S57" i="50"/>
  <c r="S54" i="50"/>
  <c r="S53" i="50"/>
  <c r="J53" i="50"/>
  <c r="S51" i="50"/>
  <c r="S50" i="50"/>
  <c r="S49" i="50"/>
  <c r="S45" i="50"/>
  <c r="S44" i="50"/>
  <c r="J44" i="50"/>
  <c r="S42" i="50"/>
  <c r="S41" i="50"/>
  <c r="S40" i="50"/>
  <c r="S38" i="50"/>
  <c r="S37" i="50"/>
  <c r="S36" i="50"/>
  <c r="J36" i="50"/>
  <c r="S34" i="50"/>
  <c r="S33" i="50"/>
  <c r="S32" i="50"/>
  <c r="J32" i="50"/>
  <c r="S30" i="50"/>
  <c r="S29" i="50"/>
  <c r="S27" i="50"/>
  <c r="J27" i="50"/>
  <c r="S25" i="50"/>
  <c r="S24" i="50"/>
  <c r="S23" i="50"/>
  <c r="S19" i="50"/>
  <c r="S18" i="50"/>
  <c r="J18" i="50"/>
  <c r="S16" i="50"/>
  <c r="S15" i="50"/>
  <c r="S14" i="50"/>
  <c r="S12" i="50"/>
  <c r="S10" i="50"/>
  <c r="B4" i="52"/>
  <c r="B4" i="51"/>
  <c r="B198" i="31"/>
  <c r="C198" i="31"/>
  <c r="C5" i="52"/>
  <c r="B4" i="31"/>
  <c r="C4" i="31"/>
  <c r="D4" i="31"/>
  <c r="B4" i="30"/>
  <c r="C4" i="30"/>
  <c r="D4" i="30"/>
  <c r="E4" i="30"/>
  <c r="F4" i="30"/>
  <c r="G4" i="30"/>
  <c r="C5" i="51"/>
  <c r="B204" i="30"/>
  <c r="C204" i="30"/>
  <c r="C174" i="48"/>
  <c r="C6" i="28"/>
  <c r="J9" i="50"/>
  <c r="D4" i="50"/>
  <c r="C4" i="47"/>
  <c r="C52" i="47" s="1"/>
  <c r="J41" i="50"/>
  <c r="J11" i="50"/>
  <c r="C1" i="48"/>
  <c r="D1" i="48"/>
  <c r="S170" i="50"/>
  <c r="J143" i="50"/>
  <c r="S90" i="50"/>
  <c r="S159" i="50"/>
  <c r="J176" i="50"/>
  <c r="J109" i="50"/>
  <c r="J40" i="50"/>
  <c r="S161" i="50"/>
  <c r="J159" i="50"/>
  <c r="J24" i="50"/>
  <c r="J142" i="50"/>
  <c r="S128" i="50"/>
  <c r="J126" i="50"/>
  <c r="J57" i="50"/>
  <c r="J145" i="50"/>
  <c r="S39" i="50"/>
  <c r="J75" i="50"/>
  <c r="J15" i="50"/>
  <c r="S126" i="50"/>
  <c r="S136" i="50"/>
  <c r="J178" i="50"/>
  <c r="J111" i="50"/>
  <c r="J42" i="50"/>
  <c r="J77" i="50"/>
  <c r="S176" i="50"/>
  <c r="S56" i="50"/>
  <c r="S73" i="50"/>
  <c r="J177" i="50"/>
  <c r="J110" i="50"/>
  <c r="S91" i="50"/>
  <c r="S127" i="50"/>
  <c r="S160" i="50"/>
  <c r="J151" i="50"/>
  <c r="J117" i="50"/>
  <c r="J83" i="50"/>
  <c r="J49" i="50"/>
  <c r="J16" i="50"/>
  <c r="J33" i="50"/>
  <c r="J50" i="50"/>
  <c r="J67" i="50"/>
  <c r="J84" i="50"/>
  <c r="J118" i="50"/>
  <c r="J135" i="50"/>
  <c r="J152" i="50"/>
  <c r="J169" i="50"/>
  <c r="S169" i="50"/>
  <c r="S118" i="50"/>
  <c r="S100" i="50"/>
  <c r="J17" i="50"/>
  <c r="J34" i="50"/>
  <c r="J51" i="50"/>
  <c r="J68" i="50"/>
  <c r="J85" i="50"/>
  <c r="J102" i="50"/>
  <c r="J119" i="50"/>
  <c r="J136" i="50"/>
  <c r="J153" i="50"/>
  <c r="J170" i="50"/>
  <c r="S82" i="50"/>
  <c r="S64" i="50"/>
  <c r="S47" i="50"/>
  <c r="S31" i="50"/>
  <c r="J19" i="50"/>
  <c r="J70" i="50"/>
  <c r="J104" i="50"/>
  <c r="J121" i="50"/>
  <c r="J138" i="50"/>
  <c r="J155" i="50"/>
  <c r="J172" i="50"/>
  <c r="S182" i="50"/>
  <c r="S166" i="50"/>
  <c r="S149" i="50"/>
  <c r="S132" i="50"/>
  <c r="S115" i="50"/>
  <c r="S80" i="50"/>
  <c r="S110" i="50"/>
  <c r="S143" i="50"/>
  <c r="J168" i="50"/>
  <c r="J134" i="50"/>
  <c r="J100" i="50"/>
  <c r="J66" i="50"/>
  <c r="S111" i="50"/>
  <c r="S145" i="50"/>
  <c r="S178" i="50"/>
  <c r="J161" i="50"/>
  <c r="J128" i="50"/>
  <c r="J94" i="50"/>
  <c r="J59" i="50"/>
  <c r="J26" i="50"/>
  <c r="S119" i="50"/>
  <c r="S153" i="50"/>
  <c r="J160" i="50"/>
  <c r="J127" i="50"/>
  <c r="J93" i="50"/>
  <c r="J58" i="50"/>
  <c r="J25" i="50"/>
  <c r="S20" i="50"/>
  <c r="S124" i="50"/>
  <c r="S140" i="50"/>
  <c r="S157" i="50"/>
  <c r="S174" i="50"/>
  <c r="J180" i="50"/>
  <c r="J163" i="50"/>
  <c r="J147" i="50"/>
  <c r="J130" i="50"/>
  <c r="J113" i="50"/>
  <c r="J96" i="50"/>
  <c r="J28" i="50"/>
  <c r="J12" i="50"/>
  <c r="S13" i="50"/>
  <c r="S21" i="50"/>
  <c r="S46" i="50"/>
  <c r="S55" i="50"/>
  <c r="S63" i="50"/>
  <c r="S72" i="50"/>
  <c r="S175" i="50"/>
  <c r="J179" i="50"/>
  <c r="J146" i="50"/>
  <c r="J137" i="50"/>
  <c r="J129" i="50"/>
  <c r="J112" i="50"/>
  <c r="J103" i="50"/>
  <c r="J95" i="50"/>
  <c r="J86" i="50"/>
  <c r="J78" i="50"/>
  <c r="J69" i="50"/>
  <c r="J60" i="50"/>
  <c r="J52" i="50"/>
  <c r="J43" i="50"/>
  <c r="J35" i="50"/>
  <c r="J10" i="50"/>
  <c r="S9" i="50"/>
  <c r="S17" i="50"/>
  <c r="S26" i="50"/>
  <c r="S59" i="50"/>
  <c r="S77" i="50"/>
  <c r="S94" i="50"/>
  <c r="J158" i="50"/>
  <c r="J150" i="50"/>
  <c r="J141" i="50"/>
  <c r="J125" i="50"/>
  <c r="J108" i="50"/>
  <c r="J99" i="50"/>
  <c r="J90" i="50"/>
  <c r="J82" i="50"/>
  <c r="J73" i="50"/>
  <c r="J64" i="50"/>
  <c r="J56" i="50"/>
  <c r="J47" i="50"/>
  <c r="J39" i="50"/>
  <c r="J31" i="50"/>
  <c r="J23" i="50"/>
  <c r="J14" i="50"/>
  <c r="S35" i="50"/>
  <c r="S43" i="50"/>
  <c r="S52" i="50"/>
  <c r="S60" i="50"/>
  <c r="S69" i="50"/>
  <c r="S78" i="50"/>
  <c r="S86" i="50"/>
  <c r="S103" i="50"/>
  <c r="S155" i="50"/>
  <c r="S172" i="50"/>
  <c r="J182" i="50"/>
  <c r="J174" i="50"/>
  <c r="J166" i="50"/>
  <c r="J157" i="50"/>
  <c r="J149" i="50"/>
  <c r="J140" i="50"/>
  <c r="J132" i="50"/>
  <c r="J124" i="50"/>
  <c r="J115" i="50"/>
  <c r="J107" i="50"/>
  <c r="J98" i="50"/>
  <c r="J89" i="50"/>
  <c r="J81" i="50"/>
  <c r="J72" i="50"/>
  <c r="J63" i="50"/>
  <c r="J55" i="50"/>
  <c r="J46" i="50"/>
  <c r="J38" i="50"/>
  <c r="J30" i="50"/>
  <c r="J21" i="50"/>
  <c r="J13" i="50"/>
  <c r="S11" i="50"/>
  <c r="S28" i="50"/>
  <c r="S96" i="50"/>
  <c r="S104" i="50"/>
  <c r="S122" i="50"/>
  <c r="S148" i="50"/>
  <c r="S156" i="50"/>
  <c r="S164" i="50"/>
  <c r="S181" i="50"/>
  <c r="J181" i="50"/>
  <c r="J173" i="50"/>
  <c r="J164" i="50"/>
  <c r="J156" i="50"/>
  <c r="J148" i="50"/>
  <c r="J139" i="50"/>
  <c r="J131" i="50"/>
  <c r="J122" i="50"/>
  <c r="J114" i="50"/>
  <c r="J88" i="50"/>
  <c r="J80" i="50"/>
  <c r="J71" i="50"/>
  <c r="J62" i="50"/>
  <c r="J54" i="50"/>
  <c r="J45" i="50"/>
  <c r="J37" i="50"/>
  <c r="J29" i="50"/>
  <c r="J20" i="50"/>
  <c r="E4" i="50"/>
  <c r="F4" i="50"/>
  <c r="G4" i="50"/>
  <c r="H4" i="50"/>
  <c r="I4" i="50"/>
  <c r="J4" i="50"/>
  <c r="K4" i="50"/>
  <c r="L4" i="50"/>
  <c r="M4" i="50"/>
  <c r="N4" i="50"/>
  <c r="O4" i="50"/>
  <c r="P4" i="50"/>
  <c r="Q4" i="50"/>
  <c r="R4" i="50"/>
  <c r="S4" i="50"/>
  <c r="C165" i="52"/>
  <c r="C71" i="52"/>
  <c r="C162" i="52"/>
  <c r="C122" i="52"/>
  <c r="D159" i="52"/>
  <c r="C49" i="52"/>
  <c r="D52" i="52"/>
  <c r="D25" i="52"/>
  <c r="C46" i="52"/>
  <c r="C126" i="52"/>
  <c r="D184" i="52"/>
  <c r="E106" i="51"/>
  <c r="D154" i="51"/>
  <c r="C29" i="52"/>
  <c r="C17" i="52"/>
  <c r="C140" i="52"/>
  <c r="C19" i="52"/>
  <c r="C145" i="52"/>
  <c r="D61" i="52"/>
  <c r="D73" i="52"/>
  <c r="D172" i="52"/>
  <c r="C11" i="52"/>
  <c r="D165" i="52"/>
  <c r="D148" i="52"/>
  <c r="C175" i="52"/>
  <c r="C20" i="52"/>
  <c r="D18" i="52"/>
  <c r="C133" i="52"/>
  <c r="C125" i="52"/>
  <c r="D97" i="52"/>
  <c r="C109" i="52"/>
  <c r="D150" i="52"/>
  <c r="D11" i="52"/>
  <c r="C35" i="52"/>
  <c r="D134" i="52"/>
  <c r="C168" i="52"/>
  <c r="D28" i="52"/>
  <c r="D171" i="52"/>
  <c r="C100" i="52"/>
  <c r="D169" i="52"/>
  <c r="C56" i="52"/>
  <c r="C153" i="52"/>
  <c r="D129" i="52"/>
  <c r="D26" i="52"/>
  <c r="D126" i="52"/>
  <c r="C89" i="52"/>
  <c r="D58" i="52"/>
  <c r="G39" i="51"/>
  <c r="D149" i="51"/>
  <c r="D79" i="51"/>
  <c r="F71" i="51"/>
  <c r="F97" i="51"/>
  <c r="G24" i="51"/>
  <c r="F18" i="51"/>
  <c r="G42" i="51"/>
  <c r="F73" i="51"/>
  <c r="G31" i="51"/>
  <c r="F140" i="51"/>
  <c r="C154" i="51"/>
  <c r="E69" i="51"/>
  <c r="E175" i="51"/>
  <c r="D73" i="51"/>
  <c r="C51" i="52"/>
  <c r="D141" i="52"/>
  <c r="C152" i="52"/>
  <c r="C23" i="52"/>
  <c r="C158" i="47"/>
  <c r="C163" i="47"/>
  <c r="C42" i="47"/>
  <c r="C157" i="47"/>
  <c r="C94" i="47"/>
  <c r="C142" i="47"/>
  <c r="C57" i="47"/>
  <c r="C124" i="47"/>
  <c r="C50" i="47"/>
  <c r="C37" i="47"/>
  <c r="C138" i="47"/>
  <c r="C140" i="47"/>
  <c r="C45" i="47"/>
  <c r="C150" i="47"/>
  <c r="C117" i="47"/>
  <c r="C65" i="47"/>
  <c r="C100" i="47"/>
  <c r="C98" i="47"/>
  <c r="C176" i="47"/>
  <c r="D157" i="52"/>
  <c r="C72" i="52"/>
  <c r="C114" i="52"/>
  <c r="D40" i="52"/>
  <c r="D168" i="52"/>
  <c r="D102" i="52"/>
  <c r="D10" i="52"/>
  <c r="D56" i="52"/>
  <c r="C143" i="52"/>
  <c r="D175" i="52"/>
  <c r="C180" i="52"/>
  <c r="C107" i="52"/>
  <c r="C119" i="52"/>
  <c r="C70" i="52"/>
  <c r="C173" i="52"/>
  <c r="C141" i="52"/>
  <c r="D27" i="52"/>
  <c r="D36" i="52"/>
  <c r="D46" i="52"/>
  <c r="D111" i="52"/>
  <c r="C60" i="52"/>
  <c r="D12" i="52"/>
  <c r="C129" i="52"/>
  <c r="D140" i="52"/>
  <c r="C150" i="52"/>
  <c r="D41" i="52"/>
  <c r="C154" i="52"/>
  <c r="C10" i="52"/>
  <c r="D114" i="52"/>
  <c r="C182" i="52"/>
  <c r="C63" i="52"/>
  <c r="C148" i="52"/>
  <c r="C96" i="52"/>
  <c r="D72" i="52"/>
  <c r="C177" i="52"/>
  <c r="C65" i="52"/>
  <c r="C79" i="52"/>
  <c r="D107" i="52"/>
  <c r="C83" i="52"/>
  <c r="D35" i="52"/>
  <c r="C59" i="52"/>
  <c r="D147" i="52"/>
  <c r="D174" i="52"/>
  <c r="C139" i="52"/>
  <c r="D164" i="52"/>
  <c r="C37" i="52"/>
  <c r="C68" i="52"/>
  <c r="C103" i="52"/>
  <c r="D71" i="52"/>
  <c r="D113" i="52"/>
  <c r="D177" i="52"/>
  <c r="D118" i="52"/>
  <c r="D17" i="52"/>
  <c r="D103" i="52"/>
  <c r="D122" i="52"/>
  <c r="D179" i="52"/>
  <c r="C160" i="52"/>
  <c r="D133" i="52"/>
  <c r="C61" i="52"/>
  <c r="D132" i="52"/>
  <c r="C115" i="52"/>
  <c r="C112" i="52"/>
  <c r="D83" i="52"/>
  <c r="D15" i="52"/>
  <c r="C157" i="52"/>
  <c r="C67" i="52"/>
  <c r="C42" i="52"/>
  <c r="C80" i="52"/>
  <c r="D127" i="52"/>
  <c r="C124" i="52"/>
  <c r="C25" i="52"/>
  <c r="C144" i="52"/>
  <c r="D166" i="52"/>
  <c r="C108" i="52"/>
  <c r="C24" i="52"/>
  <c r="D54" i="52"/>
  <c r="C156" i="52"/>
  <c r="C174" i="52"/>
  <c r="C57" i="52"/>
  <c r="C106" i="52"/>
  <c r="D19" i="52"/>
  <c r="C44" i="52"/>
  <c r="D143" i="52"/>
  <c r="D85" i="52"/>
  <c r="D146" i="52"/>
  <c r="D51" i="52"/>
  <c r="C21" i="52"/>
  <c r="D30" i="52"/>
  <c r="D180" i="52"/>
  <c r="D162" i="52"/>
  <c r="D21" i="52"/>
  <c r="D153" i="52"/>
  <c r="D105" i="52"/>
  <c r="C76" i="52"/>
  <c r="C134" i="52"/>
  <c r="C178" i="52"/>
  <c r="D94" i="52"/>
  <c r="C120" i="52"/>
  <c r="C90" i="52"/>
  <c r="C111" i="52"/>
  <c r="D76" i="52"/>
  <c r="D128" i="52"/>
  <c r="C117" i="52"/>
  <c r="C130" i="52"/>
  <c r="D69" i="52"/>
  <c r="C55" i="52"/>
  <c r="D59" i="52"/>
  <c r="D108" i="52"/>
  <c r="D89" i="52"/>
  <c r="C48" i="52"/>
  <c r="D149" i="52"/>
  <c r="D63" i="52"/>
  <c r="D84" i="52"/>
  <c r="D38" i="52"/>
  <c r="C155" i="52"/>
  <c r="C110" i="52"/>
  <c r="C164" i="52"/>
  <c r="C26" i="52"/>
  <c r="C34" i="52"/>
  <c r="C95" i="52"/>
  <c r="C38" i="52"/>
  <c r="D53" i="52"/>
  <c r="D65" i="52"/>
  <c r="C9" i="52"/>
  <c r="D155" i="52"/>
  <c r="C14" i="52"/>
  <c r="D55" i="52"/>
  <c r="C12" i="52"/>
  <c r="C81" i="52"/>
  <c r="D39" i="52"/>
  <c r="C66" i="52"/>
  <c r="C159" i="52"/>
  <c r="C172" i="52"/>
  <c r="D31" i="52"/>
  <c r="D23" i="52"/>
  <c r="D48" i="52"/>
  <c r="D37" i="52"/>
  <c r="C176" i="52"/>
  <c r="C123" i="52"/>
  <c r="D160" i="52"/>
  <c r="C36" i="52"/>
  <c r="D152" i="52"/>
  <c r="D173" i="52"/>
  <c r="D138" i="52"/>
  <c r="C137" i="52"/>
  <c r="D16" i="52"/>
  <c r="D156" i="52"/>
  <c r="D24" i="52"/>
  <c r="D43" i="52"/>
  <c r="D161" i="52"/>
  <c r="C147" i="52"/>
  <c r="D78" i="52"/>
  <c r="C15" i="52"/>
  <c r="C32" i="52"/>
  <c r="C161" i="52"/>
  <c r="D45" i="52"/>
  <c r="C98" i="52"/>
  <c r="D66" i="52"/>
  <c r="C136" i="52"/>
  <c r="C135" i="52"/>
  <c r="C77" i="52"/>
  <c r="D14" i="52"/>
  <c r="C102" i="52"/>
  <c r="D44" i="52"/>
  <c r="C128" i="52"/>
  <c r="D116" i="52"/>
  <c r="D29" i="52"/>
  <c r="C78" i="52"/>
  <c r="C170" i="52"/>
  <c r="C41" i="52"/>
  <c r="D95" i="52"/>
  <c r="C13" i="52"/>
  <c r="D158" i="52"/>
  <c r="C18" i="52"/>
  <c r="D137" i="52"/>
  <c r="C146" i="52"/>
  <c r="D144" i="52"/>
  <c r="D90" i="52"/>
  <c r="C69" i="52"/>
  <c r="C84" i="52"/>
  <c r="D92" i="52"/>
  <c r="C43" i="52"/>
  <c r="C113" i="52"/>
  <c r="D67" i="52"/>
  <c r="C50" i="52"/>
  <c r="D62" i="52"/>
  <c r="C86" i="52"/>
  <c r="D77" i="52"/>
  <c r="D13" i="52"/>
  <c r="C31" i="52"/>
  <c r="D136" i="52"/>
  <c r="D20" i="52"/>
  <c r="D49" i="52"/>
  <c r="D110" i="52"/>
  <c r="D74" i="52"/>
  <c r="C58" i="52"/>
  <c r="C85" i="52"/>
  <c r="D117" i="52"/>
  <c r="D79" i="52"/>
  <c r="C73" i="52"/>
  <c r="C54" i="52"/>
  <c r="C131" i="52"/>
  <c r="C127" i="52"/>
  <c r="C30" i="52"/>
  <c r="C118" i="52"/>
  <c r="G140" i="51"/>
  <c r="F165" i="51"/>
  <c r="C52" i="51"/>
  <c r="C29" i="47"/>
  <c r="E107" i="51"/>
  <c r="D100" i="51"/>
  <c r="F10" i="51"/>
  <c r="E15" i="51"/>
  <c r="F108" i="51"/>
  <c r="C164" i="51"/>
  <c r="E144" i="51"/>
  <c r="C143" i="51"/>
  <c r="G138" i="51"/>
  <c r="G34" i="51"/>
  <c r="D127" i="51"/>
  <c r="D135" i="51"/>
  <c r="E149" i="51"/>
  <c r="C157" i="51"/>
  <c r="C32" i="51"/>
  <c r="F57" i="51"/>
  <c r="E108" i="51"/>
  <c r="F67" i="51"/>
  <c r="G61" i="51"/>
  <c r="C102" i="51"/>
  <c r="C72" i="51"/>
  <c r="F109" i="51"/>
  <c r="C76" i="51"/>
  <c r="F184" i="51"/>
  <c r="E80" i="51"/>
  <c r="G109" i="51"/>
  <c r="G98" i="51"/>
  <c r="C18" i="51"/>
  <c r="G63" i="51"/>
  <c r="F23" i="51"/>
  <c r="D169" i="51"/>
  <c r="F138" i="51"/>
  <c r="G44" i="51"/>
  <c r="C54" i="51"/>
  <c r="D105" i="51"/>
  <c r="C134" i="51"/>
  <c r="C85" i="51"/>
  <c r="F49" i="51"/>
  <c r="E123" i="51"/>
  <c r="C38" i="51"/>
  <c r="F132" i="51"/>
  <c r="G33" i="51"/>
  <c r="C59" i="51"/>
  <c r="F149" i="51"/>
  <c r="E86" i="51"/>
  <c r="E28" i="51"/>
  <c r="F50" i="51"/>
  <c r="G131" i="51"/>
  <c r="G125" i="51"/>
  <c r="G95" i="51"/>
  <c r="G84" i="51"/>
  <c r="F76" i="51"/>
  <c r="F90" i="51"/>
  <c r="F111" i="51"/>
  <c r="D120" i="51"/>
  <c r="C126" i="51"/>
  <c r="D170" i="51"/>
  <c r="C103" i="51"/>
  <c r="C16" i="51"/>
  <c r="C49" i="51"/>
  <c r="D161" i="51"/>
  <c r="E118" i="51"/>
  <c r="C148" i="51"/>
  <c r="F160" i="51"/>
  <c r="F131" i="51"/>
  <c r="D39" i="51"/>
  <c r="E21" i="51"/>
  <c r="E42" i="51"/>
  <c r="D34" i="51"/>
  <c r="D134" i="51"/>
  <c r="D96" i="51"/>
  <c r="G51" i="51"/>
  <c r="G15" i="51"/>
  <c r="F26" i="51"/>
  <c r="C108" i="51"/>
  <c r="D111" i="51"/>
  <c r="C132" i="51"/>
  <c r="E182" i="51"/>
  <c r="E178" i="51"/>
  <c r="C81" i="51"/>
  <c r="C123" i="51"/>
  <c r="D35" i="51"/>
  <c r="G81" i="51"/>
  <c r="G26" i="51"/>
  <c r="D56" i="51"/>
  <c r="F126" i="51"/>
  <c r="C12" i="51"/>
  <c r="G141" i="51"/>
  <c r="E14" i="51"/>
  <c r="E56" i="51"/>
  <c r="C176" i="51"/>
  <c r="C29" i="51"/>
  <c r="C136" i="51"/>
  <c r="D106" i="51"/>
  <c r="G37" i="51"/>
  <c r="C67" i="51"/>
  <c r="F29" i="51"/>
  <c r="E101" i="51"/>
  <c r="D37" i="51"/>
  <c r="F120" i="51"/>
  <c r="E50" i="51"/>
  <c r="F85" i="51"/>
  <c r="F136" i="51"/>
  <c r="F134" i="51"/>
  <c r="D61" i="51"/>
  <c r="G86" i="51"/>
  <c r="C144" i="51"/>
  <c r="C129" i="51"/>
  <c r="G154" i="51"/>
  <c r="F17" i="51"/>
  <c r="G21" i="51"/>
  <c r="G102" i="51"/>
  <c r="C43" i="51"/>
  <c r="C179" i="51"/>
  <c r="C48" i="51"/>
  <c r="E161" i="51"/>
  <c r="F34" i="51"/>
  <c r="F44" i="51"/>
  <c r="E60" i="51"/>
  <c r="E13" i="51"/>
  <c r="D27" i="51"/>
  <c r="E26" i="51"/>
  <c r="C37" i="51"/>
  <c r="C41" i="51"/>
  <c r="D123" i="51"/>
  <c r="E102" i="51"/>
  <c r="D146" i="51"/>
  <c r="G139" i="51"/>
  <c r="D166" i="51"/>
  <c r="G9" i="51"/>
  <c r="E32" i="51"/>
  <c r="E184" i="51"/>
  <c r="G124" i="51"/>
  <c r="E179" i="51"/>
  <c r="C62" i="51"/>
  <c r="C106" i="51"/>
  <c r="G36" i="51"/>
  <c r="G135" i="51"/>
  <c r="G60" i="51"/>
  <c r="E176" i="51"/>
  <c r="D179" i="51"/>
  <c r="G59" i="51"/>
  <c r="F46" i="51"/>
  <c r="C92" i="51"/>
  <c r="F21" i="51"/>
  <c r="F152" i="51"/>
  <c r="G62" i="51"/>
  <c r="C122" i="51"/>
  <c r="F89" i="51"/>
  <c r="C174" i="51"/>
  <c r="G117" i="51"/>
  <c r="D70" i="51"/>
  <c r="F171" i="51"/>
  <c r="E157" i="51"/>
  <c r="F101" i="51"/>
  <c r="C50" i="51"/>
  <c r="C171" i="51"/>
  <c r="D31" i="51"/>
  <c r="D112" i="51"/>
  <c r="E134" i="51"/>
  <c r="C147" i="51"/>
  <c r="F32" i="51"/>
  <c r="G101" i="51"/>
  <c r="F106" i="51"/>
  <c r="D110" i="51"/>
  <c r="D168" i="51"/>
  <c r="F99" i="51"/>
  <c r="F135" i="51"/>
  <c r="C44" i="51"/>
  <c r="F133" i="51"/>
  <c r="D151" i="51"/>
  <c r="F177" i="51"/>
  <c r="D58" i="51"/>
  <c r="G92" i="51"/>
  <c r="C113" i="51"/>
  <c r="E110" i="51"/>
  <c r="D177" i="51"/>
  <c r="C19" i="51"/>
  <c r="C131" i="51"/>
  <c r="C10" i="51"/>
  <c r="G83" i="51"/>
  <c r="C150" i="51"/>
  <c r="E36" i="51"/>
  <c r="G67" i="51"/>
  <c r="G169" i="51"/>
  <c r="C24" i="51"/>
  <c r="F172" i="51"/>
  <c r="G162" i="51"/>
  <c r="F116" i="51"/>
  <c r="E41" i="51"/>
  <c r="C182" i="51"/>
  <c r="E34" i="51"/>
  <c r="F146" i="51"/>
  <c r="D103" i="51"/>
  <c r="E81" i="51"/>
  <c r="F170" i="51"/>
  <c r="F53" i="51"/>
  <c r="C46" i="51"/>
  <c r="F66" i="51"/>
  <c r="C65" i="51"/>
  <c r="D98" i="51"/>
  <c r="E168" i="51"/>
  <c r="F182" i="51"/>
  <c r="E114" i="51"/>
  <c r="D94" i="51"/>
  <c r="D113" i="51"/>
  <c r="F158" i="51"/>
  <c r="E132" i="51"/>
  <c r="C177" i="51"/>
  <c r="G52" i="51"/>
  <c r="F157" i="51"/>
  <c r="G151" i="51"/>
  <c r="E65" i="51"/>
  <c r="E100" i="51"/>
  <c r="D117" i="51"/>
  <c r="G32" i="51"/>
  <c r="C160" i="51"/>
  <c r="C178" i="51"/>
  <c r="D137" i="51"/>
  <c r="D126" i="51"/>
  <c r="E99" i="51"/>
  <c r="D84" i="51"/>
  <c r="E53" i="51"/>
  <c r="E148" i="51"/>
  <c r="E38" i="51"/>
  <c r="G165" i="51"/>
  <c r="E119" i="51"/>
  <c r="E19" i="51"/>
  <c r="G107" i="51"/>
  <c r="G182" i="51"/>
  <c r="G54" i="51"/>
  <c r="E93" i="51"/>
  <c r="C168" i="51"/>
  <c r="F15" i="51"/>
  <c r="E153" i="51"/>
  <c r="D180" i="51"/>
  <c r="D21" i="51"/>
  <c r="F83" i="51"/>
  <c r="G41" i="51"/>
  <c r="C90" i="51"/>
  <c r="E136" i="51"/>
  <c r="E66" i="51"/>
  <c r="C167" i="51"/>
  <c r="F33" i="51"/>
  <c r="D86" i="51"/>
  <c r="D55" i="51"/>
  <c r="E74" i="51"/>
  <c r="D107" i="51"/>
  <c r="E167" i="51"/>
  <c r="D145" i="51"/>
  <c r="D167" i="51"/>
  <c r="G19" i="51"/>
  <c r="E94" i="51"/>
  <c r="E12" i="51"/>
  <c r="C31" i="51"/>
  <c r="C127" i="51"/>
  <c r="G174" i="51"/>
  <c r="D99" i="51"/>
  <c r="E113" i="51"/>
  <c r="F92" i="51"/>
  <c r="D13" i="51"/>
  <c r="C68" i="51"/>
  <c r="G126" i="51"/>
  <c r="C55" i="51"/>
  <c r="C71" i="51"/>
  <c r="C110" i="51"/>
  <c r="E143" i="51"/>
  <c r="F176" i="51"/>
  <c r="D68" i="51"/>
  <c r="D92" i="51"/>
  <c r="E88" i="51"/>
  <c r="D175" i="51"/>
  <c r="G172" i="51"/>
  <c r="G114" i="51"/>
  <c r="G176" i="51"/>
  <c r="E150" i="51"/>
  <c r="F43" i="51"/>
  <c r="G55" i="51"/>
  <c r="D45" i="51"/>
  <c r="C138" i="51"/>
  <c r="E166" i="51"/>
  <c r="E155" i="51"/>
  <c r="C25" i="51"/>
  <c r="E73" i="51"/>
  <c r="D80" i="51"/>
  <c r="G99" i="51"/>
  <c r="E54" i="51"/>
  <c r="F74" i="51"/>
  <c r="G48" i="51"/>
  <c r="C133" i="51"/>
  <c r="G94" i="51"/>
  <c r="C120" i="51"/>
  <c r="D157" i="51"/>
  <c r="E160" i="51"/>
  <c r="C169" i="51"/>
  <c r="G29" i="51"/>
  <c r="D76" i="51"/>
  <c r="C117" i="51"/>
  <c r="E76" i="51"/>
  <c r="G103" i="51"/>
  <c r="F124" i="51"/>
  <c r="G119" i="51"/>
  <c r="G122" i="51"/>
  <c r="D81" i="51"/>
  <c r="G57" i="51"/>
  <c r="C162" i="51"/>
  <c r="G69" i="51"/>
  <c r="D144" i="51"/>
  <c r="F150" i="51"/>
  <c r="F72" i="51"/>
  <c r="E90" i="51"/>
  <c r="F95" i="51"/>
  <c r="E31" i="51"/>
  <c r="G38" i="51"/>
  <c r="F162" i="51"/>
  <c r="C14" i="51"/>
  <c r="C89" i="51"/>
  <c r="E43" i="51"/>
  <c r="G72" i="51"/>
  <c r="F86" i="51"/>
  <c r="F79" i="51"/>
  <c r="C159" i="51"/>
  <c r="F61" i="51"/>
  <c r="G85" i="51"/>
  <c r="G90" i="51"/>
  <c r="E87" i="51"/>
  <c r="D114" i="51"/>
  <c r="E68" i="51"/>
  <c r="D141" i="51"/>
  <c r="G58" i="51"/>
  <c r="F174" i="51"/>
  <c r="D43" i="51"/>
  <c r="D88" i="51"/>
  <c r="F154" i="51"/>
  <c r="D9" i="51"/>
  <c r="C15" i="51"/>
  <c r="G70" i="51"/>
  <c r="F122" i="51"/>
  <c r="G77" i="51"/>
  <c r="C11" i="51"/>
  <c r="G168" i="51"/>
  <c r="F155" i="51"/>
  <c r="E170" i="51"/>
  <c r="C137" i="51"/>
  <c r="D124" i="51"/>
  <c r="D102" i="51"/>
  <c r="C27" i="51"/>
  <c r="F70" i="51"/>
  <c r="E72" i="51"/>
  <c r="E145" i="51"/>
  <c r="D82" i="51"/>
  <c r="F105" i="51"/>
  <c r="C93" i="51"/>
  <c r="E84" i="51"/>
  <c r="D138" i="51"/>
  <c r="G173" i="51"/>
  <c r="D182" i="51"/>
  <c r="D66" i="51"/>
  <c r="E61" i="51"/>
  <c r="G96" i="51"/>
  <c r="F159" i="51"/>
  <c r="E77" i="51"/>
  <c r="G13" i="51"/>
  <c r="G184" i="51"/>
  <c r="E85" i="51"/>
  <c r="C70" i="51"/>
  <c r="F88" i="51"/>
  <c r="C69" i="51"/>
  <c r="D49" i="51"/>
  <c r="G144" i="51"/>
  <c r="E29" i="51"/>
  <c r="E165" i="51"/>
  <c r="E124" i="51"/>
  <c r="F62" i="51"/>
  <c r="C149" i="51"/>
  <c r="D136" i="51"/>
  <c r="C112" i="51"/>
  <c r="F166" i="51"/>
  <c r="G177" i="51"/>
  <c r="F48" i="51"/>
  <c r="F69" i="51"/>
  <c r="D172" i="51"/>
  <c r="E46" i="51"/>
  <c r="D54" i="51"/>
  <c r="E10" i="51"/>
  <c r="E20" i="51"/>
  <c r="G106" i="51"/>
  <c r="G153" i="51"/>
  <c r="C156" i="51"/>
  <c r="F167" i="51"/>
  <c r="F39" i="51"/>
  <c r="E137" i="51"/>
  <c r="D125" i="51"/>
  <c r="D30" i="51"/>
  <c r="D158" i="51"/>
  <c r="C88" i="51"/>
  <c r="D97" i="51"/>
  <c r="E139" i="51"/>
  <c r="F11" i="51"/>
  <c r="F82" i="51"/>
  <c r="D15" i="51"/>
  <c r="F60" i="51"/>
  <c r="D69" i="51"/>
  <c r="F68" i="51"/>
  <c r="E40" i="51"/>
  <c r="C61" i="51"/>
  <c r="G164" i="51"/>
  <c r="C83" i="51"/>
  <c r="F30" i="51"/>
  <c r="F56" i="51"/>
  <c r="D159" i="51"/>
  <c r="D139" i="51"/>
  <c r="G65" i="51"/>
  <c r="G46" i="51"/>
  <c r="G45" i="51"/>
  <c r="F175" i="51"/>
  <c r="E27" i="51"/>
  <c r="E33" i="51"/>
  <c r="E158" i="51"/>
  <c r="G179" i="51"/>
  <c r="E9" i="51"/>
  <c r="C166" i="51"/>
  <c r="F96" i="51"/>
  <c r="D65" i="51"/>
  <c r="E55" i="51"/>
  <c r="E112" i="51"/>
  <c r="E39" i="51"/>
  <c r="C78" i="51"/>
  <c r="C53" i="51"/>
  <c r="G20" i="51"/>
  <c r="F114" i="51"/>
  <c r="G146" i="51"/>
  <c r="C9" i="51"/>
  <c r="G116" i="51"/>
  <c r="F36" i="51"/>
  <c r="D33" i="51"/>
  <c r="F156" i="51"/>
  <c r="G148" i="51"/>
  <c r="D24" i="51"/>
  <c r="E57" i="51"/>
  <c r="E92" i="51"/>
  <c r="F151" i="51"/>
  <c r="E174" i="51"/>
  <c r="G43" i="51"/>
  <c r="G133" i="51"/>
  <c r="G49" i="51"/>
  <c r="E51" i="51"/>
  <c r="C45" i="51"/>
  <c r="C30" i="51"/>
  <c r="E23" i="51"/>
  <c r="E125" i="51"/>
  <c r="G156" i="51"/>
  <c r="F119" i="51"/>
  <c r="G89" i="51"/>
  <c r="E105" i="51"/>
  <c r="E35" i="51"/>
  <c r="E44" i="51"/>
  <c r="E117" i="51"/>
  <c r="D131" i="51"/>
  <c r="E135" i="51"/>
  <c r="F141" i="51"/>
  <c r="F169" i="51"/>
  <c r="G105" i="51"/>
  <c r="E96" i="51"/>
  <c r="D50" i="51"/>
  <c r="F51" i="51"/>
  <c r="C63" i="51"/>
  <c r="F110" i="51"/>
  <c r="C105" i="51"/>
  <c r="G53" i="51"/>
  <c r="C114" i="51"/>
  <c r="G97" i="51"/>
  <c r="C118" i="51"/>
  <c r="E159" i="51"/>
  <c r="C96" i="51"/>
  <c r="F179" i="51"/>
  <c r="G175" i="51"/>
  <c r="G136" i="51"/>
  <c r="F129" i="51"/>
  <c r="D130" i="51"/>
  <c r="F65" i="51"/>
  <c r="C86" i="51"/>
  <c r="C82" i="51"/>
  <c r="G178" i="51"/>
  <c r="D85" i="51"/>
  <c r="F84" i="51"/>
  <c r="F19" i="51"/>
  <c r="C35" i="51"/>
  <c r="D41" i="51"/>
  <c r="G40" i="51"/>
  <c r="C73" i="51"/>
  <c r="G159" i="51"/>
  <c r="G171" i="51"/>
  <c r="G73" i="51"/>
  <c r="F28" i="51"/>
  <c r="C74" i="51"/>
  <c r="C115" i="51"/>
  <c r="G16" i="51"/>
  <c r="C170" i="51"/>
  <c r="C153" i="51"/>
  <c r="E180" i="51"/>
  <c r="G167" i="51"/>
  <c r="F12" i="51"/>
  <c r="C60" i="51"/>
  <c r="F112" i="51"/>
  <c r="D18" i="51"/>
  <c r="C77" i="51"/>
  <c r="G120" i="51"/>
  <c r="E58" i="51"/>
  <c r="F137" i="51"/>
  <c r="G129" i="51"/>
  <c r="E37" i="51"/>
  <c r="E18" i="51"/>
  <c r="C40" i="51"/>
  <c r="G80" i="51"/>
  <c r="G145" i="51"/>
  <c r="D153" i="51"/>
  <c r="E78" i="51"/>
  <c r="G56" i="51"/>
  <c r="G35" i="51"/>
  <c r="E154" i="51"/>
  <c r="F123" i="51"/>
  <c r="E152" i="51"/>
  <c r="D108" i="51"/>
  <c r="F118" i="51"/>
  <c r="C116" i="51"/>
  <c r="F9" i="51"/>
  <c r="D115" i="51"/>
  <c r="D38" i="51"/>
  <c r="D152" i="51"/>
  <c r="G157" i="51"/>
  <c r="E71" i="51"/>
  <c r="G100" i="51"/>
  <c r="C34" i="51"/>
  <c r="E48" i="51"/>
  <c r="F103" i="51"/>
  <c r="F13" i="51"/>
  <c r="C57" i="51"/>
  <c r="C58" i="51"/>
  <c r="C107" i="51"/>
  <c r="G150" i="51"/>
  <c r="F45" i="51"/>
  <c r="E79" i="51"/>
  <c r="C36" i="51"/>
  <c r="D48" i="51"/>
  <c r="G152" i="51"/>
  <c r="C56" i="51"/>
  <c r="D156" i="51"/>
  <c r="D14" i="51"/>
  <c r="D51" i="51"/>
  <c r="C42" i="51"/>
  <c r="F42" i="51"/>
  <c r="G111" i="51"/>
  <c r="E173" i="51"/>
  <c r="E16" i="51"/>
  <c r="F127" i="51"/>
  <c r="F31" i="51"/>
  <c r="D164" i="51"/>
  <c r="D174" i="51"/>
  <c r="D87" i="51"/>
  <c r="D93" i="51"/>
  <c r="E120" i="51"/>
  <c r="E97" i="51"/>
  <c r="D147" i="51"/>
  <c r="F115" i="51"/>
  <c r="G149" i="51"/>
  <c r="G166" i="51"/>
  <c r="D178" i="51"/>
  <c r="D132" i="51"/>
  <c r="D17" i="51"/>
  <c r="G82" i="51"/>
  <c r="C87" i="51"/>
  <c r="D67" i="51"/>
  <c r="G110" i="51"/>
  <c r="G123" i="51"/>
  <c r="C135" i="51"/>
  <c r="E30" i="51"/>
  <c r="C51" i="51"/>
  <c r="D155" i="51"/>
  <c r="D72" i="51"/>
  <c r="E126" i="51"/>
  <c r="G108" i="51"/>
  <c r="C111" i="51"/>
  <c r="C119" i="51"/>
  <c r="E109" i="51"/>
  <c r="F87" i="51"/>
  <c r="F58" i="51"/>
  <c r="C95" i="51"/>
  <c r="D148" i="51"/>
  <c r="G170" i="51"/>
  <c r="G137" i="51"/>
  <c r="C146" i="51"/>
  <c r="C99" i="51"/>
  <c r="D83" i="51"/>
  <c r="G18" i="51"/>
  <c r="F153" i="51"/>
  <c r="D44" i="51"/>
  <c r="C94" i="51"/>
  <c r="E177" i="51"/>
  <c r="F35" i="51"/>
  <c r="C161" i="51"/>
  <c r="G25" i="51"/>
  <c r="D28" i="51"/>
  <c r="D60" i="51"/>
  <c r="C184" i="51"/>
  <c r="E59" i="51"/>
  <c r="C21" i="51"/>
  <c r="E141" i="51"/>
  <c r="F94" i="51"/>
  <c r="E25" i="51"/>
  <c r="G161" i="51"/>
  <c r="F168" i="51"/>
  <c r="C26" i="51"/>
  <c r="E138" i="51"/>
  <c r="G66" i="51"/>
  <c r="F93" i="51"/>
  <c r="E133" i="51"/>
  <c r="C158" i="51"/>
  <c r="C80" i="51"/>
  <c r="G76" i="51"/>
  <c r="G147" i="51"/>
  <c r="F20" i="51"/>
  <c r="C141" i="51"/>
  <c r="G11" i="51"/>
  <c r="E156" i="51"/>
  <c r="D122" i="51"/>
  <c r="D52" i="51"/>
  <c r="E122" i="51"/>
  <c r="F81" i="51"/>
  <c r="F145" i="51"/>
  <c r="F37" i="51"/>
  <c r="E169" i="51"/>
  <c r="E116" i="51"/>
  <c r="G132" i="51"/>
  <c r="E83" i="51"/>
  <c r="F164" i="51"/>
  <c r="E98" i="51"/>
  <c r="D71" i="51"/>
  <c r="D32" i="51"/>
  <c r="D25" i="51"/>
  <c r="D133" i="51"/>
  <c r="D162" i="51"/>
  <c r="F80" i="51"/>
  <c r="G127" i="51"/>
  <c r="C173" i="51"/>
  <c r="F144" i="51"/>
  <c r="C175" i="51"/>
  <c r="G115" i="51"/>
  <c r="C33" i="51"/>
  <c r="E140" i="51"/>
  <c r="E17" i="51"/>
  <c r="C124" i="51"/>
  <c r="G27" i="51"/>
  <c r="F59" i="51"/>
  <c r="E70" i="51"/>
  <c r="D57" i="51"/>
  <c r="E128" i="51"/>
  <c r="E115" i="51"/>
  <c r="C145" i="51"/>
  <c r="C101" i="51"/>
  <c r="E147" i="51"/>
  <c r="F117" i="51"/>
  <c r="F180" i="51"/>
  <c r="E67" i="51"/>
  <c r="F125" i="51"/>
  <c r="G68" i="51"/>
  <c r="C39" i="51"/>
  <c r="G155" i="51"/>
  <c r="F100" i="51"/>
  <c r="G118" i="51"/>
  <c r="D160" i="51"/>
  <c r="E82" i="51"/>
  <c r="E151" i="51"/>
  <c r="D74" i="51"/>
  <c r="F38" i="51"/>
  <c r="D20" i="51"/>
  <c r="C13" i="51"/>
  <c r="G12" i="51"/>
  <c r="G160" i="51"/>
  <c r="G28" i="51"/>
  <c r="F128" i="51"/>
  <c r="F52" i="51"/>
  <c r="D95" i="51"/>
  <c r="C139" i="51"/>
  <c r="C172" i="51"/>
  <c r="D62" i="51"/>
  <c r="G143" i="51"/>
  <c r="G17" i="51"/>
  <c r="G30" i="51"/>
  <c r="C130" i="51"/>
  <c r="D53" i="51"/>
  <c r="G78" i="51"/>
  <c r="F102" i="51"/>
  <c r="F178" i="51"/>
  <c r="C152" i="51"/>
  <c r="F130" i="51"/>
  <c r="E129" i="51"/>
  <c r="F25" i="51"/>
  <c r="D40" i="51"/>
  <c r="D140" i="51"/>
  <c r="C100" i="51"/>
  <c r="F14" i="51"/>
  <c r="G79" i="51"/>
  <c r="D90" i="51"/>
  <c r="D173" i="51"/>
  <c r="C66" i="51"/>
  <c r="D63" i="51"/>
  <c r="F63" i="51"/>
  <c r="G23" i="51"/>
  <c r="C98" i="51"/>
  <c r="E52" i="51"/>
  <c r="C20" i="51"/>
  <c r="C84" i="51"/>
  <c r="F55" i="51"/>
  <c r="E131" i="51"/>
  <c r="E164" i="51"/>
  <c r="G50" i="51"/>
  <c r="D59" i="51"/>
  <c r="D150" i="51"/>
  <c r="E45" i="51"/>
  <c r="C109" i="51"/>
  <c r="D23" i="51"/>
  <c r="D101" i="51"/>
  <c r="D109" i="51"/>
  <c r="E62" i="51"/>
  <c r="D128" i="51"/>
  <c r="D119" i="51"/>
  <c r="G14" i="51"/>
  <c r="D184" i="51"/>
  <c r="E172" i="51"/>
  <c r="C28" i="51"/>
  <c r="G158" i="51"/>
  <c r="E49" i="51"/>
  <c r="C97" i="51"/>
  <c r="F139" i="51"/>
  <c r="E130" i="51"/>
  <c r="F113" i="51"/>
  <c r="F143" i="51"/>
  <c r="C165" i="51"/>
  <c r="E103" i="51"/>
  <c r="F16" i="51"/>
  <c r="G71" i="51"/>
  <c r="E63" i="51"/>
  <c r="C17" i="51"/>
  <c r="G134" i="51"/>
  <c r="E171" i="51"/>
  <c r="D171" i="51"/>
  <c r="D77" i="51"/>
  <c r="E89" i="51"/>
  <c r="C180" i="51"/>
  <c r="G10" i="51"/>
  <c r="D11" i="51"/>
  <c r="C151" i="51"/>
  <c r="F147" i="51"/>
  <c r="D10" i="51"/>
  <c r="C128" i="51"/>
  <c r="D29" i="51"/>
  <c r="C79" i="51"/>
  <c r="F148" i="51"/>
  <c r="D116" i="51"/>
  <c r="E111" i="51"/>
  <c r="G74" i="51"/>
  <c r="D19" i="51"/>
  <c r="F98" i="51"/>
  <c r="D78" i="51"/>
  <c r="F107" i="51"/>
  <c r="D143" i="51"/>
  <c r="D12" i="51"/>
  <c r="E24" i="51"/>
  <c r="G130" i="51"/>
  <c r="D165" i="51"/>
  <c r="F77" i="51"/>
  <c r="E146" i="51"/>
  <c r="G93" i="51"/>
  <c r="E11" i="51"/>
  <c r="D42" i="51"/>
  <c r="D26" i="51"/>
  <c r="G87" i="51"/>
  <c r="G113" i="51"/>
  <c r="F24" i="51"/>
  <c r="F27" i="51"/>
  <c r="F161" i="51"/>
  <c r="E162" i="51"/>
  <c r="F40" i="51"/>
  <c r="D16" i="51"/>
  <c r="E95" i="51"/>
  <c r="C155" i="51"/>
  <c r="G112" i="51"/>
  <c r="D89" i="51"/>
  <c r="D36" i="51"/>
  <c r="G128" i="51"/>
  <c r="F173" i="51"/>
  <c r="E127" i="51"/>
  <c r="F54" i="51"/>
  <c r="F78" i="51"/>
  <c r="F41" i="51"/>
  <c r="D129" i="51"/>
  <c r="C125" i="51"/>
  <c r="C105" i="52"/>
  <c r="D123" i="52"/>
  <c r="C94" i="52"/>
  <c r="D99" i="52"/>
  <c r="D167" i="52"/>
  <c r="D174" i="48"/>
  <c r="I177" i="28"/>
  <c r="F172" i="28"/>
  <c r="C148" i="28"/>
  <c r="D59" i="28"/>
  <c r="F93" i="28"/>
  <c r="G145" i="28"/>
  <c r="D82" i="28"/>
  <c r="D108" i="28"/>
  <c r="C42" i="28"/>
  <c r="F130" i="28"/>
  <c r="J80" i="28"/>
  <c r="I107" i="28"/>
  <c r="J93" i="28"/>
  <c r="H121" i="28"/>
  <c r="D88" i="28"/>
  <c r="C108" i="28"/>
  <c r="J158" i="28"/>
  <c r="E119" i="28"/>
  <c r="F32" i="28"/>
  <c r="F59" i="28"/>
  <c r="D27" i="28"/>
  <c r="H86" i="28"/>
  <c r="J33" i="28"/>
  <c r="G83" i="28"/>
  <c r="J54" i="28"/>
  <c r="G28" i="28"/>
  <c r="C73" i="28"/>
  <c r="G72" i="28"/>
  <c r="F119" i="28"/>
  <c r="H53" i="28"/>
  <c r="E140" i="28"/>
  <c r="F160" i="28"/>
  <c r="D44" i="28"/>
  <c r="G64" i="28"/>
  <c r="G152" i="28"/>
  <c r="I178" i="28"/>
  <c r="C129" i="28"/>
  <c r="E82" i="28"/>
  <c r="J152" i="28"/>
  <c r="H42" i="28"/>
  <c r="I111" i="28"/>
  <c r="E137" i="28"/>
  <c r="I55" i="28"/>
  <c r="E186" i="28"/>
  <c r="D81" i="28"/>
  <c r="D147" i="28"/>
  <c r="F150" i="28"/>
  <c r="G172" i="28"/>
  <c r="J120" i="28"/>
  <c r="F34" i="28"/>
  <c r="C83" i="28"/>
  <c r="J110" i="28"/>
  <c r="F47" i="28"/>
  <c r="E142" i="28"/>
  <c r="D94" i="28"/>
  <c r="C59" i="28"/>
  <c r="J101" i="28"/>
  <c r="E18" i="28"/>
  <c r="E112" i="28"/>
  <c r="E141" i="28"/>
  <c r="C177" i="28"/>
  <c r="F169" i="28"/>
  <c r="F91" i="28"/>
  <c r="D111" i="28"/>
  <c r="D154" i="28"/>
  <c r="D51" i="28"/>
  <c r="I40" i="28"/>
  <c r="D102" i="28"/>
  <c r="I137" i="28"/>
  <c r="E49" i="28"/>
  <c r="I38" i="28"/>
  <c r="C171" i="28"/>
  <c r="F43" i="28"/>
  <c r="C111" i="28"/>
  <c r="E61" i="28"/>
  <c r="F159" i="28"/>
  <c r="H186" i="28"/>
  <c r="F41" i="28"/>
  <c r="I64" i="28"/>
  <c r="G173" i="28"/>
  <c r="E157" i="28"/>
  <c r="J169" i="28"/>
  <c r="H82" i="28"/>
  <c r="H130" i="28"/>
  <c r="C155" i="28"/>
  <c r="D38" i="28"/>
  <c r="I94" i="28"/>
  <c r="D54" i="28"/>
  <c r="C139" i="28"/>
  <c r="H59" i="28"/>
  <c r="J111" i="28"/>
  <c r="D21" i="28"/>
  <c r="F114" i="28"/>
  <c r="D116" i="28"/>
  <c r="C16" i="28"/>
  <c r="G125" i="28"/>
  <c r="G94" i="28"/>
  <c r="G177" i="28"/>
  <c r="J140" i="28"/>
  <c r="F136" i="28"/>
  <c r="D161" i="28"/>
  <c r="J172" i="28"/>
  <c r="J176" i="28"/>
  <c r="E85" i="28"/>
  <c r="J24" i="28"/>
  <c r="E166" i="28"/>
  <c r="G180" i="28"/>
  <c r="J47" i="28"/>
  <c r="J131" i="28"/>
  <c r="C62" i="28"/>
  <c r="J55" i="28"/>
  <c r="G124" i="28"/>
  <c r="I46" i="28"/>
  <c r="F88" i="28"/>
  <c r="J15" i="28"/>
  <c r="D100" i="28"/>
  <c r="I136" i="28"/>
  <c r="J130" i="28"/>
  <c r="C120" i="28"/>
  <c r="F27" i="28"/>
  <c r="J56" i="28"/>
  <c r="J168" i="28"/>
  <c r="F53" i="28"/>
  <c r="F16" i="28"/>
  <c r="F162" i="28"/>
  <c r="G41" i="28"/>
  <c r="I91" i="28"/>
  <c r="H24" i="28"/>
  <c r="D115" i="28"/>
  <c r="F143" i="28"/>
  <c r="E161" i="28"/>
  <c r="H132" i="28"/>
  <c r="C142" i="28"/>
  <c r="F87" i="28"/>
  <c r="J157" i="28"/>
  <c r="E124" i="28"/>
  <c r="C54" i="28"/>
  <c r="C134" i="28"/>
  <c r="I147" i="28"/>
  <c r="F131" i="28"/>
  <c r="C80" i="28"/>
  <c r="H87" i="28"/>
  <c r="C178" i="28"/>
  <c r="E57" i="28"/>
  <c r="J109" i="28"/>
  <c r="G32" i="28"/>
  <c r="F75" i="28"/>
  <c r="G97" i="28"/>
  <c r="D101" i="28"/>
  <c r="H168" i="28"/>
  <c r="F133" i="28"/>
  <c r="F173" i="28"/>
  <c r="F146" i="28"/>
  <c r="H149" i="28"/>
  <c r="J159" i="28"/>
  <c r="J26" i="28"/>
  <c r="F148" i="28"/>
  <c r="G181" i="28"/>
  <c r="C15" i="28"/>
  <c r="E46" i="28"/>
  <c r="G89" i="28"/>
  <c r="I166" i="28"/>
  <c r="I149" i="28"/>
  <c r="G164" i="28"/>
  <c r="I51" i="28"/>
  <c r="J89" i="28"/>
  <c r="I143" i="28"/>
  <c r="C37" i="28"/>
  <c r="J167" i="28"/>
  <c r="G21" i="28"/>
  <c r="C99" i="28"/>
  <c r="G31" i="28"/>
  <c r="F73" i="28"/>
  <c r="F24" i="28"/>
  <c r="I109" i="28"/>
  <c r="F174" i="28"/>
  <c r="G150" i="28"/>
  <c r="D95" i="28"/>
  <c r="C140" i="28"/>
  <c r="I31" i="28"/>
  <c r="H28" i="28"/>
  <c r="E131" i="28"/>
  <c r="G9" i="28"/>
  <c r="G155" i="28"/>
  <c r="C55" i="28"/>
  <c r="I20" i="28"/>
  <c r="G157" i="28"/>
  <c r="H61" i="28"/>
  <c r="D118" i="28"/>
  <c r="C109" i="28"/>
  <c r="C170" i="28"/>
  <c r="D35" i="28"/>
  <c r="E55" i="28"/>
  <c r="E150" i="28"/>
  <c r="D24" i="28"/>
  <c r="I85" i="28"/>
  <c r="G186" i="28"/>
  <c r="H139" i="28"/>
  <c r="I90" i="28"/>
  <c r="E105" i="28"/>
  <c r="C75" i="28"/>
  <c r="F111" i="28"/>
  <c r="C85" i="28"/>
  <c r="J112" i="28"/>
  <c r="D11" i="28"/>
  <c r="G134" i="28"/>
  <c r="I153" i="28"/>
  <c r="D70" i="28"/>
  <c r="D184" i="28"/>
  <c r="I60" i="28"/>
  <c r="I102" i="28"/>
  <c r="F140" i="28"/>
  <c r="H176" i="28"/>
  <c r="C25" i="28"/>
  <c r="J74" i="28"/>
  <c r="J52" i="28"/>
  <c r="H143" i="28"/>
  <c r="D93" i="28"/>
  <c r="H178" i="28"/>
  <c r="D163" i="28"/>
  <c r="J104" i="28"/>
  <c r="J154" i="28"/>
  <c r="J12" i="28"/>
  <c r="H15" i="28"/>
  <c r="C82" i="28"/>
  <c r="D117" i="28"/>
  <c r="E127" i="28"/>
  <c r="I24" i="28"/>
  <c r="I87" i="28"/>
  <c r="C135" i="28"/>
  <c r="D72" i="28"/>
  <c r="D9" i="28"/>
  <c r="D31" i="28"/>
  <c r="D182" i="28"/>
  <c r="H66" i="28"/>
  <c r="I128" i="28"/>
  <c r="D160" i="28"/>
  <c r="F138" i="28"/>
  <c r="F101" i="28"/>
  <c r="E24" i="28"/>
  <c r="C110" i="28"/>
  <c r="D186" i="28"/>
  <c r="C167" i="28"/>
  <c r="H35" i="28"/>
  <c r="E30" i="28"/>
  <c r="I63" i="28"/>
  <c r="C182" i="28"/>
  <c r="G137" i="28"/>
  <c r="H103" i="28"/>
  <c r="C41" i="28"/>
  <c r="G149" i="28"/>
  <c r="H128" i="28"/>
  <c r="E130" i="28"/>
  <c r="I113" i="28"/>
  <c r="F96" i="28"/>
  <c r="D41" i="28"/>
  <c r="H46" i="28"/>
  <c r="I62" i="28"/>
  <c r="F50" i="28"/>
  <c r="I61" i="28"/>
  <c r="H25" i="28"/>
  <c r="I99" i="28"/>
  <c r="J124" i="28"/>
  <c r="E122" i="28"/>
  <c r="H115" i="28"/>
  <c r="E117" i="28"/>
  <c r="E182" i="28"/>
  <c r="G133" i="28"/>
  <c r="H127" i="28"/>
  <c r="F45" i="28"/>
  <c r="D42" i="28"/>
  <c r="F141" i="28"/>
  <c r="C90" i="28"/>
  <c r="C180" i="28"/>
  <c r="J83" i="28"/>
  <c r="J60" i="28"/>
  <c r="J66" i="28"/>
  <c r="G129" i="28"/>
  <c r="G116" i="28"/>
  <c r="D80" i="28"/>
  <c r="G118" i="28"/>
  <c r="G20" i="28"/>
  <c r="E102" i="28"/>
  <c r="E95" i="28"/>
  <c r="J134" i="28"/>
  <c r="F84" i="28"/>
  <c r="D110" i="28"/>
  <c r="E132" i="28"/>
  <c r="D109" i="28"/>
  <c r="H140" i="28"/>
  <c r="C164" i="28"/>
  <c r="H60" i="28"/>
  <c r="G33" i="28"/>
  <c r="G10" i="28"/>
  <c r="G50" i="28"/>
  <c r="C179" i="28"/>
  <c r="G70" i="28"/>
  <c r="G85" i="28"/>
  <c r="H93" i="28"/>
  <c r="H137" i="28"/>
  <c r="J126" i="28"/>
  <c r="J38" i="28"/>
  <c r="C26" i="28"/>
  <c r="J79" i="28"/>
  <c r="D47" i="28"/>
  <c r="H73" i="28"/>
  <c r="H153" i="28"/>
  <c r="G74" i="28"/>
  <c r="C46" i="28"/>
  <c r="F79" i="28"/>
  <c r="E75" i="28"/>
  <c r="F14" i="28"/>
  <c r="J105" i="28"/>
  <c r="D90" i="28"/>
  <c r="D36" i="28"/>
  <c r="I118" i="28"/>
  <c r="F178" i="28"/>
  <c r="D150" i="28"/>
  <c r="G35" i="28"/>
  <c r="G13" i="28"/>
  <c r="E171" i="28"/>
  <c r="E51" i="28"/>
  <c r="C133" i="28"/>
  <c r="D179" i="28"/>
  <c r="D89" i="28"/>
  <c r="J9" i="28"/>
  <c r="F86" i="28"/>
  <c r="I75" i="28"/>
  <c r="C157" i="28"/>
  <c r="J36" i="28"/>
  <c r="J147" i="28"/>
  <c r="J90" i="28"/>
  <c r="C78" i="28"/>
  <c r="C136" i="28"/>
  <c r="G128" i="28"/>
  <c r="J114" i="28"/>
  <c r="H80" i="28"/>
  <c r="I135" i="28"/>
  <c r="H151" i="28"/>
  <c r="F28" i="28"/>
  <c r="G174" i="28"/>
  <c r="D64" i="28"/>
  <c r="E108" i="28"/>
  <c r="I29" i="28"/>
  <c r="G54" i="28"/>
  <c r="C184" i="28"/>
  <c r="E170" i="28"/>
  <c r="J98" i="28"/>
  <c r="C101" i="28"/>
  <c r="J25" i="28"/>
  <c r="E176" i="28"/>
  <c r="H85" i="28"/>
  <c r="I121" i="28"/>
  <c r="J95" i="28"/>
  <c r="J151" i="28"/>
  <c r="J57" i="28"/>
  <c r="G167" i="28"/>
  <c r="E27" i="28"/>
  <c r="I171" i="28"/>
  <c r="F23" i="28"/>
  <c r="E93" i="28"/>
  <c r="J174" i="28"/>
  <c r="H131" i="28"/>
  <c r="D145" i="28"/>
  <c r="J150" i="28"/>
  <c r="F36" i="28"/>
  <c r="G59" i="28"/>
  <c r="E168" i="28"/>
  <c r="C98" i="28"/>
  <c r="J139" i="28"/>
  <c r="E45" i="28"/>
  <c r="J155" i="28"/>
  <c r="C137" i="28"/>
  <c r="E154" i="28"/>
  <c r="I25" i="28"/>
  <c r="F99" i="28"/>
  <c r="I14" i="28"/>
  <c r="G122" i="28"/>
  <c r="C39" i="28"/>
  <c r="G138" i="28"/>
  <c r="F42" i="28"/>
  <c r="J100" i="28"/>
  <c r="I67" i="28"/>
  <c r="I103" i="28"/>
  <c r="E77" i="28"/>
  <c r="D29" i="28"/>
  <c r="G44" i="28"/>
  <c r="C47" i="28"/>
  <c r="H62" i="28"/>
  <c r="I16" i="28"/>
  <c r="D159" i="28"/>
  <c r="J91" i="28"/>
  <c r="C115" i="28"/>
  <c r="J29" i="28"/>
  <c r="E152" i="28"/>
  <c r="H167" i="28"/>
  <c r="I164" i="28"/>
  <c r="D13" i="28"/>
  <c r="G25" i="28"/>
  <c r="E56" i="28"/>
  <c r="D63" i="28"/>
  <c r="J81" i="28"/>
  <c r="J135" i="28"/>
  <c r="G104" i="28"/>
  <c r="F170" i="28"/>
  <c r="E164" i="28"/>
  <c r="G45" i="28"/>
  <c r="E25" i="28"/>
  <c r="E41" i="28"/>
  <c r="J96" i="28"/>
  <c r="I15" i="28"/>
  <c r="G18" i="28"/>
  <c r="I105" i="28"/>
  <c r="D45" i="28"/>
  <c r="C131" i="28"/>
  <c r="J35" i="28"/>
  <c r="G169" i="28"/>
  <c r="J107" i="28"/>
  <c r="G96" i="28"/>
  <c r="C174" i="28"/>
  <c r="D17" i="28"/>
  <c r="C67" i="28"/>
  <c r="E54" i="28"/>
  <c r="D158" i="28"/>
  <c r="G16" i="28"/>
  <c r="E60" i="28"/>
  <c r="J178" i="28"/>
  <c r="I168" i="28"/>
  <c r="F122" i="28"/>
  <c r="J23" i="28"/>
  <c r="J69" i="28"/>
  <c r="C11" i="28"/>
  <c r="F39" i="28"/>
  <c r="G117" i="28"/>
  <c r="E34" i="28"/>
  <c r="I157" i="28"/>
  <c r="E38" i="28"/>
  <c r="F109" i="28"/>
  <c r="H180" i="28"/>
  <c r="J46" i="28"/>
  <c r="H67" i="28"/>
  <c r="C117" i="28"/>
  <c r="H177" i="28"/>
  <c r="I179" i="28"/>
  <c r="C66" i="28"/>
  <c r="F85" i="28"/>
  <c r="E96" i="28"/>
  <c r="C17" i="28"/>
  <c r="I34" i="28"/>
  <c r="H159" i="28"/>
  <c r="F98" i="28"/>
  <c r="F52" i="28"/>
  <c r="G80" i="28"/>
  <c r="E99" i="28"/>
  <c r="H113" i="28"/>
  <c r="J86" i="28"/>
  <c r="C156" i="28"/>
  <c r="J149" i="28"/>
  <c r="E175" i="28"/>
  <c r="D120" i="28"/>
  <c r="G88" i="28"/>
  <c r="H88" i="28"/>
  <c r="E89" i="28"/>
  <c r="G67" i="28"/>
  <c r="E63" i="28"/>
  <c r="H11" i="28"/>
  <c r="E28" i="28"/>
  <c r="E69" i="28"/>
  <c r="H158" i="28"/>
  <c r="C57" i="28"/>
  <c r="E88" i="28"/>
  <c r="I100" i="28"/>
  <c r="D49" i="28"/>
  <c r="J68" i="28"/>
  <c r="G114" i="28"/>
  <c r="C97" i="28"/>
  <c r="J37" i="28"/>
  <c r="E13" i="28"/>
  <c r="J127" i="28"/>
  <c r="H84" i="28"/>
  <c r="F137" i="28"/>
  <c r="D52" i="28"/>
  <c r="J53" i="28"/>
  <c r="G78" i="28"/>
  <c r="J118" i="28"/>
  <c r="D170" i="28"/>
  <c r="F46" i="28"/>
  <c r="J13" i="28"/>
  <c r="C19" i="28"/>
  <c r="H133" i="28"/>
  <c r="D87" i="28"/>
  <c r="G91" i="28"/>
  <c r="J102" i="28"/>
  <c r="C138" i="28"/>
  <c r="C74" i="28"/>
  <c r="E72" i="28"/>
  <c r="I181" i="28"/>
  <c r="C24" i="28"/>
  <c r="I108" i="28"/>
  <c r="F80" i="28"/>
  <c r="E107" i="28"/>
  <c r="D97" i="28"/>
  <c r="H156" i="28"/>
  <c r="E169" i="28"/>
  <c r="D46" i="28"/>
  <c r="I27" i="28"/>
  <c r="H41" i="28"/>
  <c r="D155" i="28"/>
  <c r="D19" i="28"/>
  <c r="D164" i="28"/>
  <c r="E80" i="28"/>
  <c r="C18" i="28"/>
  <c r="G148" i="28"/>
  <c r="D73" i="28"/>
  <c r="I129" i="28"/>
  <c r="C119" i="28"/>
  <c r="F30" i="28"/>
  <c r="D10" i="28"/>
  <c r="I138" i="28"/>
  <c r="D56" i="28"/>
  <c r="D103" i="28"/>
  <c r="I116" i="28"/>
  <c r="I96" i="28"/>
  <c r="H111" i="28"/>
  <c r="J99" i="28"/>
  <c r="D169" i="28"/>
  <c r="F58" i="28"/>
  <c r="I42" i="28"/>
  <c r="E9" i="28"/>
  <c r="F163" i="28"/>
  <c r="I26" i="28"/>
  <c r="C122" i="28"/>
  <c r="C146" i="28"/>
  <c r="G93" i="28"/>
  <c r="H174" i="28"/>
  <c r="E26" i="28"/>
  <c r="H99" i="28"/>
  <c r="I81" i="28"/>
  <c r="I131" i="28"/>
  <c r="H10" i="28"/>
  <c r="E113" i="28"/>
  <c r="D149" i="28"/>
  <c r="H155" i="28"/>
  <c r="I23" i="28"/>
  <c r="I28" i="28"/>
  <c r="C51" i="28"/>
  <c r="C147" i="28"/>
  <c r="G81" i="28"/>
  <c r="G131" i="28"/>
  <c r="D60" i="28"/>
  <c r="E86" i="28"/>
  <c r="I148" i="28"/>
  <c r="I18" i="28"/>
  <c r="D172" i="28"/>
  <c r="D173" i="28"/>
  <c r="G101" i="28"/>
  <c r="J121" i="28"/>
  <c r="G47" i="28"/>
  <c r="D124" i="28"/>
  <c r="J161" i="28"/>
  <c r="J85" i="28"/>
  <c r="E172" i="28"/>
  <c r="F157" i="28"/>
  <c r="H83" i="28"/>
  <c r="F19" i="28"/>
  <c r="D28" i="28"/>
  <c r="I58" i="28"/>
  <c r="I74" i="28"/>
  <c r="C13" i="28"/>
  <c r="J122" i="28"/>
  <c r="E29" i="28"/>
  <c r="C166" i="28"/>
  <c r="H141" i="28"/>
  <c r="I98" i="28"/>
  <c r="H38" i="28"/>
  <c r="F60" i="28"/>
  <c r="E101" i="28"/>
  <c r="H47" i="28"/>
  <c r="D141" i="28"/>
  <c r="E42" i="28"/>
  <c r="F127" i="28"/>
  <c r="H75" i="28"/>
  <c r="F121" i="28"/>
  <c r="E133" i="28"/>
  <c r="G27" i="28"/>
  <c r="D162" i="28"/>
  <c r="E16" i="28"/>
  <c r="I19" i="28"/>
  <c r="E160" i="28"/>
  <c r="G141" i="28"/>
  <c r="I119" i="28"/>
  <c r="J146" i="28"/>
  <c r="J20" i="28"/>
  <c r="J72" i="28"/>
  <c r="F66" i="28"/>
  <c r="F20" i="28"/>
  <c r="C169" i="28"/>
  <c r="G52" i="28"/>
  <c r="H108" i="28"/>
  <c r="D127" i="28"/>
  <c r="H116" i="28"/>
  <c r="C113" i="28"/>
  <c r="D66" i="28"/>
  <c r="G163" i="28"/>
  <c r="E128" i="28"/>
  <c r="F116" i="28"/>
  <c r="G39" i="28"/>
  <c r="D178" i="28"/>
  <c r="H169" i="28"/>
  <c r="D50" i="28"/>
  <c r="E10" i="28"/>
  <c r="J145" i="28"/>
  <c r="F153" i="28"/>
  <c r="E47" i="28"/>
  <c r="J177" i="28"/>
  <c r="F100" i="28"/>
  <c r="H56" i="28"/>
  <c r="J75" i="28"/>
  <c r="H30" i="28"/>
  <c r="J142" i="28"/>
  <c r="H14" i="28"/>
  <c r="D131" i="28"/>
  <c r="G79" i="28"/>
  <c r="E73" i="28"/>
  <c r="G56" i="28"/>
  <c r="F124" i="28"/>
  <c r="C58" i="28"/>
  <c r="D58" i="28"/>
  <c r="H12" i="28"/>
  <c r="J97" i="28"/>
  <c r="D134" i="28"/>
  <c r="G55" i="28"/>
  <c r="F118" i="28"/>
  <c r="H150" i="28"/>
  <c r="H23" i="28"/>
  <c r="E35" i="28"/>
  <c r="G119" i="28"/>
  <c r="H112" i="28"/>
  <c r="H37" i="28"/>
  <c r="G108" i="28"/>
  <c r="H118" i="28"/>
  <c r="J59" i="28"/>
  <c r="G161" i="28"/>
  <c r="J58" i="28"/>
  <c r="J116" i="28"/>
  <c r="I169" i="28"/>
  <c r="F15" i="28"/>
  <c r="E19" i="28"/>
  <c r="F171" i="28"/>
  <c r="I159" i="28"/>
  <c r="E151" i="28"/>
  <c r="C94" i="28"/>
  <c r="G135" i="28"/>
  <c r="G120" i="28"/>
  <c r="D85" i="28"/>
  <c r="F179" i="28"/>
  <c r="D114" i="28"/>
  <c r="F49" i="28"/>
  <c r="D37" i="28"/>
  <c r="E180" i="28"/>
  <c r="I66" i="28"/>
  <c r="E125" i="28"/>
  <c r="I142" i="28"/>
  <c r="G34" i="28"/>
  <c r="J94" i="28"/>
  <c r="C79" i="28"/>
  <c r="G86" i="28"/>
  <c r="F61" i="28"/>
  <c r="G130" i="28"/>
  <c r="E184" i="28"/>
  <c r="F40" i="28"/>
  <c r="J182" i="28"/>
  <c r="H160" i="28"/>
  <c r="H9" i="28"/>
  <c r="D140" i="28"/>
  <c r="D137" i="28"/>
  <c r="I161" i="28"/>
  <c r="I140" i="28"/>
  <c r="F112" i="28"/>
  <c r="H13" i="28"/>
  <c r="E23" i="28"/>
  <c r="I80" i="28"/>
  <c r="C161" i="28"/>
  <c r="F175" i="28"/>
  <c r="D91" i="28"/>
  <c r="I134" i="28"/>
  <c r="C96" i="28"/>
  <c r="I54" i="28"/>
  <c r="J184" i="28"/>
  <c r="D16" i="28"/>
  <c r="F180" i="28"/>
  <c r="D107" i="28"/>
  <c r="I79" i="28"/>
  <c r="E43" i="28"/>
  <c r="F89" i="28"/>
  <c r="C9" i="28"/>
  <c r="F70" i="28"/>
  <c r="D104" i="28"/>
  <c r="D143" i="28"/>
  <c r="E36" i="28"/>
  <c r="H107" i="28"/>
  <c r="D69" i="28"/>
  <c r="H16" i="28"/>
  <c r="D168" i="28"/>
  <c r="H32" i="28"/>
  <c r="D40" i="28"/>
  <c r="G166" i="28"/>
  <c r="J163" i="28"/>
  <c r="J162" i="28"/>
  <c r="I95" i="28"/>
  <c r="I78" i="28"/>
  <c r="J128" i="28"/>
  <c r="G23" i="28"/>
  <c r="C132" i="28"/>
  <c r="F63" i="28"/>
  <c r="G113" i="28"/>
  <c r="G46" i="28"/>
  <c r="F184" i="28"/>
  <c r="I30" i="28"/>
  <c r="J166" i="28"/>
  <c r="J137" i="28"/>
  <c r="I104" i="28"/>
  <c r="F181" i="28"/>
  <c r="H145" i="28"/>
  <c r="I10" i="28"/>
  <c r="E159" i="28"/>
  <c r="G147" i="28"/>
  <c r="F128" i="28"/>
  <c r="I49" i="28"/>
  <c r="D112" i="28"/>
  <c r="D126" i="28"/>
  <c r="I155" i="28"/>
  <c r="G38" i="28"/>
  <c r="C28" i="28"/>
  <c r="I57" i="28"/>
  <c r="H96" i="28"/>
  <c r="C69" i="28"/>
  <c r="E91" i="28"/>
  <c r="J19" i="28"/>
  <c r="E111" i="28"/>
  <c r="G107" i="28"/>
  <c r="J133" i="28"/>
  <c r="F95" i="28"/>
  <c r="I133" i="28"/>
  <c r="C31" i="28"/>
  <c r="J148" i="28"/>
  <c r="H18" i="28"/>
  <c r="F44" i="28"/>
  <c r="I184" i="28"/>
  <c r="F107" i="28"/>
  <c r="G111" i="28"/>
  <c r="D25" i="28"/>
  <c r="I151" i="28"/>
  <c r="D30" i="28"/>
  <c r="J44" i="28"/>
  <c r="J11" i="28"/>
  <c r="C43" i="28"/>
  <c r="G168" i="28"/>
  <c r="J77" i="28"/>
  <c r="G37" i="28"/>
  <c r="H34" i="28"/>
  <c r="C40" i="28"/>
  <c r="H104" i="28"/>
  <c r="G40" i="28"/>
  <c r="H27" i="28"/>
  <c r="I132" i="28"/>
  <c r="C176" i="28"/>
  <c r="E40" i="28"/>
  <c r="J31" i="28"/>
  <c r="H166" i="28"/>
  <c r="D151" i="28"/>
  <c r="C102" i="28"/>
  <c r="E68" i="28"/>
  <c r="D75" i="28"/>
  <c r="C173" i="28"/>
  <c r="C141" i="28"/>
  <c r="F176" i="28"/>
  <c r="D39" i="28"/>
  <c r="F17" i="28"/>
  <c r="E109" i="28"/>
  <c r="I44" i="28"/>
  <c r="I130" i="28"/>
  <c r="C35" i="28"/>
  <c r="G100" i="28"/>
  <c r="E39" i="28"/>
  <c r="G105" i="28"/>
  <c r="G109" i="28"/>
  <c r="J170" i="28"/>
  <c r="J64" i="28"/>
  <c r="J115" i="28"/>
  <c r="D83" i="28"/>
  <c r="F68" i="28"/>
  <c r="I37" i="28"/>
  <c r="J141" i="28"/>
  <c r="E126" i="28"/>
  <c r="F110" i="28"/>
  <c r="H19" i="28"/>
  <c r="D133" i="28"/>
  <c r="J34" i="28"/>
  <c r="E114" i="28"/>
  <c r="C103" i="28"/>
  <c r="F69" i="28"/>
  <c r="C100" i="28"/>
  <c r="F83" i="28"/>
  <c r="D138" i="28"/>
  <c r="G77" i="28"/>
  <c r="D62" i="28"/>
  <c r="D71" i="28"/>
  <c r="J171" i="28"/>
  <c r="G142" i="28"/>
  <c r="H89" i="28"/>
  <c r="H147" i="28"/>
  <c r="E50" i="28"/>
  <c r="I176" i="28"/>
  <c r="F167" i="28"/>
  <c r="E14" i="28"/>
  <c r="I88" i="28"/>
  <c r="G63" i="28"/>
  <c r="D98" i="28"/>
  <c r="H164" i="28"/>
  <c r="F62" i="28"/>
  <c r="C114" i="28"/>
  <c r="F9" i="28"/>
  <c r="H72" i="28"/>
  <c r="C45" i="28"/>
  <c r="H124" i="28"/>
  <c r="D121" i="28"/>
  <c r="D14" i="28"/>
  <c r="I145" i="28"/>
  <c r="F103" i="28"/>
  <c r="I9" i="28"/>
  <c r="J164" i="28"/>
  <c r="H135" i="28"/>
  <c r="C12" i="28"/>
  <c r="G136" i="28"/>
  <c r="I182" i="28"/>
  <c r="C95" i="28"/>
  <c r="E62" i="28"/>
  <c r="D26" i="28"/>
  <c r="C175" i="28"/>
  <c r="F64" i="28"/>
  <c r="H17" i="28"/>
  <c r="G62" i="28"/>
  <c r="C149" i="28"/>
  <c r="E53" i="28"/>
  <c r="I152" i="28"/>
  <c r="D23" i="28"/>
  <c r="G58" i="28"/>
  <c r="E31" i="28"/>
  <c r="F108" i="28"/>
  <c r="E11" i="28"/>
  <c r="H98" i="28"/>
  <c r="I52" i="28"/>
  <c r="G42" i="28"/>
  <c r="I73" i="28"/>
  <c r="H138" i="28"/>
  <c r="C128" i="28"/>
  <c r="H170" i="28"/>
  <c r="H119" i="28"/>
  <c r="G61" i="28"/>
  <c r="H21" i="28"/>
  <c r="H77" i="28"/>
  <c r="D136" i="28"/>
  <c r="E71" i="28"/>
  <c r="G178" i="28"/>
  <c r="F90" i="28"/>
  <c r="C172" i="28"/>
  <c r="G143" i="28"/>
  <c r="F12" i="28"/>
  <c r="D105" i="28"/>
  <c r="I117" i="28"/>
  <c r="H126" i="28"/>
  <c r="E79" i="28"/>
  <c r="F74" i="28"/>
  <c r="I32" i="28"/>
  <c r="H50" i="28"/>
  <c r="F71" i="28"/>
  <c r="E20" i="28"/>
  <c r="C50" i="28"/>
  <c r="D96" i="28"/>
  <c r="I120" i="28"/>
  <c r="C10" i="28"/>
  <c r="H129" i="28"/>
  <c r="H182" i="28"/>
  <c r="F113" i="28"/>
  <c r="D152" i="28"/>
  <c r="G132" i="28"/>
  <c r="I170" i="28"/>
  <c r="I115" i="28"/>
  <c r="E149" i="28"/>
  <c r="E104" i="28"/>
  <c r="H94" i="28"/>
  <c r="G162" i="28"/>
  <c r="C159" i="28"/>
  <c r="E136" i="28"/>
  <c r="F38" i="28"/>
  <c r="I12" i="28"/>
  <c r="H43" i="28"/>
  <c r="J40" i="28"/>
  <c r="J82" i="28"/>
  <c r="D53" i="28"/>
  <c r="D175" i="28"/>
  <c r="I84" i="28"/>
  <c r="E167" i="28"/>
  <c r="E173" i="28"/>
  <c r="C158" i="28"/>
  <c r="F164" i="28"/>
  <c r="F97" i="28"/>
  <c r="C52" i="28"/>
  <c r="G139" i="28"/>
  <c r="I83" i="28"/>
  <c r="E64" i="28"/>
  <c r="I77" i="28"/>
  <c r="I186" i="28"/>
  <c r="C20" i="28"/>
  <c r="E178" i="28"/>
  <c r="I89" i="28"/>
  <c r="I158" i="28"/>
  <c r="F154" i="28"/>
  <c r="J43" i="28"/>
  <c r="G98" i="28"/>
  <c r="D79" i="28"/>
  <c r="G160" i="28"/>
  <c r="D167" i="28"/>
  <c r="C91" i="28"/>
  <c r="J138" i="28"/>
  <c r="E17" i="28"/>
  <c r="J78" i="28"/>
  <c r="E129" i="28"/>
  <c r="G154" i="28"/>
  <c r="D20" i="28"/>
  <c r="D33" i="28"/>
  <c r="D148" i="28"/>
  <c r="F177" i="28"/>
  <c r="G102" i="28"/>
  <c r="E146" i="28"/>
  <c r="C105" i="28"/>
  <c r="I41" i="28"/>
  <c r="G84" i="28"/>
  <c r="I45" i="28"/>
  <c r="G30" i="28"/>
  <c r="I126" i="28"/>
  <c r="C143" i="28"/>
  <c r="F94" i="28"/>
  <c r="D99" i="28"/>
  <c r="E81" i="28"/>
  <c r="F82" i="28"/>
  <c r="D122" i="28"/>
  <c r="G115" i="28"/>
  <c r="C160" i="28"/>
  <c r="I21" i="28"/>
  <c r="E147" i="28"/>
  <c r="G121" i="28"/>
  <c r="F134" i="28"/>
  <c r="E12" i="28"/>
  <c r="E84" i="28"/>
  <c r="D68" i="28"/>
  <c r="C127" i="28"/>
  <c r="E70" i="28"/>
  <c r="I139" i="28"/>
  <c r="C86" i="28"/>
  <c r="H181" i="28"/>
  <c r="J18" i="28"/>
  <c r="I101" i="28"/>
  <c r="C72" i="28"/>
  <c r="G69" i="28"/>
  <c r="I17" i="28"/>
  <c r="I174" i="28"/>
  <c r="E181" i="28"/>
  <c r="H20" i="28"/>
  <c r="E155" i="28"/>
  <c r="F129" i="28"/>
  <c r="H100" i="28"/>
  <c r="F54" i="28"/>
  <c r="C152" i="28"/>
  <c r="F55" i="28"/>
  <c r="E97" i="28"/>
  <c r="C14" i="28"/>
  <c r="F29" i="28"/>
  <c r="C30" i="28"/>
  <c r="E78" i="28"/>
  <c r="D181" i="28"/>
  <c r="D180" i="28"/>
  <c r="J173" i="28"/>
  <c r="I122" i="28"/>
  <c r="I127" i="28"/>
  <c r="H71" i="28"/>
  <c r="H101" i="28"/>
  <c r="H105" i="28"/>
  <c r="F115" i="28"/>
  <c r="J88" i="28"/>
  <c r="E37" i="28"/>
  <c r="G184" i="28"/>
  <c r="E121" i="28"/>
  <c r="I125" i="28"/>
  <c r="C60" i="28"/>
  <c r="F182" i="28"/>
  <c r="I35" i="28"/>
  <c r="D129" i="28"/>
  <c r="C116" i="28"/>
  <c r="I11" i="28"/>
  <c r="I154" i="28"/>
  <c r="G57" i="28"/>
  <c r="H114" i="28"/>
  <c r="J186" i="28"/>
  <c r="F142" i="28"/>
  <c r="J63" i="28"/>
  <c r="D74" i="28"/>
  <c r="E143" i="28"/>
  <c r="G71" i="28"/>
  <c r="E59" i="28"/>
  <c r="F155" i="28"/>
  <c r="J51" i="28"/>
  <c r="G82" i="28"/>
  <c r="D135" i="28"/>
  <c r="D43" i="28"/>
  <c r="H163" i="28"/>
  <c r="J132" i="28"/>
  <c r="E67" i="28"/>
  <c r="G19" i="28"/>
  <c r="F81" i="28"/>
  <c r="C163" i="28"/>
  <c r="J73" i="28"/>
  <c r="G182" i="28"/>
  <c r="D139" i="28"/>
  <c r="I56" i="28"/>
  <c r="H81" i="28"/>
  <c r="H172" i="28"/>
  <c r="I112" i="28"/>
  <c r="J49" i="28"/>
  <c r="E134" i="28"/>
  <c r="F72" i="28"/>
  <c r="E118" i="28"/>
  <c r="D55" i="28"/>
  <c r="I172" i="28"/>
  <c r="E83" i="28"/>
  <c r="F102" i="28"/>
  <c r="H79" i="28"/>
  <c r="E162" i="28"/>
  <c r="H134" i="28"/>
  <c r="J16" i="28"/>
  <c r="C130" i="28"/>
  <c r="G43" i="28"/>
  <c r="H142" i="28"/>
  <c r="C151" i="28"/>
  <c r="I53" i="28"/>
  <c r="F135" i="28"/>
  <c r="E110" i="28"/>
  <c r="H39" i="28"/>
  <c r="D86" i="28"/>
  <c r="H74" i="28"/>
  <c r="J10" i="28"/>
  <c r="G73" i="28"/>
  <c r="H175" i="28"/>
  <c r="I59" i="28"/>
  <c r="D32" i="28"/>
  <c r="D113" i="28"/>
  <c r="I175" i="28"/>
  <c r="E158" i="28"/>
  <c r="C70" i="28"/>
  <c r="D12" i="28"/>
  <c r="H78" i="28"/>
  <c r="D61" i="28"/>
  <c r="H49" i="28"/>
  <c r="H33" i="28"/>
  <c r="G146" i="28"/>
  <c r="E15" i="28"/>
  <c r="E90" i="28"/>
  <c r="E21" i="28"/>
  <c r="J156" i="28"/>
  <c r="G26" i="28"/>
  <c r="F151" i="28"/>
  <c r="J61" i="28"/>
  <c r="J119" i="28"/>
  <c r="C153" i="28"/>
  <c r="J129" i="28"/>
  <c r="J117" i="28"/>
  <c r="I13" i="28"/>
  <c r="C112" i="28"/>
  <c r="H36" i="28"/>
  <c r="H120" i="28"/>
  <c r="C49" i="28"/>
  <c r="F186" i="28"/>
  <c r="J180" i="28"/>
  <c r="D18" i="28"/>
  <c r="F21" i="28"/>
  <c r="G36" i="28"/>
  <c r="G112" i="28"/>
  <c r="H68" i="28"/>
  <c r="F147" i="28"/>
  <c r="G156" i="28"/>
  <c r="C38" i="28"/>
  <c r="I146" i="28"/>
  <c r="H171" i="28"/>
  <c r="F158" i="28"/>
  <c r="H162" i="28"/>
  <c r="G15" i="28"/>
  <c r="H64" i="28"/>
  <c r="I167" i="28"/>
  <c r="I69" i="28"/>
  <c r="H44" i="28"/>
  <c r="D146" i="28"/>
  <c r="J28" i="28"/>
  <c r="C84" i="28"/>
  <c r="G99" i="28"/>
  <c r="D156" i="28"/>
  <c r="H70" i="28"/>
  <c r="H173" i="28"/>
  <c r="D157" i="28"/>
  <c r="E115" i="28"/>
  <c r="H109" i="28"/>
  <c r="E74" i="28"/>
  <c r="G75" i="28"/>
  <c r="J103" i="28"/>
  <c r="H55" i="28"/>
  <c r="J84" i="28"/>
  <c r="C162" i="28"/>
  <c r="G17" i="28"/>
  <c r="J160" i="28"/>
  <c r="F152" i="28"/>
  <c r="J108" i="28"/>
  <c r="J113" i="28"/>
  <c r="G176" i="28"/>
  <c r="C29" i="28"/>
  <c r="I82" i="28"/>
  <c r="G110" i="28"/>
  <c r="I43" i="28"/>
  <c r="E98" i="28"/>
  <c r="C63" i="28"/>
  <c r="J179" i="28"/>
  <c r="D125" i="28"/>
  <c r="C125" i="28"/>
  <c r="G95" i="28"/>
  <c r="C87" i="28"/>
  <c r="H117" i="28"/>
  <c r="F67" i="28"/>
  <c r="C93" i="28"/>
  <c r="H51" i="28"/>
  <c r="H125" i="28"/>
  <c r="C64" i="28"/>
  <c r="D78" i="28"/>
  <c r="I68" i="28"/>
  <c r="D119" i="28"/>
  <c r="I86" i="28"/>
  <c r="D166" i="28"/>
  <c r="H97" i="28"/>
  <c r="F31" i="28"/>
  <c r="E32" i="28"/>
  <c r="D77" i="28"/>
  <c r="E177" i="28"/>
  <c r="G12" i="28"/>
  <c r="G127" i="28"/>
  <c r="D67" i="28"/>
  <c r="D34" i="28"/>
  <c r="D15" i="28"/>
  <c r="C77" i="28"/>
  <c r="I71" i="28"/>
  <c r="F117" i="28"/>
  <c r="J14" i="28"/>
  <c r="C118" i="28"/>
  <c r="H40" i="28"/>
  <c r="G179" i="28"/>
  <c r="I124" i="28"/>
  <c r="E153" i="28"/>
  <c r="C61" i="28"/>
  <c r="I180" i="28"/>
  <c r="E135" i="28"/>
  <c r="E100" i="28"/>
  <c r="I72" i="28"/>
  <c r="C53" i="28"/>
  <c r="J62" i="28"/>
  <c r="G68" i="28"/>
  <c r="C168" i="28"/>
  <c r="C68" i="28"/>
  <c r="G170" i="28"/>
  <c r="J41" i="28"/>
  <c r="C145" i="28"/>
  <c r="G11" i="28"/>
  <c r="D128" i="28"/>
  <c r="J70" i="28"/>
  <c r="H161" i="28"/>
  <c r="G87" i="28"/>
  <c r="J153" i="28"/>
  <c r="F51" i="28"/>
  <c r="F35" i="28"/>
  <c r="J143" i="28"/>
  <c r="D142" i="28"/>
  <c r="E139" i="28"/>
  <c r="G159" i="28"/>
  <c r="F156" i="28"/>
  <c r="G14" i="28"/>
  <c r="D132" i="28"/>
  <c r="C21" i="28"/>
  <c r="H110" i="28"/>
  <c r="F56" i="28"/>
  <c r="F77" i="28"/>
  <c r="J45" i="28"/>
  <c r="I163" i="28"/>
  <c r="H26" i="28"/>
  <c r="G66" i="28"/>
  <c r="E148" i="28"/>
  <c r="H95" i="28"/>
  <c r="C56" i="28"/>
  <c r="I47" i="28"/>
  <c r="F25" i="28"/>
  <c r="D57" i="28"/>
  <c r="C121" i="28"/>
  <c r="C181" i="28"/>
  <c r="F145" i="28"/>
  <c r="I36" i="28"/>
  <c r="D171" i="28"/>
  <c r="F13" i="28"/>
  <c r="C44" i="28"/>
  <c r="H52" i="28"/>
  <c r="J27" i="28"/>
  <c r="C71" i="28"/>
  <c r="D84" i="28"/>
  <c r="D177" i="28"/>
  <c r="G171" i="28"/>
  <c r="J87" i="28"/>
  <c r="H157" i="28"/>
  <c r="H122" i="28"/>
  <c r="E103" i="28"/>
  <c r="G29" i="28"/>
  <c r="D130" i="28"/>
  <c r="F161" i="28"/>
  <c r="F57" i="28"/>
  <c r="F149" i="28"/>
  <c r="F37" i="28"/>
  <c r="H57" i="28"/>
  <c r="C150" i="28"/>
  <c r="F104" i="28"/>
  <c r="I162" i="28"/>
  <c r="E116" i="28"/>
  <c r="F10" i="28"/>
  <c r="C89" i="28"/>
  <c r="D176" i="28"/>
  <c r="C33" i="28"/>
  <c r="G126" i="28"/>
  <c r="G24" i="28"/>
  <c r="F125" i="28"/>
  <c r="C154" i="28"/>
  <c r="C186" i="28"/>
  <c r="H45" i="28"/>
  <c r="I160" i="28"/>
  <c r="F166" i="28"/>
  <c r="F126" i="28"/>
  <c r="C27" i="28"/>
  <c r="E58" i="28"/>
  <c r="H152" i="28"/>
  <c r="F18" i="28"/>
  <c r="H91" i="28"/>
  <c r="F26" i="28"/>
  <c r="C23" i="28"/>
  <c r="J125" i="28"/>
  <c r="G158" i="28"/>
  <c r="F78" i="28"/>
  <c r="C124" i="28"/>
  <c r="H102" i="28"/>
  <c r="G90" i="28"/>
  <c r="J30" i="28"/>
  <c r="I97" i="28"/>
  <c r="J136" i="28"/>
  <c r="H146" i="28"/>
  <c r="G151" i="28"/>
  <c r="H184" i="28"/>
  <c r="I110" i="28"/>
  <c r="H54" i="28"/>
  <c r="F132" i="28"/>
  <c r="C104" i="28"/>
  <c r="G140" i="28"/>
  <c r="H154" i="28"/>
  <c r="H69" i="28"/>
  <c r="F168" i="28"/>
  <c r="I173" i="28"/>
  <c r="I141" i="28"/>
  <c r="G53" i="28"/>
  <c r="I33" i="28"/>
  <c r="J17" i="28"/>
  <c r="F105" i="28"/>
  <c r="G103" i="28"/>
  <c r="E66" i="28"/>
  <c r="H63" i="28"/>
  <c r="H148" i="28"/>
  <c r="E138" i="28"/>
  <c r="I93" i="28"/>
  <c r="J175" i="28"/>
  <c r="H31" i="28"/>
  <c r="I39" i="28"/>
  <c r="J71" i="28"/>
  <c r="F11" i="28"/>
  <c r="J21" i="28"/>
  <c r="E52" i="28"/>
  <c r="C81" i="28"/>
  <c r="E44" i="28"/>
  <c r="I150" i="28"/>
  <c r="H29" i="28"/>
  <c r="E156" i="28"/>
  <c r="J50" i="28"/>
  <c r="H179" i="28"/>
  <c r="J181" i="28"/>
  <c r="I50" i="28"/>
  <c r="D174" i="28"/>
  <c r="F33" i="28"/>
  <c r="E120" i="28"/>
  <c r="J39" i="28"/>
  <c r="J32" i="28"/>
  <c r="I114" i="28"/>
  <c r="E174" i="28"/>
  <c r="F139" i="28"/>
  <c r="I156" i="28"/>
  <c r="G153" i="28"/>
  <c r="J42" i="28"/>
  <c r="E33" i="28"/>
  <c r="E145" i="28"/>
  <c r="E179" i="28"/>
  <c r="E163" i="28"/>
  <c r="G51" i="28"/>
  <c r="E94" i="28"/>
  <c r="C126" i="28"/>
  <c r="E87" i="28"/>
  <c r="I70" i="28"/>
  <c r="C34" i="28"/>
  <c r="C107" i="28"/>
  <c r="H90" i="28"/>
  <c r="C36" i="28"/>
  <c r="H136" i="28"/>
  <c r="G60" i="28"/>
  <c r="H58" i="28"/>
  <c r="G175" i="28"/>
  <c r="G49" i="28"/>
  <c r="C32" i="28"/>
  <c r="C88" i="28"/>
  <c r="J67" i="28"/>
  <c r="D153" i="28"/>
  <c r="F120" i="28"/>
  <c r="H4" i="30"/>
  <c r="G180" i="51"/>
  <c r="E4" i="31"/>
  <c r="D139" i="52"/>
  <c r="D109" i="52"/>
  <c r="D130" i="52"/>
  <c r="D88" i="52"/>
  <c r="D125" i="52"/>
  <c r="D9" i="52"/>
  <c r="D82" i="52"/>
  <c r="D151" i="52"/>
  <c r="D32" i="52"/>
  <c r="D93" i="52"/>
  <c r="D176" i="52"/>
  <c r="D42" i="52"/>
  <c r="D70" i="52"/>
  <c r="D57" i="52"/>
  <c r="D178" i="52"/>
  <c r="D68" i="52"/>
  <c r="D182" i="52"/>
  <c r="D101" i="52"/>
  <c r="E1" i="48"/>
  <c r="C45" i="52"/>
  <c r="E88" i="52"/>
  <c r="C23" i="51"/>
  <c r="G88" i="51"/>
  <c r="D176" i="51"/>
  <c r="D46" i="51"/>
  <c r="H122" i="51"/>
  <c r="D118" i="51"/>
  <c r="C140" i="51"/>
  <c r="E156" i="52"/>
  <c r="E119" i="52"/>
  <c r="D60" i="52"/>
  <c r="D81" i="52"/>
  <c r="D135" i="52"/>
  <c r="E39" i="52"/>
  <c r="E34" i="52"/>
  <c r="C179" i="52"/>
  <c r="D33" i="52"/>
  <c r="C16" i="52"/>
  <c r="C167" i="52"/>
  <c r="C33" i="52"/>
  <c r="C158" i="52"/>
  <c r="D112" i="52"/>
  <c r="C171" i="52"/>
  <c r="E12" i="52"/>
  <c r="D87" i="52"/>
  <c r="C27" i="52"/>
  <c r="C52" i="52"/>
  <c r="C184" i="52"/>
  <c r="E9" i="52"/>
  <c r="D170" i="52"/>
  <c r="C92" i="52"/>
  <c r="C99" i="52"/>
  <c r="C82" i="52"/>
  <c r="D50" i="52"/>
  <c r="C88" i="52"/>
  <c r="C53" i="52"/>
  <c r="D115" i="52"/>
  <c r="D86" i="52"/>
  <c r="C87" i="52"/>
  <c r="C28" i="52"/>
  <c r="D96" i="52"/>
  <c r="D124" i="52"/>
  <c r="E114" i="52"/>
  <c r="D106" i="52"/>
  <c r="C151" i="52"/>
  <c r="D145" i="52"/>
  <c r="D34" i="52"/>
  <c r="E171" i="52"/>
  <c r="C101" i="52"/>
  <c r="C39" i="52"/>
  <c r="C132" i="52"/>
  <c r="D120" i="52"/>
  <c r="C166" i="52"/>
  <c r="D100" i="52"/>
  <c r="E184" i="52"/>
  <c r="E136" i="52"/>
  <c r="E87" i="52"/>
  <c r="C116" i="52"/>
  <c r="C74" i="52"/>
  <c r="E21" i="52"/>
  <c r="D80" i="52"/>
  <c r="C40" i="52"/>
  <c r="C169" i="52"/>
  <c r="D131" i="52"/>
  <c r="D154" i="52"/>
  <c r="D98" i="52"/>
  <c r="C62" i="52"/>
  <c r="D119" i="52"/>
  <c r="C97" i="52"/>
  <c r="C93" i="52"/>
  <c r="C138" i="52"/>
  <c r="E145" i="52"/>
  <c r="C149" i="52"/>
  <c r="E77" i="52"/>
  <c r="D124" i="47"/>
  <c r="D72" i="47"/>
  <c r="D154" i="47"/>
  <c r="D140" i="47"/>
  <c r="D178" i="47"/>
  <c r="D149" i="47"/>
  <c r="D55" i="47"/>
  <c r="D122" i="47"/>
  <c r="D59" i="47"/>
  <c r="D145" i="47"/>
  <c r="D81" i="47"/>
  <c r="D129" i="47"/>
  <c r="D53" i="47"/>
  <c r="D126" i="47"/>
  <c r="D84" i="47"/>
  <c r="D88" i="47"/>
  <c r="D115" i="47"/>
  <c r="D151" i="47"/>
  <c r="D159" i="47"/>
  <c r="D50" i="47"/>
  <c r="F1" i="48"/>
  <c r="E46" i="52"/>
  <c r="E61" i="52"/>
  <c r="E38" i="52"/>
  <c r="E130" i="52"/>
  <c r="E82" i="52"/>
  <c r="E48" i="52"/>
  <c r="E154" i="52"/>
  <c r="E116" i="52"/>
  <c r="E126" i="52"/>
  <c r="E36" i="52"/>
  <c r="E30" i="52"/>
  <c r="E135" i="52"/>
  <c r="E72" i="52"/>
  <c r="E100" i="52"/>
  <c r="E108" i="52"/>
  <c r="E74" i="52"/>
  <c r="E165" i="52"/>
  <c r="E29" i="52"/>
  <c r="F4" i="31"/>
  <c r="E103" i="52"/>
  <c r="E25" i="52"/>
  <c r="E73" i="52"/>
  <c r="E76" i="52"/>
  <c r="E150" i="52"/>
  <c r="E66" i="52"/>
  <c r="E113" i="52"/>
  <c r="E140" i="52"/>
  <c r="E86" i="52"/>
  <c r="E97" i="52"/>
  <c r="E166" i="52"/>
  <c r="E40" i="52"/>
  <c r="E182" i="52"/>
  <c r="E110" i="52"/>
  <c r="E35" i="52"/>
  <c r="E51" i="52"/>
  <c r="E109" i="52"/>
  <c r="E148" i="52"/>
  <c r="E112" i="52"/>
  <c r="E137" i="52"/>
  <c r="E96" i="52"/>
  <c r="E24" i="52"/>
  <c r="E11" i="52"/>
  <c r="E68" i="52"/>
  <c r="E131" i="52"/>
  <c r="E179" i="52"/>
  <c r="E19" i="52"/>
  <c r="E98" i="52"/>
  <c r="E65" i="52"/>
  <c r="E177" i="52"/>
  <c r="E41" i="52"/>
  <c r="E124" i="52"/>
  <c r="E56" i="52"/>
  <c r="E80" i="52"/>
  <c r="E133" i="52"/>
  <c r="E67" i="52"/>
  <c r="E167" i="52"/>
  <c r="E63" i="52"/>
  <c r="E152" i="52"/>
  <c r="E161" i="52"/>
  <c r="E172" i="52"/>
  <c r="E176" i="52"/>
  <c r="E27" i="52"/>
  <c r="E162" i="52"/>
  <c r="E92" i="52"/>
  <c r="E32" i="52"/>
  <c r="E143" i="52"/>
  <c r="E28" i="52"/>
  <c r="E79" i="52"/>
  <c r="E107" i="52"/>
  <c r="E123" i="52"/>
  <c r="E93" i="52"/>
  <c r="E128" i="52"/>
  <c r="E178" i="52"/>
  <c r="E10" i="52"/>
  <c r="E23" i="52"/>
  <c r="E175" i="52"/>
  <c r="E37" i="52"/>
  <c r="E54" i="52"/>
  <c r="E26" i="52"/>
  <c r="E101" i="52"/>
  <c r="E157" i="52"/>
  <c r="E57" i="52"/>
  <c r="E160" i="52"/>
  <c r="E16" i="52"/>
  <c r="E55" i="52"/>
  <c r="E122" i="52"/>
  <c r="E180" i="52"/>
  <c r="E84" i="52"/>
  <c r="E134" i="52"/>
  <c r="E120" i="52"/>
  <c r="E138" i="52"/>
  <c r="E99" i="52"/>
  <c r="E151" i="52"/>
  <c r="E147" i="52"/>
  <c r="E146" i="52"/>
  <c r="E50" i="52"/>
  <c r="E168" i="52"/>
  <c r="E155" i="52"/>
  <c r="E164" i="52"/>
  <c r="E139" i="52"/>
  <c r="E111" i="52"/>
  <c r="E144" i="52"/>
  <c r="E115" i="52"/>
  <c r="E170" i="52"/>
  <c r="E169" i="52"/>
  <c r="E83" i="52"/>
  <c r="E49" i="52"/>
  <c r="E58" i="52"/>
  <c r="E15" i="52"/>
  <c r="E71" i="52"/>
  <c r="E173" i="52"/>
  <c r="E17" i="52"/>
  <c r="E85" i="52"/>
  <c r="E105" i="52"/>
  <c r="E90" i="52"/>
  <c r="E70" i="52"/>
  <c r="E14" i="52"/>
  <c r="E129" i="52"/>
  <c r="E60" i="52"/>
  <c r="E106" i="52"/>
  <c r="E89" i="52"/>
  <c r="E20" i="52"/>
  <c r="E127" i="52"/>
  <c r="E33" i="52"/>
  <c r="E78" i="52"/>
  <c r="E69" i="52"/>
  <c r="E45" i="52"/>
  <c r="E13" i="52"/>
  <c r="E117" i="52"/>
  <c r="E31" i="52"/>
  <c r="E42" i="52"/>
  <c r="E18" i="52"/>
  <c r="E141" i="52"/>
  <c r="E59" i="52"/>
  <c r="E149" i="52"/>
  <c r="E153" i="52"/>
  <c r="E52" i="52"/>
  <c r="E174" i="52"/>
  <c r="E125" i="52"/>
  <c r="E159" i="52"/>
  <c r="E53" i="52"/>
  <c r="E62" i="52"/>
  <c r="E44" i="52"/>
  <c r="E95" i="52"/>
  <c r="E94" i="52"/>
  <c r="E43" i="52"/>
  <c r="E158" i="52"/>
  <c r="E81" i="52"/>
  <c r="E132" i="52"/>
  <c r="E102" i="52"/>
  <c r="E118" i="52"/>
  <c r="I4" i="30"/>
  <c r="H152" i="51"/>
  <c r="H115" i="51"/>
  <c r="H148" i="51"/>
  <c r="H61" i="51"/>
  <c r="H138" i="51"/>
  <c r="H35" i="51"/>
  <c r="H32" i="51"/>
  <c r="H143" i="51"/>
  <c r="H147" i="51"/>
  <c r="H69" i="51"/>
  <c r="H114" i="51"/>
  <c r="H52" i="51"/>
  <c r="H156" i="51"/>
  <c r="H71" i="51"/>
  <c r="H26" i="51"/>
  <c r="H56" i="51"/>
  <c r="H146" i="51"/>
  <c r="H44" i="51"/>
  <c r="H127" i="51"/>
  <c r="H129" i="51"/>
  <c r="H81" i="51"/>
  <c r="H166" i="51"/>
  <c r="H135" i="51"/>
  <c r="H105" i="51"/>
  <c r="H37" i="51"/>
  <c r="H48" i="51"/>
  <c r="H19" i="51"/>
  <c r="H145" i="51"/>
  <c r="H170" i="51"/>
  <c r="H132" i="51"/>
  <c r="H51" i="51"/>
  <c r="H176" i="51"/>
  <c r="H84" i="51"/>
  <c r="H46" i="51"/>
  <c r="H49" i="51"/>
  <c r="H113" i="51"/>
  <c r="H67" i="51"/>
  <c r="H39" i="51"/>
  <c r="H161" i="51"/>
  <c r="H50" i="51"/>
  <c r="H65" i="51"/>
  <c r="H33" i="51"/>
  <c r="H90" i="51"/>
  <c r="H83" i="51"/>
  <c r="H31" i="51"/>
  <c r="H10" i="51"/>
  <c r="H162" i="51"/>
  <c r="H24" i="51"/>
  <c r="H30" i="51"/>
  <c r="H73" i="51"/>
  <c r="H155" i="51"/>
  <c r="H177" i="51"/>
  <c r="H79" i="51"/>
  <c r="H140" i="51"/>
  <c r="H119" i="51"/>
  <c r="H77" i="51"/>
  <c r="H174" i="51"/>
  <c r="H106" i="51"/>
  <c r="H60" i="51"/>
  <c r="H63" i="51"/>
  <c r="H109" i="51"/>
  <c r="H100" i="51"/>
  <c r="H150" i="51"/>
  <c r="H103" i="51"/>
  <c r="H38" i="51"/>
  <c r="H125" i="51"/>
  <c r="H29" i="51"/>
  <c r="H59" i="51"/>
  <c r="H101" i="51"/>
  <c r="H126" i="51"/>
  <c r="H93" i="51"/>
  <c r="H40" i="51"/>
  <c r="H107" i="51"/>
  <c r="H173" i="51"/>
  <c r="H133" i="51"/>
  <c r="H68" i="51"/>
  <c r="H25" i="51"/>
  <c r="H58" i="51"/>
  <c r="H18" i="51"/>
  <c r="H118" i="51"/>
  <c r="H153" i="51"/>
  <c r="H168" i="51"/>
  <c r="H54" i="51"/>
  <c r="H88" i="51"/>
  <c r="H97" i="51"/>
  <c r="H89" i="51"/>
  <c r="H165" i="51"/>
  <c r="H175" i="51"/>
  <c r="H74" i="51"/>
  <c r="H23" i="51"/>
  <c r="H28" i="51"/>
  <c r="H144" i="51"/>
  <c r="H112" i="51"/>
  <c r="H98" i="51"/>
  <c r="H86" i="51"/>
  <c r="H21" i="51"/>
  <c r="H180" i="51"/>
  <c r="H141" i="51"/>
  <c r="H172" i="51"/>
  <c r="H151" i="51"/>
  <c r="H36" i="51"/>
  <c r="H164" i="51"/>
  <c r="H160" i="51"/>
  <c r="H169" i="51"/>
  <c r="H130" i="51"/>
  <c r="H182" i="51"/>
  <c r="H11" i="51"/>
  <c r="H82" i="51"/>
  <c r="H139" i="51"/>
  <c r="H78" i="51"/>
  <c r="H94" i="51"/>
  <c r="H9" i="51"/>
  <c r="H13" i="51"/>
  <c r="H20" i="51"/>
  <c r="H137" i="51"/>
  <c r="H95" i="51"/>
  <c r="H136" i="51"/>
  <c r="H17" i="51"/>
  <c r="H123" i="51"/>
  <c r="H55" i="51"/>
  <c r="H99" i="51"/>
  <c r="H72" i="51"/>
  <c r="H87" i="51"/>
  <c r="H96" i="51"/>
  <c r="H34" i="51"/>
  <c r="H167" i="51"/>
  <c r="H171" i="51"/>
  <c r="H42" i="51"/>
  <c r="H178" i="51"/>
  <c r="H53" i="51"/>
  <c r="H131" i="51"/>
  <c r="H92" i="51"/>
  <c r="H12" i="51"/>
  <c r="H158" i="51"/>
  <c r="H41" i="51"/>
  <c r="H120" i="51"/>
  <c r="H111" i="51"/>
  <c r="H27" i="51"/>
  <c r="H62" i="51"/>
  <c r="H66" i="51"/>
  <c r="H110" i="51"/>
  <c r="H154" i="51"/>
  <c r="H80" i="51"/>
  <c r="H116" i="51"/>
  <c r="H117" i="51"/>
  <c r="H45" i="51"/>
  <c r="H14" i="51"/>
  <c r="H159" i="51"/>
  <c r="H85" i="51"/>
  <c r="H149" i="51"/>
  <c r="H76" i="51"/>
  <c r="H134" i="51"/>
  <c r="H43" i="51"/>
  <c r="H70" i="51"/>
  <c r="H16" i="51"/>
  <c r="H57" i="51"/>
  <c r="H179" i="51"/>
  <c r="H102" i="51"/>
  <c r="H128" i="51"/>
  <c r="H15" i="51"/>
  <c r="H184" i="51"/>
  <c r="H124" i="51"/>
  <c r="H157" i="51"/>
  <c r="H108" i="51"/>
  <c r="G4" i="31"/>
  <c r="F117" i="52"/>
  <c r="F19" i="52"/>
  <c r="F179" i="52"/>
  <c r="F131" i="52"/>
  <c r="F166" i="52"/>
  <c r="F151" i="52"/>
  <c r="F11" i="52"/>
  <c r="F122" i="52"/>
  <c r="F50" i="52"/>
  <c r="F26" i="52"/>
  <c r="F103" i="52"/>
  <c r="F38" i="52"/>
  <c r="F113" i="52"/>
  <c r="F90" i="52"/>
  <c r="F13" i="52"/>
  <c r="F128" i="52"/>
  <c r="F174" i="52"/>
  <c r="F125" i="52"/>
  <c r="F68" i="52"/>
  <c r="F158" i="52"/>
  <c r="F177" i="52"/>
  <c r="F161" i="52"/>
  <c r="F101" i="52"/>
  <c r="F37" i="52"/>
  <c r="F120" i="52"/>
  <c r="F18" i="52"/>
  <c r="F140" i="52"/>
  <c r="F105" i="52"/>
  <c r="F24" i="52"/>
  <c r="F35" i="52"/>
  <c r="F15" i="52"/>
  <c r="F148" i="52"/>
  <c r="F124" i="52"/>
  <c r="F33" i="52"/>
  <c r="F57" i="52"/>
  <c r="F154" i="52"/>
  <c r="F55" i="52"/>
  <c r="F108" i="52"/>
  <c r="F106" i="52"/>
  <c r="F133" i="52"/>
  <c r="F123" i="52"/>
  <c r="F152" i="52"/>
  <c r="F10" i="52"/>
  <c r="F31" i="52"/>
  <c r="F134" i="52"/>
  <c r="F12" i="52"/>
  <c r="F176" i="52"/>
  <c r="F17" i="52"/>
  <c r="F147" i="52"/>
  <c r="F157" i="52"/>
  <c r="F23" i="52"/>
  <c r="F130" i="52"/>
  <c r="F162" i="52"/>
  <c r="F63" i="52"/>
  <c r="F94" i="52"/>
  <c r="F168" i="52"/>
  <c r="F93" i="52"/>
  <c r="F56" i="52"/>
  <c r="F102" i="52"/>
  <c r="F42" i="52"/>
  <c r="F132" i="52"/>
  <c r="F184" i="52"/>
  <c r="F16" i="52"/>
  <c r="F118" i="52"/>
  <c r="F25" i="52"/>
  <c r="F41" i="52"/>
  <c r="F169" i="52"/>
  <c r="F156" i="52"/>
  <c r="F89" i="52"/>
  <c r="F97" i="52"/>
  <c r="F175" i="52"/>
  <c r="F67" i="52"/>
  <c r="F107" i="52"/>
  <c r="F71" i="52"/>
  <c r="F143" i="52"/>
  <c r="F99" i="52"/>
  <c r="F46" i="52"/>
  <c r="F87" i="52"/>
  <c r="F59" i="52"/>
  <c r="F164" i="52"/>
  <c r="F98" i="52"/>
  <c r="F70" i="52"/>
  <c r="F49" i="52"/>
  <c r="F28" i="52"/>
  <c r="F80" i="52"/>
  <c r="F72" i="52"/>
  <c r="F27" i="52"/>
  <c r="F66" i="52"/>
  <c r="F165" i="52"/>
  <c r="F119" i="52"/>
  <c r="F73" i="52"/>
  <c r="F20" i="52"/>
  <c r="F74" i="52"/>
  <c r="F129" i="52"/>
  <c r="F52" i="52"/>
  <c r="F144" i="52"/>
  <c r="F45" i="52"/>
  <c r="F77" i="52"/>
  <c r="F32" i="52"/>
  <c r="F30" i="52"/>
  <c r="F180" i="52"/>
  <c r="F159" i="52"/>
  <c r="F88" i="52"/>
  <c r="F126" i="52"/>
  <c r="F43" i="52"/>
  <c r="F54" i="52"/>
  <c r="F115" i="52"/>
  <c r="F114" i="52"/>
  <c r="F44" i="52"/>
  <c r="F39" i="52"/>
  <c r="F171" i="52"/>
  <c r="F160" i="52"/>
  <c r="F155" i="52"/>
  <c r="F29" i="52"/>
  <c r="F86" i="52"/>
  <c r="F9" i="52"/>
  <c r="F40" i="52"/>
  <c r="F53" i="52"/>
  <c r="F78" i="52"/>
  <c r="F153" i="52"/>
  <c r="F81" i="52"/>
  <c r="F116" i="52"/>
  <c r="F85" i="52"/>
  <c r="F150" i="52"/>
  <c r="F83" i="52"/>
  <c r="F178" i="52"/>
  <c r="F100" i="52"/>
  <c r="F137" i="52"/>
  <c r="F69" i="52"/>
  <c r="F79" i="52"/>
  <c r="F112" i="52"/>
  <c r="F61" i="52"/>
  <c r="F51" i="52"/>
  <c r="F92" i="52"/>
  <c r="F138" i="52"/>
  <c r="F136" i="52"/>
  <c r="F14" i="52"/>
  <c r="F139" i="52"/>
  <c r="F109" i="52"/>
  <c r="F172" i="52"/>
  <c r="F167" i="52"/>
  <c r="F65" i="52"/>
  <c r="F141" i="52"/>
  <c r="F34" i="52"/>
  <c r="F95" i="52"/>
  <c r="F82" i="52"/>
  <c r="F170" i="52"/>
  <c r="F149" i="52"/>
  <c r="F96" i="52"/>
  <c r="F110" i="52"/>
  <c r="F21" i="52"/>
  <c r="F146" i="52"/>
  <c r="F182" i="52"/>
  <c r="F145" i="52"/>
  <c r="F60" i="52"/>
  <c r="F173" i="52"/>
  <c r="F111" i="52"/>
  <c r="F58" i="52"/>
  <c r="F36" i="52"/>
  <c r="F135" i="52"/>
  <c r="F62" i="52"/>
  <c r="F76" i="52"/>
  <c r="F48" i="52"/>
  <c r="F84" i="52"/>
  <c r="F127" i="52"/>
  <c r="G1" i="48"/>
  <c r="E49" i="47"/>
  <c r="E112" i="47"/>
  <c r="E82" i="47"/>
  <c r="E155" i="47"/>
  <c r="E166" i="47"/>
  <c r="E34" i="47"/>
  <c r="E83" i="47"/>
  <c r="E121" i="47"/>
  <c r="E87" i="47"/>
  <c r="E12" i="47"/>
  <c r="E172" i="47"/>
  <c r="E52" i="47"/>
  <c r="E95" i="47"/>
  <c r="E40" i="47"/>
  <c r="E17" i="47"/>
  <c r="E158" i="47"/>
  <c r="E160" i="47"/>
  <c r="E19" i="47"/>
  <c r="E96" i="47"/>
  <c r="E64" i="47"/>
  <c r="E151" i="47"/>
  <c r="J4" i="30"/>
  <c r="I151" i="51"/>
  <c r="I176" i="51"/>
  <c r="I126" i="51"/>
  <c r="I37" i="51"/>
  <c r="I132" i="51"/>
  <c r="I182" i="51"/>
  <c r="I10" i="51"/>
  <c r="I149" i="51"/>
  <c r="I118" i="51"/>
  <c r="I133" i="51"/>
  <c r="I12" i="51"/>
  <c r="I134" i="51"/>
  <c r="I29" i="51"/>
  <c r="I76" i="51"/>
  <c r="I9" i="51"/>
  <c r="I173" i="51"/>
  <c r="I128" i="51"/>
  <c r="I61" i="51"/>
  <c r="I72" i="51"/>
  <c r="I15" i="51"/>
  <c r="I31" i="51"/>
  <c r="I32" i="51"/>
  <c r="I180" i="51"/>
  <c r="I84" i="51"/>
  <c r="I18" i="51"/>
  <c r="I108" i="51"/>
  <c r="I27" i="51"/>
  <c r="I87" i="51"/>
  <c r="I68" i="51"/>
  <c r="I80" i="51"/>
  <c r="I92" i="51"/>
  <c r="I115" i="51"/>
  <c r="I139" i="51"/>
  <c r="I13" i="51"/>
  <c r="I51" i="51"/>
  <c r="I174" i="51"/>
  <c r="I59" i="51"/>
  <c r="I157" i="51"/>
  <c r="I117" i="51"/>
  <c r="I161" i="51"/>
  <c r="I46" i="51"/>
  <c r="I97" i="51"/>
  <c r="I122" i="51"/>
  <c r="I53" i="51"/>
  <c r="I164" i="51"/>
  <c r="I106" i="51"/>
  <c r="I33" i="51"/>
  <c r="I138" i="51"/>
  <c r="I90" i="51"/>
  <c r="I81" i="51"/>
  <c r="I127" i="51"/>
  <c r="I155" i="51"/>
  <c r="I179" i="51"/>
  <c r="I42" i="51"/>
  <c r="I145" i="51"/>
  <c r="I123" i="51"/>
  <c r="I19" i="51"/>
  <c r="I78" i="51"/>
  <c r="I168" i="51"/>
  <c r="I135" i="51"/>
  <c r="I162" i="51"/>
  <c r="I114" i="51"/>
  <c r="I66" i="51"/>
  <c r="I93" i="51"/>
  <c r="I39" i="51"/>
  <c r="I24" i="51"/>
  <c r="I82" i="51"/>
  <c r="I56" i="51"/>
  <c r="I152" i="51"/>
  <c r="I73" i="51"/>
  <c r="I28" i="51"/>
  <c r="I124" i="51"/>
  <c r="I120" i="51"/>
  <c r="I60" i="51"/>
  <c r="I85" i="51"/>
  <c r="I102" i="51"/>
  <c r="I103" i="51"/>
  <c r="I116" i="51"/>
  <c r="I21" i="51"/>
  <c r="I158" i="51"/>
  <c r="I146" i="51"/>
  <c r="I159" i="51"/>
  <c r="I113" i="51"/>
  <c r="I49" i="51"/>
  <c r="I98" i="51"/>
  <c r="I58" i="51"/>
  <c r="I153" i="51"/>
  <c r="I167" i="51"/>
  <c r="I140" i="51"/>
  <c r="I36" i="51"/>
  <c r="I175" i="51"/>
  <c r="I184" i="51"/>
  <c r="I55" i="51"/>
  <c r="I172" i="51"/>
  <c r="I171" i="51"/>
  <c r="I99" i="51"/>
  <c r="I169" i="51"/>
  <c r="I94" i="51"/>
  <c r="I96" i="51"/>
  <c r="I136" i="51"/>
  <c r="I20" i="51"/>
  <c r="I119" i="51"/>
  <c r="I144" i="51"/>
  <c r="I52" i="51"/>
  <c r="I11" i="51"/>
  <c r="I79" i="51"/>
  <c r="I74" i="51"/>
  <c r="I50" i="51"/>
  <c r="I165" i="51"/>
  <c r="I129" i="51"/>
  <c r="I14" i="51"/>
  <c r="I131" i="51"/>
  <c r="I111" i="51"/>
  <c r="I16" i="51"/>
  <c r="I150" i="51"/>
  <c r="I95" i="51"/>
  <c r="I17" i="51"/>
  <c r="I23" i="51"/>
  <c r="I25" i="51"/>
  <c r="I160" i="51"/>
  <c r="I100" i="51"/>
  <c r="I141" i="51"/>
  <c r="I178" i="51"/>
  <c r="I54" i="51"/>
  <c r="I26" i="51"/>
  <c r="I65" i="51"/>
  <c r="I130" i="51"/>
  <c r="I71" i="51"/>
  <c r="I62" i="51"/>
  <c r="I45" i="51"/>
  <c r="I148" i="51"/>
  <c r="I110" i="51"/>
  <c r="I69" i="51"/>
  <c r="I112" i="51"/>
  <c r="I48" i="51"/>
  <c r="I30" i="51"/>
  <c r="I57" i="51"/>
  <c r="I83" i="51"/>
  <c r="I34" i="51"/>
  <c r="I166" i="51"/>
  <c r="I147" i="51"/>
  <c r="I125" i="51"/>
  <c r="I40" i="51"/>
  <c r="I86" i="51"/>
  <c r="I177" i="51"/>
  <c r="I101" i="51"/>
  <c r="I63" i="51"/>
  <c r="I107" i="51"/>
  <c r="I67" i="51"/>
  <c r="I154" i="51"/>
  <c r="I43" i="51"/>
  <c r="I156" i="51"/>
  <c r="I88" i="51"/>
  <c r="I89" i="51"/>
  <c r="I35" i="51"/>
  <c r="I70" i="51"/>
  <c r="I109" i="51"/>
  <c r="I44" i="51"/>
  <c r="I38" i="51"/>
  <c r="I137" i="51"/>
  <c r="I170" i="51"/>
  <c r="I105" i="51"/>
  <c r="I41" i="51"/>
  <c r="I77" i="51"/>
  <c r="I143" i="51"/>
  <c r="H1" i="48"/>
  <c r="F125" i="47"/>
  <c r="F138" i="47"/>
  <c r="F25" i="47"/>
  <c r="F27" i="47"/>
  <c r="F58" i="47"/>
  <c r="F158" i="47"/>
  <c r="F174" i="47"/>
  <c r="F23" i="47"/>
  <c r="F148" i="47"/>
  <c r="F173" i="47"/>
  <c r="F75" i="47"/>
  <c r="F128" i="47"/>
  <c r="F64" i="47"/>
  <c r="F47" i="47"/>
  <c r="F153" i="47"/>
  <c r="F42" i="47"/>
  <c r="F14" i="47"/>
  <c r="F143" i="47"/>
  <c r="F81" i="47"/>
  <c r="F149" i="47"/>
  <c r="F135" i="47"/>
  <c r="J175" i="51"/>
  <c r="J72" i="51"/>
  <c r="K4" i="30"/>
  <c r="J13" i="51"/>
  <c r="J169" i="51"/>
  <c r="J33" i="51"/>
  <c r="J146" i="51"/>
  <c r="J69" i="51"/>
  <c r="J55" i="51"/>
  <c r="J124" i="51"/>
  <c r="J109" i="51"/>
  <c r="J93" i="51"/>
  <c r="J122" i="51"/>
  <c r="J134" i="51"/>
  <c r="J19" i="51"/>
  <c r="J48" i="51"/>
  <c r="J167" i="51"/>
  <c r="J62" i="51"/>
  <c r="J26" i="51"/>
  <c r="J44" i="51"/>
  <c r="J178" i="51"/>
  <c r="J92" i="51"/>
  <c r="J119" i="51"/>
  <c r="J182" i="51"/>
  <c r="J35" i="51"/>
  <c r="J9" i="51"/>
  <c r="J60" i="51"/>
  <c r="J136" i="51"/>
  <c r="J23" i="51"/>
  <c r="J152" i="51"/>
  <c r="J66" i="51"/>
  <c r="J29" i="51"/>
  <c r="J65" i="51"/>
  <c r="J74" i="51"/>
  <c r="J71" i="51"/>
  <c r="J125" i="51"/>
  <c r="J160" i="51"/>
  <c r="J173" i="51"/>
  <c r="J53" i="51"/>
  <c r="J143" i="51"/>
  <c r="J135" i="51"/>
  <c r="J97" i="51"/>
  <c r="J176" i="51"/>
  <c r="J14" i="51"/>
  <c r="J79" i="51"/>
  <c r="J42" i="51"/>
  <c r="J18" i="51"/>
  <c r="J89" i="51"/>
  <c r="J76" i="51"/>
  <c r="J179" i="51"/>
  <c r="J58" i="51"/>
  <c r="J144" i="51"/>
  <c r="J107" i="51"/>
  <c r="J59" i="51"/>
  <c r="J57" i="51"/>
  <c r="J30" i="51"/>
  <c r="J28" i="51"/>
  <c r="J139" i="51"/>
  <c r="J36" i="51"/>
  <c r="J128" i="51"/>
  <c r="J147" i="51"/>
  <c r="J88" i="51"/>
  <c r="J56" i="51"/>
  <c r="J41" i="51"/>
  <c r="J158" i="51"/>
  <c r="J133" i="51"/>
  <c r="J106" i="51"/>
  <c r="J180" i="51"/>
  <c r="J96" i="51"/>
  <c r="J51" i="51"/>
  <c r="J17" i="51"/>
  <c r="J145" i="51"/>
  <c r="J129" i="51"/>
  <c r="J68" i="51"/>
  <c r="J77" i="51"/>
  <c r="J83" i="51"/>
  <c r="J108" i="51"/>
  <c r="J131" i="51"/>
  <c r="J127" i="51"/>
  <c r="J117" i="51"/>
  <c r="J120" i="51"/>
  <c r="J84" i="51"/>
  <c r="J54" i="51"/>
  <c r="J184" i="51"/>
  <c r="J138" i="51"/>
  <c r="J87" i="51"/>
  <c r="J16" i="51"/>
  <c r="J151" i="51"/>
  <c r="J116" i="51"/>
  <c r="J78" i="51"/>
  <c r="J177" i="51"/>
  <c r="J159" i="51"/>
  <c r="J94" i="51"/>
  <c r="J46" i="51"/>
  <c r="J81" i="51"/>
  <c r="J166" i="51"/>
  <c r="J153" i="51"/>
  <c r="J137" i="51"/>
  <c r="J37" i="51"/>
  <c r="J141" i="51"/>
  <c r="J49" i="51"/>
  <c r="J102" i="51"/>
  <c r="J40" i="51"/>
  <c r="J52" i="51"/>
  <c r="J150" i="51"/>
  <c r="J34" i="51"/>
  <c r="J170" i="51"/>
  <c r="J165" i="51"/>
  <c r="J63" i="51"/>
  <c r="J86" i="51"/>
  <c r="J156" i="51"/>
  <c r="J126" i="51"/>
  <c r="J154" i="51"/>
  <c r="J25" i="51"/>
  <c r="J140" i="51"/>
  <c r="J161" i="51"/>
  <c r="J85" i="51"/>
  <c r="J103" i="51"/>
  <c r="J132" i="51"/>
  <c r="J43" i="51"/>
  <c r="J21" i="51"/>
  <c r="J12" i="51"/>
  <c r="J20" i="51"/>
  <c r="J164" i="51"/>
  <c r="J174" i="51"/>
  <c r="J162" i="51"/>
  <c r="J11" i="51"/>
  <c r="J168" i="51"/>
  <c r="J114" i="51"/>
  <c r="J172" i="51"/>
  <c r="J39" i="51"/>
  <c r="J148" i="51"/>
  <c r="J111" i="51"/>
  <c r="J10" i="51"/>
  <c r="J24" i="51"/>
  <c r="J155" i="51"/>
  <c r="J38" i="51"/>
  <c r="J90" i="51"/>
  <c r="J157" i="51"/>
  <c r="J82" i="51"/>
  <c r="J95" i="51"/>
  <c r="J171" i="51"/>
  <c r="J100" i="51"/>
  <c r="J45" i="51"/>
  <c r="J101" i="51"/>
  <c r="J113" i="51"/>
  <c r="J31" i="51"/>
  <c r="J70" i="51"/>
  <c r="J61" i="51"/>
  <c r="J110" i="51"/>
  <c r="J50" i="51"/>
  <c r="J118" i="51"/>
  <c r="J149" i="51"/>
  <c r="J15" i="51"/>
  <c r="J130" i="51"/>
  <c r="J98" i="51"/>
  <c r="J27" i="51"/>
  <c r="J123" i="51"/>
  <c r="J112" i="51"/>
  <c r="J73" i="51"/>
  <c r="J32" i="51"/>
  <c r="J105" i="51"/>
  <c r="J99" i="51"/>
  <c r="J67" i="51"/>
  <c r="J80" i="51"/>
  <c r="J115" i="51"/>
  <c r="H4" i="31"/>
  <c r="G21" i="52"/>
  <c r="G109" i="52"/>
  <c r="G159" i="52"/>
  <c r="G118" i="52"/>
  <c r="G30" i="52"/>
  <c r="G102" i="52"/>
  <c r="G161" i="52"/>
  <c r="G40" i="52"/>
  <c r="G53" i="52"/>
  <c r="G153" i="52"/>
  <c r="G133" i="52"/>
  <c r="G89" i="52"/>
  <c r="G63" i="52"/>
  <c r="G39" i="52"/>
  <c r="G33" i="52"/>
  <c r="G112" i="52"/>
  <c r="G175" i="52"/>
  <c r="G165" i="52"/>
  <c r="G173" i="52"/>
  <c r="G55" i="52"/>
  <c r="G62" i="52"/>
  <c r="G144" i="52"/>
  <c r="G103" i="52"/>
  <c r="G172" i="52"/>
  <c r="G135" i="52"/>
  <c r="G80" i="52"/>
  <c r="G131" i="52"/>
  <c r="G143" i="52"/>
  <c r="G77" i="52"/>
  <c r="G179" i="52"/>
  <c r="G29" i="52"/>
  <c r="G85" i="52"/>
  <c r="G38" i="52"/>
  <c r="G117" i="52"/>
  <c r="G31" i="52"/>
  <c r="G128" i="52"/>
  <c r="G158" i="52"/>
  <c r="G98" i="52"/>
  <c r="G111" i="52"/>
  <c r="G138" i="52"/>
  <c r="G106" i="52"/>
  <c r="G151" i="52"/>
  <c r="G82" i="52"/>
  <c r="G36" i="52"/>
  <c r="G57" i="52"/>
  <c r="G42" i="52"/>
  <c r="G174" i="52"/>
  <c r="G13" i="52"/>
  <c r="G105" i="52"/>
  <c r="G178" i="52"/>
  <c r="G76" i="52"/>
  <c r="G148" i="52"/>
  <c r="G49" i="52"/>
  <c r="G73" i="52"/>
  <c r="G28" i="52"/>
  <c r="G166" i="52"/>
  <c r="G69" i="52"/>
  <c r="G90" i="52"/>
  <c r="G127" i="52"/>
  <c r="G164" i="52"/>
  <c r="G122" i="52"/>
  <c r="G50" i="52"/>
  <c r="G170" i="52"/>
  <c r="G171" i="52"/>
  <c r="G87" i="52"/>
  <c r="G162" i="52"/>
  <c r="G67" i="52"/>
  <c r="G147" i="52"/>
  <c r="G26" i="52"/>
  <c r="G65" i="52"/>
  <c r="G23" i="52"/>
  <c r="G86" i="52"/>
  <c r="G115" i="52"/>
  <c r="G10" i="52"/>
  <c r="G34" i="52"/>
  <c r="G124" i="52"/>
  <c r="G134" i="52"/>
  <c r="G81" i="52"/>
  <c r="G12" i="52"/>
  <c r="G66" i="52"/>
  <c r="G95" i="52"/>
  <c r="G72" i="52"/>
  <c r="G184" i="52"/>
  <c r="G99" i="52"/>
  <c r="G168" i="52"/>
  <c r="G17" i="52"/>
  <c r="G79" i="52"/>
  <c r="G120" i="52"/>
  <c r="G137" i="52"/>
  <c r="G140" i="52"/>
  <c r="G97" i="52"/>
  <c r="G59" i="52"/>
  <c r="G18" i="52"/>
  <c r="G43" i="52"/>
  <c r="G84" i="52"/>
  <c r="G27" i="52"/>
  <c r="G110" i="52"/>
  <c r="G145" i="52"/>
  <c r="G114" i="52"/>
  <c r="G113" i="52"/>
  <c r="G129" i="52"/>
  <c r="G126" i="52"/>
  <c r="G11" i="52"/>
  <c r="G19" i="52"/>
  <c r="G25" i="52"/>
  <c r="G136" i="52"/>
  <c r="G78" i="52"/>
  <c r="G116" i="52"/>
  <c r="G156" i="52"/>
  <c r="G149" i="52"/>
  <c r="G146" i="52"/>
  <c r="G44" i="52"/>
  <c r="G150" i="52"/>
  <c r="G101" i="52"/>
  <c r="G37" i="52"/>
  <c r="G74" i="52"/>
  <c r="G180" i="52"/>
  <c r="G176" i="52"/>
  <c r="G60" i="52"/>
  <c r="G155" i="52"/>
  <c r="G52" i="52"/>
  <c r="G100" i="52"/>
  <c r="G107" i="52"/>
  <c r="G132" i="52"/>
  <c r="G58" i="52"/>
  <c r="G160" i="52"/>
  <c r="G45" i="52"/>
  <c r="G167" i="52"/>
  <c r="G169" i="52"/>
  <c r="G15" i="52"/>
  <c r="G93" i="52"/>
  <c r="G70" i="52"/>
  <c r="G61" i="52"/>
  <c r="G20" i="52"/>
  <c r="G51" i="52"/>
  <c r="G35" i="52"/>
  <c r="G96" i="52"/>
  <c r="G152" i="52"/>
  <c r="G54" i="52"/>
  <c r="G94" i="52"/>
  <c r="G182" i="52"/>
  <c r="G24" i="52"/>
  <c r="G125" i="52"/>
  <c r="G108" i="52"/>
  <c r="G48" i="52"/>
  <c r="G83" i="52"/>
  <c r="G46" i="52"/>
  <c r="G16" i="52"/>
  <c r="G177" i="52"/>
  <c r="G119" i="52"/>
  <c r="G14" i="52"/>
  <c r="G88" i="52"/>
  <c r="G9" i="52"/>
  <c r="G157" i="52"/>
  <c r="G130" i="52"/>
  <c r="G139" i="52"/>
  <c r="G92" i="52"/>
  <c r="G32" i="52"/>
  <c r="G154" i="52"/>
  <c r="G123" i="52"/>
  <c r="G56" i="52"/>
  <c r="G68" i="52"/>
  <c r="G141" i="52"/>
  <c r="G71" i="52"/>
  <c r="G41" i="52"/>
  <c r="L4" i="30"/>
  <c r="K122" i="51"/>
  <c r="K167" i="51"/>
  <c r="K129" i="51"/>
  <c r="K48" i="51"/>
  <c r="K180" i="51"/>
  <c r="K102" i="51"/>
  <c r="K130" i="51"/>
  <c r="K182" i="51"/>
  <c r="K77" i="51"/>
  <c r="K21" i="51"/>
  <c r="K45" i="51"/>
  <c r="K159" i="51"/>
  <c r="K52" i="51"/>
  <c r="K68" i="51"/>
  <c r="K169" i="51"/>
  <c r="K105" i="51"/>
  <c r="K69" i="51"/>
  <c r="K126" i="51"/>
  <c r="K74" i="51"/>
  <c r="K80" i="51"/>
  <c r="K71" i="51"/>
  <c r="K29" i="51"/>
  <c r="K46" i="51"/>
  <c r="K101" i="51"/>
  <c r="K78" i="51"/>
  <c r="K112" i="51"/>
  <c r="K124" i="51"/>
  <c r="K179" i="51"/>
  <c r="K172" i="51"/>
  <c r="K151" i="51"/>
  <c r="K90" i="51"/>
  <c r="K93" i="51"/>
  <c r="K73" i="51"/>
  <c r="K27" i="51"/>
  <c r="K94" i="51"/>
  <c r="K155" i="51"/>
  <c r="K66" i="51"/>
  <c r="K173" i="51"/>
  <c r="K36" i="51"/>
  <c r="K100" i="51"/>
  <c r="K63" i="51"/>
  <c r="K43" i="51"/>
  <c r="K160" i="51"/>
  <c r="K117" i="51"/>
  <c r="K87" i="51"/>
  <c r="K184" i="51"/>
  <c r="K95" i="51"/>
  <c r="K39" i="51"/>
  <c r="K147" i="51"/>
  <c r="K108" i="51"/>
  <c r="K89" i="51"/>
  <c r="K171" i="51"/>
  <c r="K15" i="51"/>
  <c r="K174" i="51"/>
  <c r="K144" i="51"/>
  <c r="K177" i="51"/>
  <c r="K137" i="51"/>
  <c r="K134" i="51"/>
  <c r="K120" i="51"/>
  <c r="K25" i="51"/>
  <c r="K119" i="51"/>
  <c r="K79" i="51"/>
  <c r="K16" i="51"/>
  <c r="K72" i="51"/>
  <c r="K26" i="51"/>
  <c r="K42" i="51"/>
  <c r="K113" i="51"/>
  <c r="K109" i="51"/>
  <c r="K82" i="51"/>
  <c r="K114" i="51"/>
  <c r="K67" i="51"/>
  <c r="K107" i="51"/>
  <c r="K81" i="51"/>
  <c r="K175" i="51"/>
  <c r="K56" i="51"/>
  <c r="K12" i="51"/>
  <c r="K110" i="51"/>
  <c r="K158" i="51"/>
  <c r="K103" i="51"/>
  <c r="K88" i="51"/>
  <c r="K96" i="51"/>
  <c r="K18" i="51"/>
  <c r="K99" i="51"/>
  <c r="K166" i="51"/>
  <c r="K165" i="51"/>
  <c r="K35" i="51"/>
  <c r="K32" i="51"/>
  <c r="K118" i="51"/>
  <c r="K168" i="51"/>
  <c r="K97" i="51"/>
  <c r="K55" i="51"/>
  <c r="K152" i="51"/>
  <c r="K13" i="51"/>
  <c r="K34" i="51"/>
  <c r="K17" i="51"/>
  <c r="K51" i="51"/>
  <c r="K40" i="51"/>
  <c r="K33" i="51"/>
  <c r="K115" i="51"/>
  <c r="K135" i="51"/>
  <c r="K143" i="51"/>
  <c r="K116" i="51"/>
  <c r="K133" i="51"/>
  <c r="K178" i="51"/>
  <c r="K162" i="51"/>
  <c r="K156" i="51"/>
  <c r="K19" i="51"/>
  <c r="K76" i="51"/>
  <c r="K132" i="51"/>
  <c r="K38" i="51"/>
  <c r="K141" i="51"/>
  <c r="K164" i="51"/>
  <c r="K61" i="51"/>
  <c r="K98" i="51"/>
  <c r="K84" i="51"/>
  <c r="K106" i="51"/>
  <c r="K41" i="51"/>
  <c r="K161" i="51"/>
  <c r="K14" i="51"/>
  <c r="K57" i="51"/>
  <c r="K138" i="51"/>
  <c r="K53" i="51"/>
  <c r="K176" i="51"/>
  <c r="K131" i="51"/>
  <c r="K146" i="51"/>
  <c r="K31" i="51"/>
  <c r="K60" i="51"/>
  <c r="K153" i="51"/>
  <c r="K92" i="51"/>
  <c r="K50" i="51"/>
  <c r="K128" i="51"/>
  <c r="K70" i="51"/>
  <c r="K127" i="51"/>
  <c r="K54" i="51"/>
  <c r="K10" i="51"/>
  <c r="K59" i="51"/>
  <c r="K62" i="51"/>
  <c r="K125" i="51"/>
  <c r="K157" i="51"/>
  <c r="K150" i="51"/>
  <c r="K20" i="51"/>
  <c r="K154" i="51"/>
  <c r="K49" i="51"/>
  <c r="K170" i="51"/>
  <c r="K140" i="51"/>
  <c r="K86" i="51"/>
  <c r="K111" i="51"/>
  <c r="K28" i="51"/>
  <c r="K148" i="51"/>
  <c r="K11" i="51"/>
  <c r="K85" i="51"/>
  <c r="K145" i="51"/>
  <c r="K136" i="51"/>
  <c r="K65" i="51"/>
  <c r="K44" i="51"/>
  <c r="K83" i="51"/>
  <c r="K9" i="51"/>
  <c r="K24" i="51"/>
  <c r="K30" i="51"/>
  <c r="K58" i="51"/>
  <c r="K123" i="51"/>
  <c r="K37" i="51"/>
  <c r="K149" i="51"/>
  <c r="K23" i="51"/>
  <c r="K139" i="51"/>
  <c r="I4" i="31"/>
  <c r="H158" i="52"/>
  <c r="H83" i="52"/>
  <c r="H70" i="52"/>
  <c r="H54" i="52"/>
  <c r="H139" i="52"/>
  <c r="H77" i="52"/>
  <c r="H175" i="52"/>
  <c r="H30" i="52"/>
  <c r="H130" i="52"/>
  <c r="H180" i="52"/>
  <c r="H44" i="52"/>
  <c r="H15" i="52"/>
  <c r="H101" i="52"/>
  <c r="H124" i="52"/>
  <c r="H66" i="52"/>
  <c r="H27" i="52"/>
  <c r="H174" i="52"/>
  <c r="H176" i="52"/>
  <c r="H50" i="52"/>
  <c r="H170" i="52"/>
  <c r="H143" i="52"/>
  <c r="H76" i="52"/>
  <c r="H33" i="52"/>
  <c r="H53" i="52"/>
  <c r="H21" i="52"/>
  <c r="H57" i="52"/>
  <c r="H156" i="52"/>
  <c r="H11" i="52"/>
  <c r="H25" i="52"/>
  <c r="H58" i="52"/>
  <c r="H110" i="52"/>
  <c r="H79" i="52"/>
  <c r="H37" i="52"/>
  <c r="H60" i="52"/>
  <c r="H56" i="52"/>
  <c r="H65" i="52"/>
  <c r="H67" i="52"/>
  <c r="H84" i="52"/>
  <c r="H114" i="52"/>
  <c r="H87" i="52"/>
  <c r="H152" i="52"/>
  <c r="H69" i="52"/>
  <c r="H115" i="52"/>
  <c r="H179" i="52"/>
  <c r="H132" i="52"/>
  <c r="H81" i="52"/>
  <c r="H23" i="52"/>
  <c r="H177" i="52"/>
  <c r="H157" i="52"/>
  <c r="H106" i="52"/>
  <c r="H98" i="52"/>
  <c r="H172" i="52"/>
  <c r="H82" i="52"/>
  <c r="H92" i="52"/>
  <c r="H145" i="52"/>
  <c r="H80" i="52"/>
  <c r="H95" i="52"/>
  <c r="H164" i="52"/>
  <c r="H150" i="52"/>
  <c r="H46" i="52"/>
  <c r="H125" i="52"/>
  <c r="H120" i="52"/>
  <c r="H107" i="52"/>
  <c r="H43" i="52"/>
  <c r="H100" i="52"/>
  <c r="H20" i="52"/>
  <c r="H151" i="52"/>
  <c r="H144" i="52"/>
  <c r="H9" i="52"/>
  <c r="H10" i="52"/>
  <c r="H123" i="52"/>
  <c r="H40" i="52"/>
  <c r="H162" i="52"/>
  <c r="H52" i="52"/>
  <c r="H134" i="52"/>
  <c r="H111" i="52"/>
  <c r="H29" i="52"/>
  <c r="H31" i="52"/>
  <c r="H166" i="52"/>
  <c r="H141" i="52"/>
  <c r="H136" i="52"/>
  <c r="H148" i="52"/>
  <c r="H129" i="52"/>
  <c r="H34" i="52"/>
  <c r="H127" i="52"/>
  <c r="H161" i="52"/>
  <c r="H122" i="52"/>
  <c r="H38" i="52"/>
  <c r="H85" i="52"/>
  <c r="H171" i="52"/>
  <c r="H97" i="52"/>
  <c r="H184" i="52"/>
  <c r="H90" i="52"/>
  <c r="H138" i="52"/>
  <c r="H153" i="52"/>
  <c r="H105" i="52"/>
  <c r="H71" i="52"/>
  <c r="H117" i="52"/>
  <c r="H35" i="52"/>
  <c r="H147" i="52"/>
  <c r="H48" i="52"/>
  <c r="H99" i="52"/>
  <c r="H96" i="52"/>
  <c r="H49" i="52"/>
  <c r="H140" i="52"/>
  <c r="H32" i="52"/>
  <c r="H137" i="52"/>
  <c r="H59" i="52"/>
  <c r="H18" i="52"/>
  <c r="H154" i="52"/>
  <c r="H72" i="52"/>
  <c r="H13" i="52"/>
  <c r="H74" i="52"/>
  <c r="H89" i="52"/>
  <c r="H41" i="52"/>
  <c r="H14" i="52"/>
  <c r="H133" i="52"/>
  <c r="H109" i="52"/>
  <c r="H168" i="52"/>
  <c r="H24" i="52"/>
  <c r="H62" i="52"/>
  <c r="H39" i="52"/>
  <c r="H112" i="52"/>
  <c r="H167" i="52"/>
  <c r="H126" i="52"/>
  <c r="H118" i="52"/>
  <c r="H108" i="52"/>
  <c r="H42" i="52"/>
  <c r="H36" i="52"/>
  <c r="H146" i="52"/>
  <c r="H165" i="52"/>
  <c r="H61" i="52"/>
  <c r="H169" i="52"/>
  <c r="H113" i="52"/>
  <c r="H26" i="52"/>
  <c r="H119" i="52"/>
  <c r="H135" i="52"/>
  <c r="H128" i="52"/>
  <c r="H51" i="52"/>
  <c r="H160" i="52"/>
  <c r="H149" i="52"/>
  <c r="H28" i="52"/>
  <c r="H131" i="52"/>
  <c r="H93" i="52"/>
  <c r="H103" i="52"/>
  <c r="H73" i="52"/>
  <c r="H182" i="52"/>
  <c r="H94" i="52"/>
  <c r="H45" i="52"/>
  <c r="H155" i="52"/>
  <c r="H78" i="52"/>
  <c r="H55" i="52"/>
  <c r="H173" i="52"/>
  <c r="H16" i="52"/>
  <c r="H116" i="52"/>
  <c r="H178" i="52"/>
  <c r="H17" i="52"/>
  <c r="H88" i="52"/>
  <c r="H86" i="52"/>
  <c r="H12" i="52"/>
  <c r="H159" i="52"/>
  <c r="H102" i="52"/>
  <c r="H19" i="52"/>
  <c r="H63" i="52"/>
  <c r="H68" i="52"/>
  <c r="I1" i="48"/>
  <c r="G149" i="47"/>
  <c r="G165" i="47"/>
  <c r="G93" i="47"/>
  <c r="G45" i="47"/>
  <c r="G131" i="47"/>
  <c r="G174" i="47"/>
  <c r="G91" i="47"/>
  <c r="G118" i="47"/>
  <c r="G130" i="47"/>
  <c r="G82" i="47"/>
  <c r="G86" i="47"/>
  <c r="G80" i="47"/>
  <c r="G85" i="47"/>
  <c r="G35" i="47"/>
  <c r="G88" i="47"/>
  <c r="G25" i="47"/>
  <c r="G97" i="47"/>
  <c r="G30" i="47"/>
  <c r="G183" i="47"/>
  <c r="G70" i="47"/>
  <c r="J4" i="31"/>
  <c r="I57" i="52"/>
  <c r="I122" i="52"/>
  <c r="I155" i="52"/>
  <c r="I40" i="52"/>
  <c r="I81" i="52"/>
  <c r="I52" i="52"/>
  <c r="I149" i="52"/>
  <c r="I169" i="52"/>
  <c r="I39" i="52"/>
  <c r="I160" i="52"/>
  <c r="I168" i="52"/>
  <c r="I83" i="52"/>
  <c r="I129" i="52"/>
  <c r="I32" i="52"/>
  <c r="I9" i="52"/>
  <c r="I66" i="52"/>
  <c r="I107" i="52"/>
  <c r="I184" i="52"/>
  <c r="I12" i="52"/>
  <c r="I79" i="52"/>
  <c r="I97" i="52"/>
  <c r="I148" i="52"/>
  <c r="I19" i="52"/>
  <c r="I126" i="52"/>
  <c r="I27" i="52"/>
  <c r="I54" i="52"/>
  <c r="I112" i="52"/>
  <c r="I177" i="52"/>
  <c r="I114" i="52"/>
  <c r="I131" i="52"/>
  <c r="I176" i="52"/>
  <c r="I36" i="52"/>
  <c r="I95" i="52"/>
  <c r="I14" i="52"/>
  <c r="I56" i="52"/>
  <c r="I77" i="52"/>
  <c r="I117" i="52"/>
  <c r="I123" i="52"/>
  <c r="I43" i="52"/>
  <c r="I88" i="52"/>
  <c r="I60" i="52"/>
  <c r="I28" i="52"/>
  <c r="I26" i="52"/>
  <c r="I71" i="52"/>
  <c r="I111" i="52"/>
  <c r="I62" i="52"/>
  <c r="I67" i="52"/>
  <c r="I84" i="52"/>
  <c r="I124" i="52"/>
  <c r="I61" i="52"/>
  <c r="I109" i="52"/>
  <c r="I179" i="52"/>
  <c r="I101" i="52"/>
  <c r="I53" i="52"/>
  <c r="I159" i="52"/>
  <c r="I35" i="52"/>
  <c r="I161" i="52"/>
  <c r="I89" i="52"/>
  <c r="I73" i="52"/>
  <c r="I134" i="52"/>
  <c r="I37" i="52"/>
  <c r="I133" i="52"/>
  <c r="I130" i="52"/>
  <c r="I49" i="52"/>
  <c r="I42" i="52"/>
  <c r="I141" i="52"/>
  <c r="I165" i="52"/>
  <c r="I10" i="52"/>
  <c r="I46" i="52"/>
  <c r="I132" i="52"/>
  <c r="I151" i="52"/>
  <c r="I70" i="52"/>
  <c r="I41" i="52"/>
  <c r="I13" i="52"/>
  <c r="I150" i="52"/>
  <c r="I50" i="52"/>
  <c r="I68" i="52"/>
  <c r="I15" i="52"/>
  <c r="I157" i="52"/>
  <c r="I138" i="52"/>
  <c r="I33" i="52"/>
  <c r="I63" i="52"/>
  <c r="I74" i="52"/>
  <c r="I82" i="52"/>
  <c r="I38" i="52"/>
  <c r="I128" i="52"/>
  <c r="I103" i="52"/>
  <c r="I90" i="52"/>
  <c r="I106" i="52"/>
  <c r="I98" i="52"/>
  <c r="I86" i="52"/>
  <c r="I158" i="52"/>
  <c r="I180" i="52"/>
  <c r="I59" i="52"/>
  <c r="I85" i="52"/>
  <c r="I120" i="52"/>
  <c r="I144" i="52"/>
  <c r="I17" i="52"/>
  <c r="I119" i="52"/>
  <c r="I58" i="52"/>
  <c r="I166" i="52"/>
  <c r="I80" i="52"/>
  <c r="I167" i="52"/>
  <c r="I99" i="52"/>
  <c r="I11" i="52"/>
  <c r="I45" i="52"/>
  <c r="I34" i="52"/>
  <c r="I108" i="52"/>
  <c r="I69" i="52"/>
  <c r="I135" i="52"/>
  <c r="I137" i="52"/>
  <c r="I76" i="52"/>
  <c r="I51" i="52"/>
  <c r="I170" i="52"/>
  <c r="I110" i="52"/>
  <c r="I31" i="52"/>
  <c r="I116" i="52"/>
  <c r="I96" i="52"/>
  <c r="I156" i="52"/>
  <c r="I30" i="52"/>
  <c r="I171" i="52"/>
  <c r="I143" i="52"/>
  <c r="I44" i="52"/>
  <c r="I172" i="52"/>
  <c r="I100" i="52"/>
  <c r="I147" i="52"/>
  <c r="I113" i="52"/>
  <c r="I23" i="52"/>
  <c r="I102" i="52"/>
  <c r="I146" i="52"/>
  <c r="I182" i="52"/>
  <c r="I93" i="52"/>
  <c r="I18" i="52"/>
  <c r="I145" i="52"/>
  <c r="I20" i="52"/>
  <c r="I152" i="52"/>
  <c r="I115" i="52"/>
  <c r="I174" i="52"/>
  <c r="I65" i="52"/>
  <c r="I92" i="52"/>
  <c r="I175" i="52"/>
  <c r="I153" i="52"/>
  <c r="I127" i="52"/>
  <c r="I25" i="52"/>
  <c r="I105" i="52"/>
  <c r="I136" i="52"/>
  <c r="I178" i="52"/>
  <c r="I140" i="52"/>
  <c r="I154" i="52"/>
  <c r="I87" i="52"/>
  <c r="I24" i="52"/>
  <c r="I162" i="52"/>
  <c r="I16" i="52"/>
  <c r="I173" i="52"/>
  <c r="I164" i="52"/>
  <c r="I78" i="52"/>
  <c r="I72" i="52"/>
  <c r="I139" i="52"/>
  <c r="I94" i="52"/>
  <c r="I29" i="52"/>
  <c r="I125" i="52"/>
  <c r="I55" i="52"/>
  <c r="I21" i="52"/>
  <c r="I118" i="52"/>
  <c r="I48" i="52"/>
  <c r="J1" i="48"/>
  <c r="H115" i="47"/>
  <c r="H124" i="47"/>
  <c r="H92" i="47"/>
  <c r="H116" i="47"/>
  <c r="H93" i="47"/>
  <c r="H165" i="47"/>
  <c r="H32" i="47"/>
  <c r="H30" i="47"/>
  <c r="H19" i="47"/>
  <c r="H171" i="47"/>
  <c r="H79" i="47"/>
  <c r="H78" i="47"/>
  <c r="H49" i="47"/>
  <c r="H17" i="47"/>
  <c r="H18" i="47"/>
  <c r="H11" i="47"/>
  <c r="H144" i="47"/>
  <c r="H15" i="47"/>
  <c r="H28" i="47"/>
  <c r="H147" i="47"/>
  <c r="M4" i="30"/>
  <c r="N4" i="30"/>
  <c r="O4" i="30"/>
  <c r="P4" i="30"/>
  <c r="Q4" i="30"/>
  <c r="R4" i="30"/>
  <c r="S4" i="30"/>
  <c r="T4" i="30"/>
  <c r="U4" i="30"/>
  <c r="V4" i="30"/>
  <c r="W4" i="30"/>
  <c r="L82" i="51"/>
  <c r="L94" i="51"/>
  <c r="L69" i="51"/>
  <c r="L38" i="51"/>
  <c r="L26" i="51"/>
  <c r="L16" i="51"/>
  <c r="L117" i="51"/>
  <c r="L140" i="51"/>
  <c r="L130" i="51"/>
  <c r="L98" i="51"/>
  <c r="L35" i="51"/>
  <c r="L42" i="51"/>
  <c r="L99" i="51"/>
  <c r="L155" i="51"/>
  <c r="L180" i="51"/>
  <c r="L60" i="51"/>
  <c r="L31" i="51"/>
  <c r="L118" i="51"/>
  <c r="L107" i="51"/>
  <c r="L172" i="51"/>
  <c r="L96" i="51"/>
  <c r="L159" i="51"/>
  <c r="L46" i="51"/>
  <c r="L164" i="51"/>
  <c r="L72" i="51"/>
  <c r="L55" i="51"/>
  <c r="L173" i="51"/>
  <c r="L28" i="51"/>
  <c r="L27" i="51"/>
  <c r="L14" i="51"/>
  <c r="L20" i="51"/>
  <c r="L57" i="51"/>
  <c r="L89" i="51"/>
  <c r="L145" i="51"/>
  <c r="L127" i="51"/>
  <c r="L95" i="51"/>
  <c r="L146" i="51"/>
  <c r="L32" i="51"/>
  <c r="L70" i="51"/>
  <c r="L170" i="51"/>
  <c r="L169" i="51"/>
  <c r="L68" i="51"/>
  <c r="L77" i="51"/>
  <c r="L103" i="51"/>
  <c r="L165" i="51"/>
  <c r="L136" i="51"/>
  <c r="L83" i="51"/>
  <c r="L110" i="51"/>
  <c r="L29" i="51"/>
  <c r="L36" i="51"/>
  <c r="L92" i="51"/>
  <c r="L76" i="51"/>
  <c r="L125" i="51"/>
  <c r="L87" i="51"/>
  <c r="L114" i="51"/>
  <c r="L178" i="51"/>
  <c r="L93" i="51"/>
  <c r="L171" i="51"/>
  <c r="L56" i="51"/>
  <c r="L19" i="51"/>
  <c r="L90" i="51"/>
  <c r="L88" i="51"/>
  <c r="L162" i="51"/>
  <c r="L143" i="51"/>
  <c r="L119" i="51"/>
  <c r="L150" i="51"/>
  <c r="L137" i="51"/>
  <c r="L138" i="51"/>
  <c r="L73" i="51"/>
  <c r="L79" i="51"/>
  <c r="L86" i="51"/>
  <c r="L18" i="51"/>
  <c r="L44" i="51"/>
  <c r="L65" i="51"/>
  <c r="L153" i="51"/>
  <c r="L135" i="51"/>
  <c r="L67" i="51"/>
  <c r="L50" i="51"/>
  <c r="L54" i="51"/>
  <c r="L115" i="51"/>
  <c r="L144" i="51"/>
  <c r="L80" i="51"/>
  <c r="L147" i="51"/>
  <c r="L152" i="51"/>
  <c r="L15" i="51"/>
  <c r="L9" i="51"/>
  <c r="L168" i="51"/>
  <c r="L139" i="51"/>
  <c r="L21" i="51"/>
  <c r="L12" i="51"/>
  <c r="L24" i="51"/>
  <c r="L122" i="51"/>
  <c r="L58" i="51"/>
  <c r="L25" i="51"/>
  <c r="L40" i="51"/>
  <c r="L74" i="51"/>
  <c r="L174" i="51"/>
  <c r="L151" i="51"/>
  <c r="L160" i="51"/>
  <c r="L49" i="51"/>
  <c r="L167" i="51"/>
  <c r="L33" i="51"/>
  <c r="L97" i="51"/>
  <c r="L34" i="51"/>
  <c r="L133" i="51"/>
  <c r="L23" i="51"/>
  <c r="L141" i="51"/>
  <c r="L43" i="51"/>
  <c r="L120" i="51"/>
  <c r="L129" i="51"/>
  <c r="L102" i="51"/>
  <c r="L30" i="51"/>
  <c r="L106" i="51"/>
  <c r="L128" i="51"/>
  <c r="L109" i="51"/>
  <c r="L108" i="51"/>
  <c r="L63" i="51"/>
  <c r="L149" i="51"/>
  <c r="L101" i="51"/>
  <c r="L157" i="51"/>
  <c r="L52" i="51"/>
  <c r="L59" i="51"/>
  <c r="L154" i="51"/>
  <c r="L37" i="51"/>
  <c r="L148" i="51"/>
  <c r="L176" i="51"/>
  <c r="L166" i="51"/>
  <c r="L53" i="51"/>
  <c r="L105" i="51"/>
  <c r="L84" i="51"/>
  <c r="L45" i="51"/>
  <c r="L131" i="51"/>
  <c r="L81" i="51"/>
  <c r="L41" i="51"/>
  <c r="L78" i="51"/>
  <c r="L112" i="51"/>
  <c r="L17" i="51"/>
  <c r="L179" i="51"/>
  <c r="L66" i="51"/>
  <c r="L182" i="51"/>
  <c r="L177" i="51"/>
  <c r="L71" i="51"/>
  <c r="L100" i="51"/>
  <c r="L161" i="51"/>
  <c r="L113" i="51"/>
  <c r="L126" i="51"/>
  <c r="L11" i="51"/>
  <c r="L184" i="51"/>
  <c r="L158" i="51"/>
  <c r="L123" i="51"/>
  <c r="L10" i="51"/>
  <c r="L61" i="51"/>
  <c r="L39" i="51"/>
  <c r="L111" i="51"/>
  <c r="L85" i="51"/>
  <c r="L156" i="51"/>
  <c r="L116" i="51"/>
  <c r="L51" i="51"/>
  <c r="L48" i="51"/>
  <c r="L62" i="51"/>
  <c r="L13" i="51"/>
  <c r="L175" i="51"/>
  <c r="L124" i="51"/>
  <c r="L134" i="51"/>
  <c r="L132" i="51"/>
  <c r="K1" i="48"/>
  <c r="I111" i="47"/>
  <c r="I124" i="47"/>
  <c r="I155" i="47"/>
  <c r="I62" i="47"/>
  <c r="I115" i="47"/>
  <c r="I175" i="47"/>
  <c r="I64" i="47"/>
  <c r="I41" i="47"/>
  <c r="I32" i="47"/>
  <c r="I72" i="47"/>
  <c r="I117" i="47"/>
  <c r="I105" i="47"/>
  <c r="I125" i="47"/>
  <c r="I13" i="47"/>
  <c r="I58" i="47"/>
  <c r="I159" i="47"/>
  <c r="I73" i="47"/>
  <c r="I100" i="47"/>
  <c r="I70" i="47"/>
  <c r="I56" i="47"/>
  <c r="K4" i="31"/>
  <c r="J100" i="52"/>
  <c r="J135" i="52"/>
  <c r="J73" i="52"/>
  <c r="J140" i="52"/>
  <c r="J82" i="52"/>
  <c r="J68" i="52"/>
  <c r="J173" i="52"/>
  <c r="J136" i="52"/>
  <c r="J79" i="52"/>
  <c r="J32" i="52"/>
  <c r="J162" i="52"/>
  <c r="J103" i="52"/>
  <c r="J127" i="52"/>
  <c r="J178" i="52"/>
  <c r="J27" i="52"/>
  <c r="J180" i="52"/>
  <c r="J65" i="52"/>
  <c r="J85" i="52"/>
  <c r="J167" i="52"/>
  <c r="J179" i="52"/>
  <c r="J9" i="52"/>
  <c r="J60" i="52"/>
  <c r="J139" i="52"/>
  <c r="J184" i="52"/>
  <c r="J63" i="52"/>
  <c r="J111" i="52"/>
  <c r="J87" i="52"/>
  <c r="J114" i="52"/>
  <c r="J171" i="52"/>
  <c r="J35" i="52"/>
  <c r="J66" i="52"/>
  <c r="J11" i="52"/>
  <c r="J117" i="52"/>
  <c r="J124" i="52"/>
  <c r="J177" i="52"/>
  <c r="J26" i="52"/>
  <c r="J98" i="52"/>
  <c r="J109" i="52"/>
  <c r="J52" i="52"/>
  <c r="J128" i="52"/>
  <c r="J156" i="52"/>
  <c r="J88" i="52"/>
  <c r="J59" i="52"/>
  <c r="J168" i="52"/>
  <c r="J50" i="52"/>
  <c r="J17" i="52"/>
  <c r="J182" i="52"/>
  <c r="J84" i="52"/>
  <c r="J166" i="52"/>
  <c r="J137" i="52"/>
  <c r="J116" i="52"/>
  <c r="J31" i="52"/>
  <c r="J49" i="52"/>
  <c r="J43" i="52"/>
  <c r="J53" i="52"/>
  <c r="J176" i="52"/>
  <c r="J99" i="52"/>
  <c r="J23" i="52"/>
  <c r="J122" i="52"/>
  <c r="J42" i="52"/>
  <c r="J169" i="52"/>
  <c r="J67" i="52"/>
  <c r="J125" i="52"/>
  <c r="J153" i="52"/>
  <c r="J10" i="52"/>
  <c r="J28" i="52"/>
  <c r="J115" i="52"/>
  <c r="J157" i="52"/>
  <c r="J92" i="52"/>
  <c r="J97" i="52"/>
  <c r="J77" i="52"/>
  <c r="J16" i="52"/>
  <c r="J45" i="52"/>
  <c r="J159" i="52"/>
  <c r="J172" i="52"/>
  <c r="J123" i="52"/>
  <c r="J105" i="52"/>
  <c r="J86" i="52"/>
  <c r="J175" i="52"/>
  <c r="J34" i="52"/>
  <c r="J48" i="52"/>
  <c r="J71" i="52"/>
  <c r="J69" i="52"/>
  <c r="J38" i="52"/>
  <c r="J131" i="52"/>
  <c r="J150" i="52"/>
  <c r="J56" i="52"/>
  <c r="J70" i="52"/>
  <c r="J78" i="52"/>
  <c r="J108" i="52"/>
  <c r="J58" i="52"/>
  <c r="J148" i="52"/>
  <c r="J154" i="52"/>
  <c r="J51" i="52"/>
  <c r="J143" i="52"/>
  <c r="J20" i="52"/>
  <c r="J129" i="52"/>
  <c r="J30" i="52"/>
  <c r="J37" i="52"/>
  <c r="J133" i="52"/>
  <c r="J72" i="52"/>
  <c r="J107" i="52"/>
  <c r="J161" i="52"/>
  <c r="J12" i="52"/>
  <c r="J134" i="52"/>
  <c r="J74" i="52"/>
  <c r="J61" i="52"/>
  <c r="J25" i="52"/>
  <c r="J93" i="52"/>
  <c r="J18" i="52"/>
  <c r="J146" i="52"/>
  <c r="J89" i="52"/>
  <c r="J160" i="52"/>
  <c r="J21" i="52"/>
  <c r="J46" i="52"/>
  <c r="J147" i="52"/>
  <c r="J119" i="52"/>
  <c r="J158" i="52"/>
  <c r="J149" i="52"/>
  <c r="J13" i="52"/>
  <c r="J39" i="52"/>
  <c r="J102" i="52"/>
  <c r="J132" i="52"/>
  <c r="J14" i="52"/>
  <c r="J130" i="52"/>
  <c r="J170" i="52"/>
  <c r="J110" i="52"/>
  <c r="J57" i="52"/>
  <c r="J36" i="52"/>
  <c r="J174" i="52"/>
  <c r="J141" i="52"/>
  <c r="J118" i="52"/>
  <c r="J145" i="52"/>
  <c r="J101" i="52"/>
  <c r="J90" i="52"/>
  <c r="J106" i="52"/>
  <c r="J165" i="52"/>
  <c r="J15" i="52"/>
  <c r="J155" i="52"/>
  <c r="J62" i="52"/>
  <c r="J41" i="52"/>
  <c r="J33" i="52"/>
  <c r="J96" i="52"/>
  <c r="J19" i="52"/>
  <c r="J95" i="52"/>
  <c r="J164" i="52"/>
  <c r="J76" i="52"/>
  <c r="J138" i="52"/>
  <c r="J94" i="52"/>
  <c r="J29" i="52"/>
  <c r="J54" i="52"/>
  <c r="J112" i="52"/>
  <c r="J83" i="52"/>
  <c r="J40" i="52"/>
  <c r="J80" i="52"/>
  <c r="J120" i="52"/>
  <c r="J144" i="52"/>
  <c r="J113" i="52"/>
  <c r="J126" i="52"/>
  <c r="J24" i="52"/>
  <c r="J55" i="52"/>
  <c r="J44" i="52"/>
  <c r="J152" i="52"/>
  <c r="J81" i="52"/>
  <c r="J151" i="52"/>
  <c r="K70" i="52"/>
  <c r="K21" i="52"/>
  <c r="K90" i="52"/>
  <c r="K161" i="52"/>
  <c r="K126" i="52"/>
  <c r="K42" i="52"/>
  <c r="K50" i="52"/>
  <c r="K36" i="52"/>
  <c r="K99" i="52"/>
  <c r="K165" i="52"/>
  <c r="K25" i="52"/>
  <c r="K86" i="52"/>
  <c r="L4" i="31"/>
  <c r="K78" i="52"/>
  <c r="K39" i="52"/>
  <c r="K114" i="52"/>
  <c r="K14" i="52"/>
  <c r="K19" i="52"/>
  <c r="K115" i="52"/>
  <c r="K169" i="52"/>
  <c r="K80" i="52"/>
  <c r="K125" i="52"/>
  <c r="K97" i="52"/>
  <c r="K74" i="52"/>
  <c r="K129" i="52"/>
  <c r="K168" i="52"/>
  <c r="K118" i="52"/>
  <c r="K44" i="52"/>
  <c r="K167" i="52"/>
  <c r="K67" i="52"/>
  <c r="K135" i="52"/>
  <c r="K127" i="52"/>
  <c r="K140" i="52"/>
  <c r="K17" i="52"/>
  <c r="K172" i="52"/>
  <c r="K116" i="52"/>
  <c r="K131" i="52"/>
  <c r="K180" i="52"/>
  <c r="K164" i="52"/>
  <c r="K120" i="52"/>
  <c r="K176" i="52"/>
  <c r="K170" i="52"/>
  <c r="K82" i="52"/>
  <c r="K182" i="52"/>
  <c r="K139" i="52"/>
  <c r="K52" i="52"/>
  <c r="K27" i="52"/>
  <c r="K147" i="52"/>
  <c r="K12" i="52"/>
  <c r="K152" i="52"/>
  <c r="K59" i="52"/>
  <c r="K13" i="52"/>
  <c r="K101" i="52"/>
  <c r="K77" i="52"/>
  <c r="K132" i="52"/>
  <c r="K96" i="52"/>
  <c r="K30" i="52"/>
  <c r="K154" i="52"/>
  <c r="K144" i="52"/>
  <c r="K100" i="52"/>
  <c r="K184" i="52"/>
  <c r="K103" i="52"/>
  <c r="K166" i="52"/>
  <c r="K10" i="52"/>
  <c r="K105" i="52"/>
  <c r="K128" i="52"/>
  <c r="K150" i="52"/>
  <c r="K51" i="52"/>
  <c r="K46" i="52"/>
  <c r="K87" i="52"/>
  <c r="K175" i="52"/>
  <c r="K63" i="52"/>
  <c r="K73" i="52"/>
  <c r="K177" i="52"/>
  <c r="K143" i="52"/>
  <c r="K159" i="52"/>
  <c r="K72" i="52"/>
  <c r="K153" i="52"/>
  <c r="K33" i="52"/>
  <c r="K20" i="52"/>
  <c r="K56" i="52"/>
  <c r="K15" i="52"/>
  <c r="K119" i="52"/>
  <c r="K146" i="52"/>
  <c r="K160" i="52"/>
  <c r="K84" i="52"/>
  <c r="K162" i="52"/>
  <c r="K171" i="52"/>
  <c r="K122" i="52"/>
  <c r="K136" i="52"/>
  <c r="K76" i="52"/>
  <c r="K31" i="52"/>
  <c r="K65" i="52"/>
  <c r="K38" i="52"/>
  <c r="K61" i="52"/>
  <c r="K88" i="52"/>
  <c r="K62" i="52"/>
  <c r="K173" i="52"/>
  <c r="K34" i="52"/>
  <c r="K179" i="52"/>
  <c r="K117" i="52"/>
  <c r="K66" i="52"/>
  <c r="K60" i="52"/>
  <c r="K79" i="52"/>
  <c r="K81" i="52"/>
  <c r="K55" i="52"/>
  <c r="K130" i="52"/>
  <c r="K102" i="52"/>
  <c r="K53" i="52"/>
  <c r="K49" i="52"/>
  <c r="K58" i="52"/>
  <c r="K111" i="52"/>
  <c r="K69" i="52"/>
  <c r="K71" i="52"/>
  <c r="K16" i="52"/>
  <c r="K155" i="52"/>
  <c r="K112" i="52"/>
  <c r="K93" i="52"/>
  <c r="K43" i="52"/>
  <c r="K138" i="52"/>
  <c r="K57" i="52"/>
  <c r="K24" i="52"/>
  <c r="K11" i="52"/>
  <c r="K95" i="52"/>
  <c r="K68" i="52"/>
  <c r="K178" i="52"/>
  <c r="K32" i="52"/>
  <c r="K85" i="52"/>
  <c r="K89" i="52"/>
  <c r="K109" i="52"/>
  <c r="K174" i="52"/>
  <c r="K141" i="52"/>
  <c r="K37" i="52"/>
  <c r="K151" i="52"/>
  <c r="K9" i="52"/>
  <c r="K137" i="52"/>
  <c r="K134" i="52"/>
  <c r="K28" i="52"/>
  <c r="K23" i="52"/>
  <c r="K83" i="52"/>
  <c r="K124" i="52"/>
  <c r="K108" i="52"/>
  <c r="K148" i="52"/>
  <c r="K45" i="52"/>
  <c r="K113" i="52"/>
  <c r="K98" i="52"/>
  <c r="K123" i="52"/>
  <c r="K26" i="52"/>
  <c r="K145" i="52"/>
  <c r="K149" i="52"/>
  <c r="K41" i="52"/>
  <c r="K110" i="52"/>
  <c r="K106" i="52"/>
  <c r="K40" i="52"/>
  <c r="K156" i="52"/>
  <c r="K133" i="52"/>
  <c r="K107" i="52"/>
  <c r="K35" i="52"/>
  <c r="K48" i="52"/>
  <c r="K29" i="52"/>
  <c r="K94" i="52"/>
  <c r="K92" i="52"/>
  <c r="K158" i="52"/>
  <c r="K157" i="52"/>
  <c r="K18" i="52"/>
  <c r="K54" i="52"/>
  <c r="J138" i="47"/>
  <c r="J152" i="47"/>
  <c r="L1" i="48"/>
  <c r="J142" i="47"/>
  <c r="J40" i="47"/>
  <c r="J179" i="47"/>
  <c r="J172" i="47"/>
  <c r="J38" i="47"/>
  <c r="J55" i="47"/>
  <c r="J36" i="47"/>
  <c r="J62" i="47"/>
  <c r="J164" i="47"/>
  <c r="J136" i="47"/>
  <c r="J150" i="47"/>
  <c r="J16" i="47"/>
  <c r="J146" i="47"/>
  <c r="J175" i="47"/>
  <c r="J45" i="47"/>
  <c r="J134" i="47"/>
  <c r="J167" i="47"/>
  <c r="J76" i="47"/>
  <c r="J95" i="47"/>
  <c r="J86" i="47"/>
  <c r="J160" i="47"/>
  <c r="J34" i="47"/>
  <c r="J129" i="47"/>
  <c r="J15" i="47"/>
  <c r="J127" i="47"/>
  <c r="K175" i="47"/>
  <c r="K159" i="47"/>
  <c r="K53" i="47"/>
  <c r="K72" i="47"/>
  <c r="K167" i="47"/>
  <c r="K87" i="47"/>
  <c r="K119" i="47"/>
  <c r="K140" i="47"/>
  <c r="K126" i="47"/>
  <c r="K110" i="47"/>
  <c r="K145" i="47"/>
  <c r="K78" i="47"/>
  <c r="K13" i="47"/>
  <c r="K70" i="47"/>
  <c r="K59" i="47"/>
  <c r="K111" i="47"/>
  <c r="K117" i="47"/>
  <c r="K144" i="47"/>
  <c r="K37" i="47"/>
  <c r="K31" i="47"/>
  <c r="K154" i="47"/>
  <c r="K62" i="47"/>
  <c r="K85" i="47"/>
  <c r="K43" i="47"/>
  <c r="K75" i="47"/>
  <c r="K83" i="47"/>
  <c r="K80" i="47"/>
  <c r="K14" i="47"/>
  <c r="M1" i="48"/>
  <c r="K96" i="47"/>
  <c r="K153" i="47"/>
  <c r="K152" i="47"/>
  <c r="K73" i="47"/>
  <c r="K89" i="47"/>
  <c r="K108" i="47"/>
  <c r="K81" i="47"/>
  <c r="K44" i="47"/>
  <c r="K60" i="47"/>
  <c r="K93" i="47"/>
  <c r="K156" i="47"/>
  <c r="K183" i="47"/>
  <c r="K16" i="47"/>
  <c r="K173" i="47"/>
  <c r="K15" i="47"/>
  <c r="K94" i="47"/>
  <c r="K95" i="47"/>
  <c r="K158" i="47"/>
  <c r="K163" i="47"/>
  <c r="K69" i="47"/>
  <c r="K47" i="47"/>
  <c r="K127" i="47"/>
  <c r="K29" i="47"/>
  <c r="K77" i="47"/>
  <c r="K12" i="47"/>
  <c r="K157" i="47"/>
  <c r="K134" i="47"/>
  <c r="K160" i="47"/>
  <c r="K67" i="47"/>
  <c r="K54" i="47"/>
  <c r="K114" i="47"/>
  <c r="K25" i="47"/>
  <c r="K143" i="47"/>
  <c r="K176" i="47"/>
  <c r="K55" i="47"/>
  <c r="K155" i="47"/>
  <c r="K122" i="47"/>
  <c r="K101" i="47"/>
  <c r="K125" i="47"/>
  <c r="K36" i="47"/>
  <c r="K123" i="47"/>
  <c r="K132" i="47"/>
  <c r="K52" i="47"/>
  <c r="K168" i="47"/>
  <c r="K178" i="47"/>
  <c r="K139" i="47"/>
  <c r="K28" i="47"/>
  <c r="K113" i="47"/>
  <c r="K38" i="47"/>
  <c r="K148" i="47"/>
  <c r="K161" i="47"/>
  <c r="K171" i="47"/>
  <c r="K23" i="47"/>
  <c r="K128" i="47"/>
  <c r="K150" i="47"/>
  <c r="K34" i="47"/>
  <c r="K11" i="47"/>
  <c r="K138" i="47"/>
  <c r="K151" i="47"/>
  <c r="K26" i="47"/>
  <c r="K116" i="47"/>
  <c r="K51" i="47"/>
  <c r="K118" i="47"/>
  <c r="K109" i="47"/>
  <c r="K124" i="47"/>
  <c r="K146" i="47"/>
  <c r="K142" i="47"/>
  <c r="K71" i="47"/>
  <c r="K181" i="47"/>
  <c r="K49" i="47"/>
  <c r="K10" i="47"/>
  <c r="K17" i="47"/>
  <c r="K40" i="47"/>
  <c r="K57" i="47"/>
  <c r="K104" i="47"/>
  <c r="K84" i="47"/>
  <c r="K106" i="47"/>
  <c r="K64" i="47"/>
  <c r="K172" i="47"/>
  <c r="K79" i="47"/>
  <c r="K19" i="47"/>
  <c r="K58" i="47"/>
  <c r="K18" i="47"/>
  <c r="K131" i="47"/>
  <c r="K105" i="47"/>
  <c r="K9" i="47"/>
  <c r="K35" i="47"/>
  <c r="K68" i="47"/>
  <c r="K112" i="47"/>
  <c r="K166" i="47"/>
  <c r="K135" i="47"/>
  <c r="K92" i="47"/>
  <c r="K42" i="47"/>
  <c r="K102" i="47"/>
  <c r="K133" i="47"/>
  <c r="K50" i="47"/>
  <c r="K66" i="47"/>
  <c r="K99" i="47"/>
  <c r="K149" i="47"/>
  <c r="K48" i="47"/>
  <c r="K169" i="47"/>
  <c r="K20" i="47"/>
  <c r="K32" i="47"/>
  <c r="K130" i="47"/>
  <c r="K76" i="47"/>
  <c r="K22" i="47"/>
  <c r="K177" i="47"/>
  <c r="K129" i="47"/>
  <c r="K97" i="47"/>
  <c r="K24" i="47"/>
  <c r="K121" i="47"/>
  <c r="K165" i="47"/>
  <c r="K98" i="47"/>
  <c r="K137" i="47"/>
  <c r="K164" i="47"/>
  <c r="K100" i="47"/>
  <c r="K41" i="47"/>
  <c r="K61" i="47"/>
  <c r="K45" i="47"/>
  <c r="K39" i="47"/>
  <c r="K170" i="47"/>
  <c r="K82" i="47"/>
  <c r="K88" i="47"/>
  <c r="K65" i="47"/>
  <c r="K56" i="47"/>
  <c r="K147" i="47"/>
  <c r="K33" i="47"/>
  <c r="K27" i="47"/>
  <c r="K115" i="47"/>
  <c r="K174" i="47"/>
  <c r="K8" i="47"/>
  <c r="K86" i="47"/>
  <c r="K91" i="47"/>
  <c r="K30" i="47"/>
  <c r="K136" i="47"/>
  <c r="K179" i="47"/>
  <c r="M4" i="31"/>
  <c r="N4" i="31"/>
  <c r="O4" i="31"/>
  <c r="P4" i="31"/>
  <c r="Q4" i="31"/>
  <c r="R4" i="31"/>
  <c r="S4" i="31"/>
  <c r="T4" i="31"/>
  <c r="U4" i="31"/>
  <c r="V4" i="31"/>
  <c r="W4" i="31"/>
  <c r="L38" i="52"/>
  <c r="L102" i="52"/>
  <c r="L131" i="52"/>
  <c r="L19" i="52"/>
  <c r="L180" i="52"/>
  <c r="L33" i="52"/>
  <c r="L143" i="52"/>
  <c r="L78" i="52"/>
  <c r="L20" i="52"/>
  <c r="L112" i="52"/>
  <c r="L79" i="52"/>
  <c r="L71" i="52"/>
  <c r="L164" i="52"/>
  <c r="L52" i="52"/>
  <c r="L110" i="52"/>
  <c r="L136" i="52"/>
  <c r="L46" i="52"/>
  <c r="L12" i="52"/>
  <c r="L51" i="52"/>
  <c r="L76" i="52"/>
  <c r="L18" i="52"/>
  <c r="L135" i="52"/>
  <c r="L56" i="52"/>
  <c r="L61" i="52"/>
  <c r="L86" i="52"/>
  <c r="L14" i="52"/>
  <c r="L55" i="52"/>
  <c r="L88" i="52"/>
  <c r="L157" i="52"/>
  <c r="L83" i="52"/>
  <c r="L125" i="52"/>
  <c r="L155" i="52"/>
  <c r="L154" i="52"/>
  <c r="L42" i="52"/>
  <c r="L170" i="52"/>
  <c r="L149" i="52"/>
  <c r="L92" i="52"/>
  <c r="L105" i="52"/>
  <c r="L48" i="52"/>
  <c r="L146" i="52"/>
  <c r="L15" i="52"/>
  <c r="L25" i="52"/>
  <c r="L116" i="52"/>
  <c r="L173" i="52"/>
  <c r="L53" i="52"/>
  <c r="L44" i="52"/>
  <c r="L72" i="52"/>
  <c r="L166" i="52"/>
  <c r="L39" i="52"/>
  <c r="L106" i="52"/>
  <c r="L107" i="52"/>
  <c r="L49" i="52"/>
  <c r="L81" i="52"/>
  <c r="L115" i="52"/>
  <c r="L45" i="52"/>
  <c r="L117" i="52"/>
  <c r="L145" i="52"/>
  <c r="L126" i="52"/>
  <c r="L84" i="52"/>
  <c r="L82" i="52"/>
  <c r="L30" i="52"/>
  <c r="L65" i="52"/>
  <c r="L162" i="52"/>
  <c r="L58" i="52"/>
  <c r="L175" i="52"/>
  <c r="L153" i="52"/>
  <c r="L150" i="52"/>
  <c r="L97" i="52"/>
  <c r="L36" i="52"/>
  <c r="L152" i="52"/>
  <c r="L28" i="52"/>
  <c r="L174" i="52"/>
  <c r="L169" i="52"/>
  <c r="L109" i="52"/>
  <c r="L158" i="52"/>
  <c r="L50" i="52"/>
  <c r="L114" i="52"/>
  <c r="L144" i="52"/>
  <c r="L80" i="52"/>
  <c r="L139" i="52"/>
  <c r="L59" i="52"/>
  <c r="L68" i="52"/>
  <c r="L165" i="52"/>
  <c r="L43" i="52"/>
  <c r="L122" i="52"/>
  <c r="L137" i="52"/>
  <c r="L62" i="52"/>
  <c r="L168" i="52"/>
  <c r="L177" i="52"/>
  <c r="L93" i="52"/>
  <c r="L34" i="52"/>
  <c r="L103" i="52"/>
  <c r="L74" i="52"/>
  <c r="L184" i="52"/>
  <c r="L140" i="52"/>
  <c r="L101" i="52"/>
  <c r="L96" i="52"/>
  <c r="L16" i="52"/>
  <c r="L37" i="52"/>
  <c r="L77" i="52"/>
  <c r="L73" i="52"/>
  <c r="L98" i="52"/>
  <c r="L113" i="52"/>
  <c r="L11" i="52"/>
  <c r="L138" i="52"/>
  <c r="L85" i="52"/>
  <c r="L111" i="52"/>
  <c r="L118" i="52"/>
  <c r="L29" i="52"/>
  <c r="L147" i="52"/>
  <c r="L99" i="52"/>
  <c r="L151" i="52"/>
  <c r="L10" i="52"/>
  <c r="L129" i="52"/>
  <c r="L159" i="52"/>
  <c r="L160" i="52"/>
  <c r="L95" i="52"/>
  <c r="L63" i="52"/>
  <c r="L23" i="52"/>
  <c r="L27" i="52"/>
  <c r="L182" i="52"/>
  <c r="L32" i="52"/>
  <c r="L179" i="52"/>
  <c r="L87" i="52"/>
  <c r="L13" i="52"/>
  <c r="L130" i="52"/>
  <c r="L70" i="52"/>
  <c r="L156" i="52"/>
  <c r="L67" i="52"/>
  <c r="L124" i="52"/>
  <c r="L132" i="52"/>
  <c r="L141" i="52"/>
  <c r="L108" i="52"/>
  <c r="L172" i="52"/>
  <c r="L167" i="52"/>
  <c r="L60" i="52"/>
  <c r="L148" i="52"/>
  <c r="L176" i="52"/>
  <c r="L100" i="52"/>
  <c r="L66" i="52"/>
  <c r="L134" i="52"/>
  <c r="L69" i="52"/>
  <c r="L94" i="52"/>
  <c r="L178" i="52"/>
  <c r="L9" i="52"/>
  <c r="L89" i="52"/>
  <c r="L123" i="52"/>
  <c r="L35" i="52"/>
  <c r="L17" i="52"/>
  <c r="L24" i="52"/>
  <c r="L57" i="52"/>
  <c r="L54" i="52"/>
  <c r="L90" i="52"/>
  <c r="L40" i="52"/>
  <c r="L21" i="52"/>
  <c r="L128" i="52"/>
  <c r="L119" i="52"/>
  <c r="L171" i="52"/>
  <c r="L133" i="52"/>
  <c r="L26" i="52"/>
  <c r="L127" i="52"/>
  <c r="L41" i="52"/>
  <c r="L161" i="52"/>
  <c r="L120" i="52"/>
  <c r="L31" i="52"/>
  <c r="L50" i="47"/>
  <c r="L70" i="47"/>
  <c r="L100" i="47"/>
  <c r="L64" i="47"/>
  <c r="L99" i="47"/>
  <c r="L132" i="47"/>
  <c r="L163" i="47"/>
  <c r="L151" i="47"/>
  <c r="L93" i="47"/>
  <c r="L154" i="47"/>
  <c r="L92" i="47"/>
  <c r="L49" i="47"/>
  <c r="N1" i="48"/>
  <c r="O1" i="48"/>
  <c r="P1" i="48"/>
  <c r="Q1" i="48"/>
  <c r="R1" i="48"/>
  <c r="S1" i="48"/>
  <c r="T1" i="48"/>
  <c r="U1" i="48"/>
  <c r="V1" i="48"/>
  <c r="W1" i="48"/>
  <c r="X1" i="48"/>
  <c r="Y1" i="48"/>
  <c r="Z1" i="48"/>
  <c r="AA1" i="48"/>
  <c r="AB1" i="48"/>
  <c r="AC1" i="48"/>
  <c r="AD1" i="48"/>
  <c r="AE1" i="48"/>
  <c r="AF1" i="48"/>
  <c r="AG1" i="48"/>
  <c r="AH1" i="48"/>
  <c r="AI1" i="48"/>
  <c r="L178" i="47"/>
  <c r="L130" i="47"/>
  <c r="L34" i="47"/>
  <c r="L134" i="47"/>
  <c r="L118" i="47"/>
  <c r="L119" i="47"/>
  <c r="L136" i="47"/>
  <c r="L28" i="47"/>
  <c r="L147" i="47"/>
  <c r="L55" i="47"/>
  <c r="L31" i="47"/>
  <c r="L73" i="47"/>
  <c r="L108" i="47"/>
  <c r="L85" i="47"/>
  <c r="L177" i="47"/>
  <c r="L76" i="47"/>
  <c r="L167" i="47"/>
  <c r="L110" i="47"/>
  <c r="L146" i="47"/>
  <c r="L105" i="47"/>
  <c r="L133" i="47"/>
  <c r="L128" i="47"/>
  <c r="L101" i="47"/>
  <c r="L89" i="47"/>
  <c r="L26" i="47"/>
  <c r="L127" i="47"/>
  <c r="L140" i="47"/>
  <c r="L67" i="47"/>
  <c r="L16" i="47"/>
  <c r="L24" i="47"/>
  <c r="L113" i="47"/>
  <c r="L18" i="47"/>
  <c r="L104" i="47"/>
  <c r="L116" i="47"/>
  <c r="L95" i="47"/>
  <c r="L65" i="47"/>
  <c r="L109" i="47"/>
  <c r="L9" i="47"/>
  <c r="L61" i="47"/>
  <c r="L75" i="47"/>
  <c r="L37" i="47"/>
  <c r="L69" i="47"/>
  <c r="L96" i="47"/>
  <c r="L10" i="47"/>
  <c r="L62" i="47"/>
  <c r="L11" i="47"/>
  <c r="L137" i="47"/>
  <c r="L47" i="47"/>
  <c r="L56" i="47"/>
  <c r="L156" i="47"/>
  <c r="L158" i="47"/>
  <c r="L102" i="47"/>
  <c r="L138" i="47"/>
  <c r="L27" i="47"/>
  <c r="L71" i="47"/>
  <c r="L143" i="47"/>
  <c r="L25" i="47"/>
  <c r="L60" i="47"/>
  <c r="L79" i="47"/>
  <c r="L144" i="47"/>
  <c r="L169" i="47"/>
  <c r="L38" i="47"/>
  <c r="L139" i="47"/>
  <c r="L168" i="47"/>
  <c r="L97" i="47"/>
  <c r="L145" i="47"/>
  <c r="L45" i="47"/>
  <c r="L157" i="47"/>
  <c r="L94" i="47"/>
  <c r="L183" i="47"/>
  <c r="L112" i="47"/>
  <c r="L170" i="47"/>
  <c r="L15" i="47"/>
  <c r="L150" i="47"/>
  <c r="L83" i="47"/>
  <c r="L142" i="47"/>
  <c r="L32" i="47"/>
  <c r="L152" i="47"/>
  <c r="L29" i="47"/>
  <c r="L84" i="47"/>
  <c r="L42" i="47"/>
  <c r="L161" i="47"/>
  <c r="L173" i="47"/>
  <c r="L41" i="47"/>
  <c r="L87" i="47"/>
  <c r="L148" i="47"/>
  <c r="L179" i="47"/>
  <c r="L114" i="47"/>
  <c r="L135" i="47"/>
  <c r="L98" i="47"/>
  <c r="L91" i="47"/>
  <c r="L48" i="47"/>
  <c r="L12" i="47"/>
  <c r="L19" i="47"/>
  <c r="L181" i="47"/>
  <c r="L43" i="47"/>
  <c r="L174" i="47"/>
  <c r="L51" i="47"/>
  <c r="L44" i="47"/>
  <c r="L172" i="47"/>
  <c r="L160" i="47"/>
  <c r="L13" i="47"/>
  <c r="L35" i="47"/>
  <c r="L155" i="47"/>
  <c r="L159" i="47"/>
  <c r="L153" i="47"/>
  <c r="L30" i="47"/>
  <c r="L129" i="47"/>
  <c r="L54" i="47"/>
  <c r="L175" i="47"/>
  <c r="L122" i="47"/>
  <c r="L124" i="47"/>
  <c r="L8" i="47"/>
  <c r="L80" i="47"/>
  <c r="L149" i="47"/>
  <c r="L81" i="47"/>
  <c r="L126" i="47"/>
  <c r="L20" i="47"/>
  <c r="L165" i="47"/>
  <c r="L59" i="47"/>
  <c r="L86" i="47"/>
  <c r="L164" i="47"/>
  <c r="L115" i="47"/>
  <c r="L39" i="47"/>
  <c r="L66" i="47"/>
  <c r="L22" i="47"/>
  <c r="L82" i="47"/>
  <c r="L14" i="47"/>
  <c r="L88" i="47"/>
  <c r="L78" i="47"/>
  <c r="L121" i="47"/>
  <c r="L36" i="47"/>
  <c r="L123" i="47"/>
  <c r="L176" i="47"/>
  <c r="L68" i="47"/>
  <c r="L166" i="47"/>
  <c r="L117" i="47"/>
  <c r="L53" i="47"/>
  <c r="L106" i="47"/>
  <c r="L131" i="47"/>
  <c r="L77" i="47"/>
  <c r="L40" i="47"/>
  <c r="L171" i="47"/>
  <c r="L57" i="47"/>
  <c r="L23" i="47"/>
  <c r="L58" i="47"/>
  <c r="L111" i="47"/>
  <c r="L72" i="47"/>
  <c r="L52" i="47"/>
  <c r="L125" i="47"/>
  <c r="L33" i="47"/>
  <c r="L17" i="47"/>
  <c r="J161" i="47" l="1"/>
  <c r="J10" i="47"/>
  <c r="J124" i="47"/>
  <c r="J77" i="47"/>
  <c r="J123" i="47"/>
  <c r="J98" i="47"/>
  <c r="J155" i="47"/>
  <c r="J111" i="47"/>
  <c r="J11" i="47"/>
  <c r="J109" i="47"/>
  <c r="I89" i="47"/>
  <c r="I93" i="47"/>
  <c r="I43" i="47"/>
  <c r="I36" i="47"/>
  <c r="I142" i="47"/>
  <c r="I139" i="47"/>
  <c r="I54" i="47"/>
  <c r="I95" i="47"/>
  <c r="I151" i="47"/>
  <c r="I137" i="47"/>
  <c r="H12" i="47"/>
  <c r="H172" i="47"/>
  <c r="H112" i="47"/>
  <c r="H10" i="47"/>
  <c r="H86" i="47"/>
  <c r="H139" i="47"/>
  <c r="H181" i="47"/>
  <c r="H14" i="47"/>
  <c r="H151" i="47"/>
  <c r="H111" i="47"/>
  <c r="G170" i="47"/>
  <c r="G119" i="47"/>
  <c r="G66" i="47"/>
  <c r="G145" i="47"/>
  <c r="G100" i="47"/>
  <c r="G9" i="47"/>
  <c r="G65" i="47"/>
  <c r="G16" i="47"/>
  <c r="G121" i="47"/>
  <c r="G36" i="47"/>
  <c r="F45" i="47"/>
  <c r="F55" i="47"/>
  <c r="F106" i="47"/>
  <c r="F89" i="47"/>
  <c r="F147" i="47"/>
  <c r="F132" i="47"/>
  <c r="F170" i="47"/>
  <c r="F31" i="47"/>
  <c r="F40" i="47"/>
  <c r="F171" i="47"/>
  <c r="E36" i="47"/>
  <c r="E178" i="47"/>
  <c r="E139" i="47"/>
  <c r="E48" i="47"/>
  <c r="E22" i="47"/>
  <c r="E80" i="47"/>
  <c r="E170" i="47"/>
  <c r="E125" i="47"/>
  <c r="E23" i="47"/>
  <c r="E130" i="47"/>
  <c r="D32" i="47"/>
  <c r="D94" i="47"/>
  <c r="D66" i="47"/>
  <c r="D42" i="47"/>
  <c r="D73" i="47"/>
  <c r="D118" i="47"/>
  <c r="D96" i="47"/>
  <c r="D133" i="47"/>
  <c r="D130" i="47"/>
  <c r="D106" i="47"/>
  <c r="C109" i="47"/>
  <c r="C14" i="47"/>
  <c r="C53" i="47"/>
  <c r="C19" i="47"/>
  <c r="C159" i="47"/>
  <c r="C64" i="47"/>
  <c r="C39" i="47"/>
  <c r="C97" i="47"/>
  <c r="C148" i="47"/>
  <c r="C22" i="47"/>
  <c r="C72" i="47"/>
  <c r="J33" i="47"/>
  <c r="J73" i="47"/>
  <c r="J137" i="47"/>
  <c r="J12" i="47"/>
  <c r="J60" i="47"/>
  <c r="J66" i="47"/>
  <c r="J69" i="47"/>
  <c r="J147" i="47"/>
  <c r="J181" i="47"/>
  <c r="J176" i="47"/>
  <c r="I91" i="47"/>
  <c r="I69" i="47"/>
  <c r="I123" i="47"/>
  <c r="I82" i="47"/>
  <c r="I31" i="47"/>
  <c r="I181" i="47"/>
  <c r="I154" i="47"/>
  <c r="I68" i="47"/>
  <c r="I121" i="47"/>
  <c r="I78" i="47"/>
  <c r="H135" i="47"/>
  <c r="H126" i="47"/>
  <c r="H73" i="47"/>
  <c r="H69" i="47"/>
  <c r="H29" i="47"/>
  <c r="H45" i="47"/>
  <c r="H50" i="47"/>
  <c r="H97" i="47"/>
  <c r="H178" i="47"/>
  <c r="H42" i="47"/>
  <c r="G150" i="47"/>
  <c r="G47" i="47"/>
  <c r="G43" i="47"/>
  <c r="G53" i="47"/>
  <c r="G105" i="47"/>
  <c r="G122" i="47"/>
  <c r="G179" i="47"/>
  <c r="G132" i="47"/>
  <c r="G126" i="47"/>
  <c r="G125" i="47"/>
  <c r="F140" i="47"/>
  <c r="F137" i="47"/>
  <c r="F50" i="47"/>
  <c r="F38" i="47"/>
  <c r="F163" i="47"/>
  <c r="F145" i="47"/>
  <c r="F56" i="47"/>
  <c r="F99" i="47"/>
  <c r="F68" i="47"/>
  <c r="F164" i="47"/>
  <c r="F20" i="47"/>
  <c r="E149" i="47"/>
  <c r="E29" i="47"/>
  <c r="E181" i="47"/>
  <c r="E179" i="47"/>
  <c r="E42" i="47"/>
  <c r="E59" i="47"/>
  <c r="E72" i="47"/>
  <c r="E44" i="47"/>
  <c r="E116" i="47"/>
  <c r="E123" i="47"/>
  <c r="D144" i="47"/>
  <c r="D76" i="47"/>
  <c r="D95" i="47"/>
  <c r="D54" i="47"/>
  <c r="D158" i="47"/>
  <c r="D35" i="47"/>
  <c r="D25" i="47"/>
  <c r="D168" i="47"/>
  <c r="D26" i="47"/>
  <c r="D83" i="47"/>
  <c r="C132" i="47"/>
  <c r="C125" i="47"/>
  <c r="C68" i="47"/>
  <c r="C144" i="47"/>
  <c r="C17" i="47"/>
  <c r="C32" i="47"/>
  <c r="C16" i="47"/>
  <c r="C85" i="47"/>
  <c r="C119" i="47"/>
  <c r="C147" i="47"/>
  <c r="J39" i="47"/>
  <c r="J131" i="47"/>
  <c r="J53" i="47"/>
  <c r="J119" i="47"/>
  <c r="J163" i="47"/>
  <c r="J64" i="47"/>
  <c r="J169" i="47"/>
  <c r="J35" i="47"/>
  <c r="J153" i="47"/>
  <c r="J118" i="47"/>
  <c r="I174" i="47"/>
  <c r="I26" i="47"/>
  <c r="I19" i="47"/>
  <c r="I158" i="47"/>
  <c r="I128" i="47"/>
  <c r="I45" i="47"/>
  <c r="I135" i="47"/>
  <c r="I86" i="47"/>
  <c r="I134" i="47"/>
  <c r="I12" i="47"/>
  <c r="H163" i="47"/>
  <c r="H47" i="47"/>
  <c r="H88" i="47"/>
  <c r="H9" i="47"/>
  <c r="H152" i="47"/>
  <c r="H183" i="47"/>
  <c r="H26" i="47"/>
  <c r="H145" i="47"/>
  <c r="H44" i="47"/>
  <c r="H166" i="47"/>
  <c r="G166" i="47"/>
  <c r="G27" i="47"/>
  <c r="G61" i="47"/>
  <c r="G75" i="47"/>
  <c r="G171" i="47"/>
  <c r="G11" i="47"/>
  <c r="G178" i="47"/>
  <c r="G10" i="47"/>
  <c r="G129" i="47"/>
  <c r="G123" i="47"/>
  <c r="F30" i="47"/>
  <c r="F39" i="47"/>
  <c r="F65" i="47"/>
  <c r="F95" i="47"/>
  <c r="F82" i="47"/>
  <c r="F109" i="47"/>
  <c r="F155" i="47"/>
  <c r="F151" i="47"/>
  <c r="F52" i="47"/>
  <c r="F108" i="47"/>
  <c r="F44" i="47"/>
  <c r="E8" i="47"/>
  <c r="E122" i="47"/>
  <c r="E33" i="47"/>
  <c r="E45" i="47"/>
  <c r="E177" i="47"/>
  <c r="E152" i="47"/>
  <c r="E27" i="47"/>
  <c r="E138" i="47"/>
  <c r="E156" i="47"/>
  <c r="E60" i="47"/>
  <c r="D109" i="47"/>
  <c r="D113" i="47"/>
  <c r="D79" i="47"/>
  <c r="D163" i="47"/>
  <c r="D16" i="47"/>
  <c r="D112" i="47"/>
  <c r="D82" i="47"/>
  <c r="D183" i="47"/>
  <c r="D75" i="47"/>
  <c r="D127" i="47"/>
  <c r="D48" i="47"/>
  <c r="C41" i="47"/>
  <c r="C78" i="47"/>
  <c r="C79" i="47"/>
  <c r="C122" i="47"/>
  <c r="C104" i="47"/>
  <c r="C10" i="47"/>
  <c r="C13" i="47"/>
  <c r="C36" i="47"/>
  <c r="C113" i="47"/>
  <c r="C84" i="47"/>
  <c r="C88" i="47"/>
  <c r="J49" i="47"/>
  <c r="J51" i="47"/>
  <c r="J50" i="47"/>
  <c r="J151" i="47"/>
  <c r="J126" i="47"/>
  <c r="J14" i="47"/>
  <c r="J59" i="47"/>
  <c r="J47" i="47"/>
  <c r="J23" i="47"/>
  <c r="J114" i="47"/>
  <c r="I106" i="47"/>
  <c r="I116" i="47"/>
  <c r="I27" i="47"/>
  <c r="I130" i="47"/>
  <c r="I71" i="47"/>
  <c r="I39" i="47"/>
  <c r="I20" i="47"/>
  <c r="I51" i="47"/>
  <c r="I10" i="47"/>
  <c r="I156" i="47"/>
  <c r="I18" i="47"/>
  <c r="H118" i="47"/>
  <c r="H142" i="47"/>
  <c r="H154" i="47"/>
  <c r="H123" i="47"/>
  <c r="H43" i="47"/>
  <c r="H121" i="47"/>
  <c r="H62" i="47"/>
  <c r="H67" i="47"/>
  <c r="H40" i="47"/>
  <c r="H143" i="47"/>
  <c r="G136" i="47"/>
  <c r="G134" i="47"/>
  <c r="G176" i="47"/>
  <c r="G19" i="47"/>
  <c r="G115" i="47"/>
  <c r="G157" i="47"/>
  <c r="G33" i="47"/>
  <c r="G64" i="47"/>
  <c r="G153" i="47"/>
  <c r="G29" i="47"/>
  <c r="G23" i="47"/>
  <c r="F178" i="47"/>
  <c r="F19" i="47"/>
  <c r="F102" i="47"/>
  <c r="F136" i="47"/>
  <c r="F28" i="47"/>
  <c r="F127" i="47"/>
  <c r="F49" i="47"/>
  <c r="F60" i="47"/>
  <c r="F41" i="47"/>
  <c r="F35" i="47"/>
  <c r="F70" i="47"/>
  <c r="E65" i="47"/>
  <c r="E28" i="47"/>
  <c r="E79" i="47"/>
  <c r="E133" i="47"/>
  <c r="E132" i="47"/>
  <c r="E171" i="47"/>
  <c r="E67" i="47"/>
  <c r="E77" i="47"/>
  <c r="E39" i="47"/>
  <c r="E9" i="47"/>
  <c r="D34" i="47"/>
  <c r="D77" i="47"/>
  <c r="D165" i="47"/>
  <c r="D27" i="47"/>
  <c r="D22" i="47"/>
  <c r="D104" i="47"/>
  <c r="D41" i="47"/>
  <c r="D155" i="47"/>
  <c r="D101" i="47"/>
  <c r="D49" i="47"/>
  <c r="D20" i="47"/>
  <c r="C116" i="47"/>
  <c r="C177" i="47"/>
  <c r="C167" i="47"/>
  <c r="C75" i="47"/>
  <c r="C136" i="47"/>
  <c r="C152" i="47"/>
  <c r="C9" i="47"/>
  <c r="C55" i="47"/>
  <c r="C89" i="47"/>
  <c r="C168" i="47"/>
  <c r="C164" i="47"/>
  <c r="J183" i="47"/>
  <c r="J26" i="47"/>
  <c r="J97" i="47"/>
  <c r="J130" i="47"/>
  <c r="J57" i="47"/>
  <c r="J67" i="47"/>
  <c r="J9" i="47"/>
  <c r="J156" i="47"/>
  <c r="J139" i="47"/>
  <c r="J13" i="47"/>
  <c r="I176" i="47"/>
  <c r="I94" i="47"/>
  <c r="I59" i="47"/>
  <c r="I102" i="47"/>
  <c r="I168" i="47"/>
  <c r="I47" i="47"/>
  <c r="I97" i="47"/>
  <c r="I112" i="47"/>
  <c r="I98" i="47"/>
  <c r="I65" i="47"/>
  <c r="I165" i="47"/>
  <c r="H153" i="47"/>
  <c r="H114" i="47"/>
  <c r="H24" i="47"/>
  <c r="H54" i="47"/>
  <c r="H65" i="47"/>
  <c r="H134" i="47"/>
  <c r="H38" i="47"/>
  <c r="H175" i="47"/>
  <c r="H176" i="47"/>
  <c r="H60" i="47"/>
  <c r="G78" i="47"/>
  <c r="G152" i="47"/>
  <c r="G89" i="47"/>
  <c r="G52" i="47"/>
  <c r="G146" i="47"/>
  <c r="G48" i="47"/>
  <c r="G181" i="47"/>
  <c r="G73" i="47"/>
  <c r="G15" i="47"/>
  <c r="G104" i="47"/>
  <c r="G81" i="47"/>
  <c r="F73" i="47"/>
  <c r="F121" i="47"/>
  <c r="F43" i="47"/>
  <c r="F156" i="47"/>
  <c r="F62" i="47"/>
  <c r="F119" i="47"/>
  <c r="F57" i="47"/>
  <c r="F34" i="47"/>
  <c r="F159" i="47"/>
  <c r="F130" i="47"/>
  <c r="E174" i="47"/>
  <c r="E69" i="47"/>
  <c r="E25" i="47"/>
  <c r="E102" i="47"/>
  <c r="E86" i="47"/>
  <c r="E113" i="47"/>
  <c r="E15" i="47"/>
  <c r="E117" i="47"/>
  <c r="E99" i="47"/>
  <c r="E73" i="47"/>
  <c r="D148" i="47"/>
  <c r="D62" i="47"/>
  <c r="D70" i="47"/>
  <c r="D108" i="47"/>
  <c r="D40" i="47"/>
  <c r="D69" i="47"/>
  <c r="D171" i="47"/>
  <c r="D97" i="47"/>
  <c r="D174" i="47"/>
  <c r="D29" i="47"/>
  <c r="D117" i="47"/>
  <c r="C111" i="47"/>
  <c r="C83" i="47"/>
  <c r="C18" i="47"/>
  <c r="C181" i="47"/>
  <c r="C62" i="47"/>
  <c r="C130" i="47"/>
  <c r="C70" i="47"/>
  <c r="C86" i="47"/>
  <c r="C171" i="47"/>
  <c r="C178" i="47"/>
  <c r="C40" i="47"/>
  <c r="J44" i="47"/>
  <c r="J91" i="47"/>
  <c r="J56" i="47"/>
  <c r="J85" i="47"/>
  <c r="J105" i="47"/>
  <c r="J93" i="47"/>
  <c r="J24" i="47"/>
  <c r="J94" i="47"/>
  <c r="J154" i="47"/>
  <c r="J83" i="47"/>
  <c r="I34" i="47"/>
  <c r="I140" i="47"/>
  <c r="I44" i="47"/>
  <c r="I170" i="47"/>
  <c r="I149" i="47"/>
  <c r="I164" i="47"/>
  <c r="I66" i="47"/>
  <c r="I157" i="47"/>
  <c r="I136" i="47"/>
  <c r="I85" i="47"/>
  <c r="I96" i="47"/>
  <c r="H146" i="47"/>
  <c r="H25" i="47"/>
  <c r="H128" i="47"/>
  <c r="H56" i="47"/>
  <c r="H77" i="47"/>
  <c r="H132" i="47"/>
  <c r="H100" i="47"/>
  <c r="H140" i="47"/>
  <c r="H168" i="47"/>
  <c r="H57" i="47"/>
  <c r="G154" i="47"/>
  <c r="G148" i="47"/>
  <c r="G41" i="47"/>
  <c r="G135" i="47"/>
  <c r="G110" i="47"/>
  <c r="G142" i="47"/>
  <c r="G117" i="47"/>
  <c r="G106" i="47"/>
  <c r="G156" i="47"/>
  <c r="G175" i="47"/>
  <c r="G37" i="47"/>
  <c r="F86" i="47"/>
  <c r="F134" i="47"/>
  <c r="F71" i="47"/>
  <c r="F66" i="47"/>
  <c r="F160" i="47"/>
  <c r="F32" i="47"/>
  <c r="F18" i="47"/>
  <c r="F124" i="47"/>
  <c r="F123" i="47"/>
  <c r="F166" i="47"/>
  <c r="E13" i="47"/>
  <c r="E136" i="47"/>
  <c r="E91" i="47"/>
  <c r="E31" i="47"/>
  <c r="E62" i="47"/>
  <c r="E58" i="47"/>
  <c r="E157" i="47"/>
  <c r="E114" i="47"/>
  <c r="E68" i="47"/>
  <c r="E167" i="47"/>
  <c r="D114" i="47"/>
  <c r="D132" i="47"/>
  <c r="D100" i="47"/>
  <c r="D153" i="47"/>
  <c r="D8" i="47"/>
  <c r="D28" i="47"/>
  <c r="D24" i="47"/>
  <c r="D142" i="47"/>
  <c r="D12" i="47"/>
  <c r="D65" i="47"/>
  <c r="D119" i="47"/>
  <c r="C71" i="47"/>
  <c r="C154" i="47"/>
  <c r="C59" i="47"/>
  <c r="C51" i="47"/>
  <c r="C121" i="47"/>
  <c r="C69" i="47"/>
  <c r="C26" i="47"/>
  <c r="C31" i="47"/>
  <c r="C99" i="47"/>
  <c r="C54" i="47"/>
  <c r="C61" i="47"/>
  <c r="J71" i="47"/>
  <c r="J84" i="47"/>
  <c r="J92" i="47"/>
  <c r="J61" i="47"/>
  <c r="J128" i="47"/>
  <c r="J75" i="47"/>
  <c r="J170" i="47"/>
  <c r="J82" i="47"/>
  <c r="J27" i="47"/>
  <c r="J22" i="47"/>
  <c r="J41" i="47"/>
  <c r="I133" i="47"/>
  <c r="I143" i="47"/>
  <c r="I101" i="47"/>
  <c r="I77" i="47"/>
  <c r="I177" i="47"/>
  <c r="I173" i="47"/>
  <c r="I83" i="47"/>
  <c r="I108" i="47"/>
  <c r="I166" i="47"/>
  <c r="I24" i="47"/>
  <c r="I30" i="47"/>
  <c r="H59" i="47"/>
  <c r="H133" i="47"/>
  <c r="H75" i="47"/>
  <c r="H98" i="47"/>
  <c r="H81" i="47"/>
  <c r="H76" i="47"/>
  <c r="H148" i="47"/>
  <c r="H58" i="47"/>
  <c r="H94" i="47"/>
  <c r="H20" i="47"/>
  <c r="G168" i="47"/>
  <c r="G98" i="47"/>
  <c r="G55" i="47"/>
  <c r="G42" i="47"/>
  <c r="G177" i="47"/>
  <c r="G108" i="47"/>
  <c r="G40" i="47"/>
  <c r="G159" i="47"/>
  <c r="G77" i="47"/>
  <c r="G169" i="47"/>
  <c r="G50" i="47"/>
  <c r="F144" i="47"/>
  <c r="F59" i="47"/>
  <c r="F146" i="47"/>
  <c r="F69" i="47"/>
  <c r="F152" i="47"/>
  <c r="F122" i="47"/>
  <c r="F51" i="47"/>
  <c r="F36" i="47"/>
  <c r="F167" i="47"/>
  <c r="F116" i="47"/>
  <c r="E57" i="47"/>
  <c r="E137" i="47"/>
  <c r="E93" i="47"/>
  <c r="E47" i="47"/>
  <c r="E146" i="47"/>
  <c r="E176" i="47"/>
  <c r="E100" i="47"/>
  <c r="E109" i="47"/>
  <c r="E81" i="47"/>
  <c r="E14" i="47"/>
  <c r="D71" i="47"/>
  <c r="D17" i="47"/>
  <c r="D11" i="47"/>
  <c r="D125" i="47"/>
  <c r="D121" i="47"/>
  <c r="D78" i="47"/>
  <c r="D173" i="47"/>
  <c r="D18" i="47"/>
  <c r="D146" i="47"/>
  <c r="D160" i="47"/>
  <c r="D9" i="47"/>
  <c r="C24" i="47"/>
  <c r="C134" i="47"/>
  <c r="C82" i="47"/>
  <c r="C44" i="47"/>
  <c r="C11" i="47"/>
  <c r="C92" i="47"/>
  <c r="C110" i="47"/>
  <c r="C66" i="47"/>
  <c r="C135" i="47"/>
  <c r="C179" i="47"/>
  <c r="C151" i="47"/>
  <c r="J42" i="47"/>
  <c r="J173" i="47"/>
  <c r="J178" i="47"/>
  <c r="J58" i="47"/>
  <c r="J70" i="47"/>
  <c r="J140" i="47"/>
  <c r="J106" i="47"/>
  <c r="J72" i="47"/>
  <c r="J125" i="47"/>
  <c r="I144" i="47"/>
  <c r="I114" i="47"/>
  <c r="I55" i="47"/>
  <c r="I153" i="47"/>
  <c r="I147" i="47"/>
  <c r="I9" i="47"/>
  <c r="I167" i="47"/>
  <c r="I171" i="47"/>
  <c r="I42" i="47"/>
  <c r="I50" i="47"/>
  <c r="H53" i="47"/>
  <c r="H55" i="47"/>
  <c r="H101" i="47"/>
  <c r="H52" i="47"/>
  <c r="H174" i="47"/>
  <c r="H149" i="47"/>
  <c r="H83" i="47"/>
  <c r="H41" i="47"/>
  <c r="H129" i="47"/>
  <c r="H27" i="47"/>
  <c r="G57" i="47"/>
  <c r="G133" i="47"/>
  <c r="G20" i="47"/>
  <c r="G144" i="47"/>
  <c r="G56" i="47"/>
  <c r="G172" i="47"/>
  <c r="G101" i="47"/>
  <c r="G109" i="47"/>
  <c r="G147" i="47"/>
  <c r="G39" i="47"/>
  <c r="F110" i="47"/>
  <c r="F72" i="47"/>
  <c r="F97" i="47"/>
  <c r="F104" i="47"/>
  <c r="F88" i="47"/>
  <c r="F91" i="47"/>
  <c r="F77" i="47"/>
  <c r="F150" i="47"/>
  <c r="F113" i="47"/>
  <c r="F53" i="47"/>
  <c r="E61" i="47"/>
  <c r="E168" i="47"/>
  <c r="E144" i="47"/>
  <c r="E11" i="47"/>
  <c r="E16" i="47"/>
  <c r="E115" i="47"/>
  <c r="E53" i="47"/>
  <c r="E124" i="47"/>
  <c r="E105" i="47"/>
  <c r="E145" i="47"/>
  <c r="D92" i="47"/>
  <c r="D15" i="47"/>
  <c r="D60" i="47"/>
  <c r="D172" i="47"/>
  <c r="D39" i="47"/>
  <c r="D136" i="47"/>
  <c r="D52" i="47"/>
  <c r="D177" i="47"/>
  <c r="D64" i="47"/>
  <c r="D31" i="47"/>
  <c r="C146" i="47"/>
  <c r="C173" i="47"/>
  <c r="C172" i="47"/>
  <c r="C127" i="47"/>
  <c r="C131" i="47"/>
  <c r="C49" i="47"/>
  <c r="C137" i="47"/>
  <c r="C91" i="47"/>
  <c r="C123" i="47"/>
  <c r="C129" i="47"/>
  <c r="J116" i="47"/>
  <c r="J87" i="47"/>
  <c r="J159" i="47"/>
  <c r="J89" i="47"/>
  <c r="J19" i="47"/>
  <c r="J133" i="47"/>
  <c r="J112" i="47"/>
  <c r="J168" i="47"/>
  <c r="J102" i="47"/>
  <c r="I92" i="47"/>
  <c r="I146" i="47"/>
  <c r="I99" i="47"/>
  <c r="I60" i="47"/>
  <c r="I8" i="47"/>
  <c r="I14" i="47"/>
  <c r="I22" i="47"/>
  <c r="I152" i="47"/>
  <c r="I29" i="47"/>
  <c r="I76" i="47"/>
  <c r="H85" i="47"/>
  <c r="H84" i="47"/>
  <c r="H159" i="47"/>
  <c r="H16" i="47"/>
  <c r="H23" i="47"/>
  <c r="H179" i="47"/>
  <c r="H173" i="47"/>
  <c r="H110" i="47"/>
  <c r="H71" i="47"/>
  <c r="H68" i="47"/>
  <c r="H13" i="47"/>
  <c r="G38" i="47"/>
  <c r="G26" i="47"/>
  <c r="G160" i="47"/>
  <c r="G31" i="47"/>
  <c r="G128" i="47"/>
  <c r="G83" i="47"/>
  <c r="G137" i="47"/>
  <c r="G113" i="47"/>
  <c r="G62" i="47"/>
  <c r="G143" i="47"/>
  <c r="F61" i="47"/>
  <c r="F17" i="47"/>
  <c r="F183" i="47"/>
  <c r="F129" i="47"/>
  <c r="F142" i="47"/>
  <c r="F78" i="47"/>
  <c r="F83" i="47"/>
  <c r="F111" i="47"/>
  <c r="F118" i="47"/>
  <c r="F179" i="47"/>
  <c r="E70" i="47"/>
  <c r="E126" i="47"/>
  <c r="E98" i="47"/>
  <c r="E101" i="47"/>
  <c r="E24" i="47"/>
  <c r="E183" i="47"/>
  <c r="E159" i="47"/>
  <c r="E75" i="47"/>
  <c r="E54" i="47"/>
  <c r="E164" i="47"/>
  <c r="D139" i="47"/>
  <c r="D38" i="47"/>
  <c r="D86" i="47"/>
  <c r="D30" i="47"/>
  <c r="D147" i="47"/>
  <c r="D43" i="47"/>
  <c r="D102" i="47"/>
  <c r="D152" i="47"/>
  <c r="D19" i="47"/>
  <c r="D14" i="47"/>
  <c r="C96" i="47"/>
  <c r="C133" i="47"/>
  <c r="C118" i="47"/>
  <c r="C43" i="47"/>
  <c r="C102" i="47"/>
  <c r="C81" i="47"/>
  <c r="C165" i="47"/>
  <c r="C114" i="47"/>
  <c r="C126" i="47"/>
  <c r="C170" i="47"/>
  <c r="J177" i="47"/>
  <c r="J80" i="47"/>
  <c r="J65" i="47"/>
  <c r="J113" i="47"/>
  <c r="J96" i="47"/>
  <c r="J29" i="47"/>
  <c r="J81" i="47"/>
  <c r="J132" i="47"/>
  <c r="J8" i="47"/>
  <c r="I129" i="47"/>
  <c r="I122" i="47"/>
  <c r="I38" i="47"/>
  <c r="I23" i="47"/>
  <c r="I150" i="47"/>
  <c r="I161" i="47"/>
  <c r="I49" i="47"/>
  <c r="I35" i="47"/>
  <c r="I16" i="47"/>
  <c r="I79" i="47"/>
  <c r="H91" i="47"/>
  <c r="H36" i="47"/>
  <c r="H169" i="47"/>
  <c r="H108" i="47"/>
  <c r="H150" i="47"/>
  <c r="H51" i="47"/>
  <c r="H127" i="47"/>
  <c r="H158" i="47"/>
  <c r="H87" i="47"/>
  <c r="H35" i="47"/>
  <c r="H177" i="47"/>
  <c r="G158" i="47"/>
  <c r="G28" i="47"/>
  <c r="G67" i="47"/>
  <c r="G60" i="47"/>
  <c r="G167" i="47"/>
  <c r="G96" i="47"/>
  <c r="G8" i="47"/>
  <c r="G51" i="47"/>
  <c r="G79" i="47"/>
  <c r="G139" i="47"/>
  <c r="F15" i="47"/>
  <c r="F181" i="47"/>
  <c r="F10" i="47"/>
  <c r="F98" i="47"/>
  <c r="F24" i="47"/>
  <c r="F126" i="47"/>
  <c r="F161" i="47"/>
  <c r="F175" i="47"/>
  <c r="F9" i="47"/>
  <c r="F12" i="47"/>
  <c r="E163" i="47"/>
  <c r="E161" i="47"/>
  <c r="E129" i="47"/>
  <c r="E127" i="47"/>
  <c r="E173" i="47"/>
  <c r="E32" i="47"/>
  <c r="E51" i="47"/>
  <c r="E94" i="47"/>
  <c r="E154" i="47"/>
  <c r="E66" i="47"/>
  <c r="D166" i="47"/>
  <c r="D167" i="47"/>
  <c r="D68" i="47"/>
  <c r="D116" i="47"/>
  <c r="D143" i="47"/>
  <c r="D179" i="47"/>
  <c r="D111" i="47"/>
  <c r="D44" i="47"/>
  <c r="D137" i="47"/>
  <c r="D93" i="47"/>
  <c r="C76" i="47"/>
  <c r="C169" i="47"/>
  <c r="C95" i="47"/>
  <c r="C143" i="47"/>
  <c r="C12" i="47"/>
  <c r="C101" i="47"/>
  <c r="C128" i="47"/>
  <c r="C38" i="47"/>
  <c r="C30" i="47"/>
  <c r="C105" i="47"/>
  <c r="J110" i="47"/>
  <c r="J174" i="47"/>
  <c r="J30" i="47"/>
  <c r="J99" i="47"/>
  <c r="J143" i="47"/>
  <c r="J28" i="47"/>
  <c r="J115" i="47"/>
  <c r="J121" i="47"/>
  <c r="J88" i="47"/>
  <c r="J104" i="47"/>
  <c r="I119" i="47"/>
  <c r="I11" i="47"/>
  <c r="I145" i="47"/>
  <c r="I127" i="47"/>
  <c r="I37" i="47"/>
  <c r="I138" i="47"/>
  <c r="I169" i="47"/>
  <c r="I80" i="47"/>
  <c r="I113" i="47"/>
  <c r="I28" i="47"/>
  <c r="H34" i="47"/>
  <c r="H22" i="47"/>
  <c r="H48" i="47"/>
  <c r="H155" i="47"/>
  <c r="H61" i="47"/>
  <c r="H109" i="47"/>
  <c r="H33" i="47"/>
  <c r="H31" i="47"/>
  <c r="H72" i="47"/>
  <c r="H167" i="47"/>
  <c r="H164" i="47"/>
  <c r="G111" i="47"/>
  <c r="G18" i="47"/>
  <c r="G54" i="47"/>
  <c r="G69" i="47"/>
  <c r="G14" i="47"/>
  <c r="G99" i="47"/>
  <c r="G114" i="47"/>
  <c r="G151" i="47"/>
  <c r="G24" i="47"/>
  <c r="G59" i="47"/>
  <c r="F154" i="47"/>
  <c r="F33" i="47"/>
  <c r="F80" i="47"/>
  <c r="F85" i="47"/>
  <c r="F67" i="47"/>
  <c r="F100" i="47"/>
  <c r="F133" i="47"/>
  <c r="F29" i="47"/>
  <c r="F157" i="47"/>
  <c r="F87" i="47"/>
  <c r="E119" i="47"/>
  <c r="E147" i="47"/>
  <c r="E131" i="47"/>
  <c r="E35" i="47"/>
  <c r="E150" i="47"/>
  <c r="E135" i="47"/>
  <c r="E18" i="47"/>
  <c r="E37" i="47"/>
  <c r="E84" i="47"/>
  <c r="E104" i="47"/>
  <c r="D170" i="47"/>
  <c r="D36" i="47"/>
  <c r="D150" i="47"/>
  <c r="D157" i="47"/>
  <c r="D51" i="47"/>
  <c r="D67" i="47"/>
  <c r="D181" i="47"/>
  <c r="D37" i="47"/>
  <c r="D99" i="47"/>
  <c r="C34" i="47"/>
  <c r="C23" i="47"/>
  <c r="C28" i="47"/>
  <c r="C174" i="47"/>
  <c r="C115" i="47"/>
  <c r="C153" i="47"/>
  <c r="C25" i="47"/>
  <c r="C20" i="47"/>
  <c r="C145" i="47"/>
  <c r="J17" i="47"/>
  <c r="J165" i="47"/>
  <c r="J78" i="47"/>
  <c r="J166" i="47"/>
  <c r="J158" i="47"/>
  <c r="J157" i="47"/>
  <c r="J68" i="47"/>
  <c r="J144" i="47"/>
  <c r="J117" i="47"/>
  <c r="J100" i="47"/>
  <c r="I53" i="47"/>
  <c r="I25" i="47"/>
  <c r="I160" i="47"/>
  <c r="I132" i="47"/>
  <c r="I131" i="47"/>
  <c r="I183" i="47"/>
  <c r="I109" i="47"/>
  <c r="I48" i="47"/>
  <c r="I110" i="47"/>
  <c r="I61" i="47"/>
  <c r="H66" i="47"/>
  <c r="H138" i="47"/>
  <c r="H106" i="47"/>
  <c r="H156" i="47"/>
  <c r="H89" i="47"/>
  <c r="H96" i="47"/>
  <c r="H37" i="47"/>
  <c r="H104" i="47"/>
  <c r="H137" i="47"/>
  <c r="H99" i="47"/>
  <c r="H39" i="47"/>
  <c r="G127" i="47"/>
  <c r="G94" i="47"/>
  <c r="G17" i="47"/>
  <c r="G102" i="47"/>
  <c r="G92" i="47"/>
  <c r="G164" i="47"/>
  <c r="G76" i="47"/>
  <c r="G124" i="47"/>
  <c r="G87" i="47"/>
  <c r="G44" i="47"/>
  <c r="F139" i="47"/>
  <c r="F169" i="47"/>
  <c r="F79" i="47"/>
  <c r="F114" i="47"/>
  <c r="F92" i="47"/>
  <c r="F84" i="47"/>
  <c r="F96" i="47"/>
  <c r="F112" i="47"/>
  <c r="F48" i="47"/>
  <c r="F11" i="47"/>
  <c r="E140" i="47"/>
  <c r="E30" i="47"/>
  <c r="E88" i="47"/>
  <c r="E76" i="47"/>
  <c r="E85" i="47"/>
  <c r="E108" i="47"/>
  <c r="E78" i="47"/>
  <c r="E169" i="47"/>
  <c r="E97" i="47"/>
  <c r="E56" i="47"/>
  <c r="E128" i="47"/>
  <c r="D57" i="47"/>
  <c r="D175" i="47"/>
  <c r="D87" i="47"/>
  <c r="D161" i="47"/>
  <c r="D134" i="47"/>
  <c r="D128" i="47"/>
  <c r="D123" i="47"/>
  <c r="D56" i="47"/>
  <c r="D10" i="47"/>
  <c r="D131" i="47"/>
  <c r="C156" i="47"/>
  <c r="C77" i="47"/>
  <c r="C80" i="47"/>
  <c r="C160" i="47"/>
  <c r="C112" i="47"/>
  <c r="C149" i="47"/>
  <c r="C58" i="47"/>
  <c r="C166" i="47"/>
  <c r="C87" i="47"/>
  <c r="J43" i="47"/>
  <c r="J145" i="47"/>
  <c r="J37" i="47"/>
  <c r="J31" i="47"/>
  <c r="J20" i="47"/>
  <c r="J32" i="47"/>
  <c r="J108" i="47"/>
  <c r="J149" i="47"/>
  <c r="J18" i="47"/>
  <c r="J122" i="47"/>
  <c r="I104" i="47"/>
  <c r="I81" i="47"/>
  <c r="I126" i="47"/>
  <c r="I33" i="47"/>
  <c r="I172" i="47"/>
  <c r="I84" i="47"/>
  <c r="I178" i="47"/>
  <c r="I15" i="47"/>
  <c r="I148" i="47"/>
  <c r="I57" i="47"/>
  <c r="H102" i="47"/>
  <c r="H170" i="47"/>
  <c r="H64" i="47"/>
  <c r="H80" i="47"/>
  <c r="H82" i="47"/>
  <c r="H157" i="47"/>
  <c r="H70" i="47"/>
  <c r="H119" i="47"/>
  <c r="H122" i="47"/>
  <c r="H8" i="47"/>
  <c r="G72" i="47"/>
  <c r="G34" i="47"/>
  <c r="G155" i="47"/>
  <c r="G13" i="47"/>
  <c r="G49" i="47"/>
  <c r="G68" i="47"/>
  <c r="G12" i="47"/>
  <c r="G84" i="47"/>
  <c r="G161" i="47"/>
  <c r="G173" i="47"/>
  <c r="F8" i="47"/>
  <c r="F115" i="47"/>
  <c r="F22" i="47"/>
  <c r="F101" i="47"/>
  <c r="F54" i="47"/>
  <c r="F16" i="47"/>
  <c r="F76" i="47"/>
  <c r="F176" i="47"/>
  <c r="F117" i="47"/>
  <c r="F177" i="47"/>
  <c r="E26" i="47"/>
  <c r="E20" i="47"/>
  <c r="E41" i="47"/>
  <c r="E134" i="47"/>
  <c r="E10" i="47"/>
  <c r="E55" i="47"/>
  <c r="E43" i="47"/>
  <c r="E92" i="47"/>
  <c r="E106" i="47"/>
  <c r="E165" i="47"/>
  <c r="E143" i="47"/>
  <c r="D80" i="47"/>
  <c r="D156" i="47"/>
  <c r="D23" i="47"/>
  <c r="D47" i="47"/>
  <c r="D13" i="47"/>
  <c r="D138" i="47"/>
  <c r="D105" i="47"/>
  <c r="D89" i="47"/>
  <c r="D110" i="47"/>
  <c r="D58" i="47"/>
  <c r="C139" i="47"/>
  <c r="C93" i="47"/>
  <c r="C67" i="47"/>
  <c r="C60" i="47"/>
  <c r="C27" i="47"/>
  <c r="C35" i="47"/>
  <c r="C175" i="47"/>
  <c r="C106" i="47"/>
  <c r="C183" i="47"/>
  <c r="C8" i="47"/>
  <c r="J148" i="47"/>
  <c r="J54" i="47"/>
  <c r="J101" i="47"/>
  <c r="J135" i="47"/>
  <c r="J79" i="47"/>
  <c r="J48" i="47"/>
  <c r="J52" i="47"/>
  <c r="J171" i="47"/>
  <c r="J25" i="47"/>
  <c r="I17" i="47"/>
  <c r="I40" i="47"/>
  <c r="I52" i="47"/>
  <c r="I87" i="47"/>
  <c r="I75" i="47"/>
  <c r="I118" i="47"/>
  <c r="I88" i="47"/>
  <c r="I179" i="47"/>
  <c r="I163" i="47"/>
  <c r="I67" i="47"/>
  <c r="H160" i="47"/>
  <c r="H136" i="47"/>
  <c r="H95" i="47"/>
  <c r="H131" i="47"/>
  <c r="H105" i="47"/>
  <c r="H161" i="47"/>
  <c r="H117" i="47"/>
  <c r="H125" i="47"/>
  <c r="H130" i="47"/>
  <c r="H113" i="47"/>
  <c r="G95" i="47"/>
  <c r="G71" i="47"/>
  <c r="G58" i="47"/>
  <c r="G32" i="47"/>
  <c r="G163" i="47"/>
  <c r="G116" i="47"/>
  <c r="G140" i="47"/>
  <c r="G112" i="47"/>
  <c r="G138" i="47"/>
  <c r="G22" i="47"/>
  <c r="F94" i="47"/>
  <c r="F172" i="47"/>
  <c r="F105" i="47"/>
  <c r="F168" i="47"/>
  <c r="F131" i="47"/>
  <c r="F13" i="47"/>
  <c r="F93" i="47"/>
  <c r="F37" i="47"/>
  <c r="F165" i="47"/>
  <c r="F26" i="47"/>
  <c r="E71" i="47"/>
  <c r="E118" i="47"/>
  <c r="E89" i="47"/>
  <c r="E110" i="47"/>
  <c r="E153" i="47"/>
  <c r="E148" i="47"/>
  <c r="E175" i="47"/>
  <c r="E38" i="47"/>
  <c r="E142" i="47"/>
  <c r="E111" i="47"/>
  <c r="E50" i="47"/>
  <c r="D164" i="47"/>
  <c r="D98" i="47"/>
  <c r="D135" i="47"/>
  <c r="D169" i="47"/>
  <c r="D91" i="47"/>
  <c r="D85" i="47"/>
  <c r="D176" i="47"/>
  <c r="D61" i="47"/>
  <c r="D33" i="47"/>
  <c r="D45" i="47"/>
  <c r="C48" i="47"/>
  <c r="C56" i="47"/>
  <c r="C161" i="47"/>
  <c r="C15" i="47"/>
  <c r="C155" i="47"/>
  <c r="C73" i="47"/>
  <c r="C33" i="47"/>
  <c r="C108" i="47"/>
  <c r="C47" i="47"/>
</calcChain>
</file>

<file path=xl/sharedStrings.xml><?xml version="1.0" encoding="utf-8"?>
<sst xmlns="http://schemas.openxmlformats.org/spreadsheetml/2006/main" count="5312" uniqueCount="748">
  <si>
    <t>Index of tables</t>
  </si>
  <si>
    <t>Local Authority tables</t>
  </si>
  <si>
    <t>Table 16</t>
  </si>
  <si>
    <t>Table 17</t>
  </si>
  <si>
    <t>Table 18</t>
  </si>
  <si>
    <t>Table 19</t>
  </si>
  <si>
    <t>Table 20</t>
  </si>
  <si>
    <t>English</t>
  </si>
  <si>
    <t>Mathematics</t>
  </si>
  <si>
    <t>Coverage: England</t>
  </si>
  <si>
    <t>Boys</t>
  </si>
  <si>
    <t>Girls</t>
  </si>
  <si>
    <t xml:space="preserve">5+A*-C grades </t>
  </si>
  <si>
    <t xml:space="preserve">5+A*-G grades </t>
  </si>
  <si>
    <t>Any passes</t>
  </si>
  <si>
    <t>Per cent entered</t>
  </si>
  <si>
    <t>Per cent achieved</t>
  </si>
  <si>
    <t>E12000001</t>
  </si>
  <si>
    <t>Darlington</t>
  </si>
  <si>
    <t>E06000005</t>
  </si>
  <si>
    <t>E06000047</t>
  </si>
  <si>
    <t>Gateshead</t>
  </si>
  <si>
    <t>E08000020</t>
  </si>
  <si>
    <t>Hartlepool</t>
  </si>
  <si>
    <t>E06000001</t>
  </si>
  <si>
    <t>Middlesbrough</t>
  </si>
  <si>
    <t>E06000002</t>
  </si>
  <si>
    <t>Newcastle upon Tyne</t>
  </si>
  <si>
    <t>E08000021</t>
  </si>
  <si>
    <t>North Tyneside</t>
  </si>
  <si>
    <t>E08000022</t>
  </si>
  <si>
    <t>Northumberland</t>
  </si>
  <si>
    <t>E06000048</t>
  </si>
  <si>
    <t>Redcar and Cleveland</t>
  </si>
  <si>
    <t>E06000003</t>
  </si>
  <si>
    <t>South Tyneside</t>
  </si>
  <si>
    <t>E08000023</t>
  </si>
  <si>
    <t>Stockton-on-Tees</t>
  </si>
  <si>
    <t>E06000004</t>
  </si>
  <si>
    <t>Sunderland</t>
  </si>
  <si>
    <t>E08000024</t>
  </si>
  <si>
    <t>E12000002</t>
  </si>
  <si>
    <t>Blackburn with Darwen</t>
  </si>
  <si>
    <t>E06000008</t>
  </si>
  <si>
    <t>Blackpool</t>
  </si>
  <si>
    <t>E06000009</t>
  </si>
  <si>
    <t>Bolton</t>
  </si>
  <si>
    <t>E08000001</t>
  </si>
  <si>
    <t>Bury</t>
  </si>
  <si>
    <t>E08000002</t>
  </si>
  <si>
    <t>Cheshire East</t>
  </si>
  <si>
    <t>E06000049</t>
  </si>
  <si>
    <t>Cheshire West and Chester</t>
  </si>
  <si>
    <t>E06000050</t>
  </si>
  <si>
    <t>Cumbria</t>
  </si>
  <si>
    <t>E10000006</t>
  </si>
  <si>
    <t>Halton</t>
  </si>
  <si>
    <t>E06000006</t>
  </si>
  <si>
    <t>Knowsley</t>
  </si>
  <si>
    <t>E08000011</t>
  </si>
  <si>
    <t>Lancashire</t>
  </si>
  <si>
    <t>E10000017</t>
  </si>
  <si>
    <t>Liverpool</t>
  </si>
  <si>
    <t>E08000012</t>
  </si>
  <si>
    <t>Manchester</t>
  </si>
  <si>
    <t>E08000003</t>
  </si>
  <si>
    <t>Oldham</t>
  </si>
  <si>
    <t>E08000004</t>
  </si>
  <si>
    <t>Rochdale</t>
  </si>
  <si>
    <t>E08000005</t>
  </si>
  <si>
    <t>Salford</t>
  </si>
  <si>
    <t>E08000006</t>
  </si>
  <si>
    <t>Sefton</t>
  </si>
  <si>
    <t>E08000014</t>
  </si>
  <si>
    <t>St. Helens</t>
  </si>
  <si>
    <t>E08000013</t>
  </si>
  <si>
    <t>Stockport</t>
  </si>
  <si>
    <t>E08000007</t>
  </si>
  <si>
    <t>Tameside</t>
  </si>
  <si>
    <t>E08000008</t>
  </si>
  <si>
    <t>Trafford</t>
  </si>
  <si>
    <t>E08000009</t>
  </si>
  <si>
    <t>Warrington</t>
  </si>
  <si>
    <t>E06000007</t>
  </si>
  <si>
    <t>Wigan</t>
  </si>
  <si>
    <t>E08000010</t>
  </si>
  <si>
    <t>Wirral</t>
  </si>
  <si>
    <t>E08000015</t>
  </si>
  <si>
    <t>E12000003</t>
  </si>
  <si>
    <t>Barnsley</t>
  </si>
  <si>
    <t>E08000016</t>
  </si>
  <si>
    <t>Bradford</t>
  </si>
  <si>
    <t>E08000032</t>
  </si>
  <si>
    <t>Calderdale</t>
  </si>
  <si>
    <t>E08000033</t>
  </si>
  <si>
    <t>Doncaster</t>
  </si>
  <si>
    <t>E08000017</t>
  </si>
  <si>
    <t>East Riding of Yorkshire</t>
  </si>
  <si>
    <t>E06000011</t>
  </si>
  <si>
    <t>Kingston upon Hull, City of</t>
  </si>
  <si>
    <t>E06000010</t>
  </si>
  <si>
    <t>Kirklees</t>
  </si>
  <si>
    <t>E08000034</t>
  </si>
  <si>
    <t>Leeds</t>
  </si>
  <si>
    <t>E08000035</t>
  </si>
  <si>
    <t>North East Lincolnshire</t>
  </si>
  <si>
    <t>E06000012</t>
  </si>
  <si>
    <t>North Lincolnshire</t>
  </si>
  <si>
    <t>E06000013</t>
  </si>
  <si>
    <t>North Yorkshire</t>
  </si>
  <si>
    <t>E10000023</t>
  </si>
  <si>
    <t>Rotherham</t>
  </si>
  <si>
    <t>E08000018</t>
  </si>
  <si>
    <t>Sheffield</t>
  </si>
  <si>
    <t>E08000019</t>
  </si>
  <si>
    <t>Wakefield</t>
  </si>
  <si>
    <t>E08000036</t>
  </si>
  <si>
    <t>York</t>
  </si>
  <si>
    <t>E06000014</t>
  </si>
  <si>
    <t>E12000004</t>
  </si>
  <si>
    <t>Derby</t>
  </si>
  <si>
    <t>E06000015</t>
  </si>
  <si>
    <t>Derbyshire</t>
  </si>
  <si>
    <t>E10000007</t>
  </si>
  <si>
    <t>Leicester</t>
  </si>
  <si>
    <t>E06000016</t>
  </si>
  <si>
    <t>Leicestershire</t>
  </si>
  <si>
    <t>E10000018</t>
  </si>
  <si>
    <t>Lincolnshire</t>
  </si>
  <si>
    <t>E10000019</t>
  </si>
  <si>
    <t>Northamptonshire</t>
  </si>
  <si>
    <t>E10000021</t>
  </si>
  <si>
    <t>Nottingham</t>
  </si>
  <si>
    <t>E06000018</t>
  </si>
  <si>
    <t>Nottinghamshire</t>
  </si>
  <si>
    <t>E10000024</t>
  </si>
  <si>
    <t>Rutland</t>
  </si>
  <si>
    <t>E06000017</t>
  </si>
  <si>
    <t>E12000005</t>
  </si>
  <si>
    <t>Birmingham</t>
  </si>
  <si>
    <t>E08000025</t>
  </si>
  <si>
    <t>Coventry</t>
  </si>
  <si>
    <t>E08000026</t>
  </si>
  <si>
    <t>Dudley</t>
  </si>
  <si>
    <t>E08000027</t>
  </si>
  <si>
    <t>E06000019</t>
  </si>
  <si>
    <t>Sandwell</t>
  </si>
  <si>
    <t>E08000028</t>
  </si>
  <si>
    <t>Shropshire</t>
  </si>
  <si>
    <t>E06000051</t>
  </si>
  <si>
    <t>Solihull</t>
  </si>
  <si>
    <t>E08000029</t>
  </si>
  <si>
    <t>Staffordshire</t>
  </si>
  <si>
    <t>E10000028</t>
  </si>
  <si>
    <t>Stoke-on-Trent</t>
  </si>
  <si>
    <t>E06000021</t>
  </si>
  <si>
    <t>Telford and Wrekin</t>
  </si>
  <si>
    <t>E06000020</t>
  </si>
  <si>
    <t>Walsall</t>
  </si>
  <si>
    <t>E08000030</t>
  </si>
  <si>
    <t>Warwickshire</t>
  </si>
  <si>
    <t>E10000031</t>
  </si>
  <si>
    <t>Wolverhampton</t>
  </si>
  <si>
    <t>E08000031</t>
  </si>
  <si>
    <t>Worcestershire</t>
  </si>
  <si>
    <t>E10000034</t>
  </si>
  <si>
    <t>E12000006</t>
  </si>
  <si>
    <t>Bedford</t>
  </si>
  <si>
    <t>E06000055</t>
  </si>
  <si>
    <t>Cambridgeshire</t>
  </si>
  <si>
    <t>E10000003</t>
  </si>
  <si>
    <t>Central Bedfordshire</t>
  </si>
  <si>
    <t>E06000056</t>
  </si>
  <si>
    <t>Essex</t>
  </si>
  <si>
    <t>E10000012</t>
  </si>
  <si>
    <t>Hertfordshire</t>
  </si>
  <si>
    <t>E10000015</t>
  </si>
  <si>
    <t>Luton</t>
  </si>
  <si>
    <t>E06000032</t>
  </si>
  <si>
    <t>Norfolk</t>
  </si>
  <si>
    <t>E10000020</t>
  </si>
  <si>
    <t>Peterborough</t>
  </si>
  <si>
    <t>E06000031</t>
  </si>
  <si>
    <t>Southend-on-Sea</t>
  </si>
  <si>
    <t>E06000033</t>
  </si>
  <si>
    <t>Suffolk</t>
  </si>
  <si>
    <t>E10000029</t>
  </si>
  <si>
    <t>Thurrock</t>
  </si>
  <si>
    <t>E06000034</t>
  </si>
  <si>
    <t>E12000007</t>
  </si>
  <si>
    <t>Inner London</t>
  </si>
  <si>
    <t>E13000001</t>
  </si>
  <si>
    <t>Camden</t>
  </si>
  <si>
    <t>E09000007</t>
  </si>
  <si>
    <t>City of London</t>
  </si>
  <si>
    <t>E09000001</t>
  </si>
  <si>
    <t>.</t>
  </si>
  <si>
    <t>Hackney</t>
  </si>
  <si>
    <t>E09000012</t>
  </si>
  <si>
    <t>Hammersmith and Fulham</t>
  </si>
  <si>
    <t>E09000013</t>
  </si>
  <si>
    <t>Haringey</t>
  </si>
  <si>
    <t>E09000014</t>
  </si>
  <si>
    <t>Islington</t>
  </si>
  <si>
    <t>E09000019</t>
  </si>
  <si>
    <t>Kensington and Chelsea</t>
  </si>
  <si>
    <t>E09000020</t>
  </si>
  <si>
    <t>Lambeth</t>
  </si>
  <si>
    <t>E09000022</t>
  </si>
  <si>
    <t>Lewisham</t>
  </si>
  <si>
    <t>E09000023</t>
  </si>
  <si>
    <t>Newham</t>
  </si>
  <si>
    <t>E09000025</t>
  </si>
  <si>
    <t>Southwark</t>
  </si>
  <si>
    <t>E09000028</t>
  </si>
  <si>
    <t>Tower Hamlets</t>
  </si>
  <si>
    <t>E09000030</t>
  </si>
  <si>
    <t>Wandsworth</t>
  </si>
  <si>
    <t>E09000032</t>
  </si>
  <si>
    <t>Westminster</t>
  </si>
  <si>
    <t>E09000033</t>
  </si>
  <si>
    <t>Outer London</t>
  </si>
  <si>
    <t>E13000002</t>
  </si>
  <si>
    <t>Barking and Dagenham</t>
  </si>
  <si>
    <t>E09000002</t>
  </si>
  <si>
    <t>Barnet</t>
  </si>
  <si>
    <t>E09000003</t>
  </si>
  <si>
    <t>Bexley</t>
  </si>
  <si>
    <t>E09000004</t>
  </si>
  <si>
    <t>Brent</t>
  </si>
  <si>
    <t>E09000005</t>
  </si>
  <si>
    <t>Bromley</t>
  </si>
  <si>
    <t>E09000006</t>
  </si>
  <si>
    <t>Croydon</t>
  </si>
  <si>
    <t>E09000008</t>
  </si>
  <si>
    <t>Ealing</t>
  </si>
  <si>
    <t>E09000009</t>
  </si>
  <si>
    <t>Enfield</t>
  </si>
  <si>
    <t>E09000010</t>
  </si>
  <si>
    <t>Greenwich</t>
  </si>
  <si>
    <t>E09000011</t>
  </si>
  <si>
    <t>Harrow</t>
  </si>
  <si>
    <t>E09000015</t>
  </si>
  <si>
    <t>Havering</t>
  </si>
  <si>
    <t>E09000016</t>
  </si>
  <si>
    <t>Hillingdon</t>
  </si>
  <si>
    <t>E09000017</t>
  </si>
  <si>
    <t>Hounslow</t>
  </si>
  <si>
    <t>E09000018</t>
  </si>
  <si>
    <t>Kingston upon Thames</t>
  </si>
  <si>
    <t>E09000021</t>
  </si>
  <si>
    <t>Merton</t>
  </si>
  <si>
    <t>E09000024</t>
  </si>
  <si>
    <t>Redbridge</t>
  </si>
  <si>
    <t>E09000026</t>
  </si>
  <si>
    <t>Richmond upon Thames</t>
  </si>
  <si>
    <t>E09000027</t>
  </si>
  <si>
    <t>Sutton</t>
  </si>
  <si>
    <t>E09000029</t>
  </si>
  <si>
    <t>Waltham Forest</t>
  </si>
  <si>
    <t>E09000031</t>
  </si>
  <si>
    <t>E12000008</t>
  </si>
  <si>
    <t>E06000036</t>
  </si>
  <si>
    <t>Brighton and Hove</t>
  </si>
  <si>
    <t>E06000043</t>
  </si>
  <si>
    <t>Buckinghamshire</t>
  </si>
  <si>
    <t>E10000002</t>
  </si>
  <si>
    <t>East Sussex</t>
  </si>
  <si>
    <t>E10000011</t>
  </si>
  <si>
    <t>Hampshire</t>
  </si>
  <si>
    <t>E10000014</t>
  </si>
  <si>
    <t>Isle of Wight</t>
  </si>
  <si>
    <t>E06000046</t>
  </si>
  <si>
    <t>Kent</t>
  </si>
  <si>
    <t>E10000016</t>
  </si>
  <si>
    <t>Medway</t>
  </si>
  <si>
    <t>E06000035</t>
  </si>
  <si>
    <t>Milton Keynes</t>
  </si>
  <si>
    <t>E06000042</t>
  </si>
  <si>
    <t>Oxfordshire</t>
  </si>
  <si>
    <t>E10000025</t>
  </si>
  <si>
    <t>Portsmouth</t>
  </si>
  <si>
    <t>E06000044</t>
  </si>
  <si>
    <t>Reading</t>
  </si>
  <si>
    <t>E06000038</t>
  </si>
  <si>
    <t>Slough</t>
  </si>
  <si>
    <t>E06000039</t>
  </si>
  <si>
    <t>Southampton</t>
  </si>
  <si>
    <t>E06000045</t>
  </si>
  <si>
    <t>Surrey</t>
  </si>
  <si>
    <t>E10000030</t>
  </si>
  <si>
    <t>West Berkshire</t>
  </si>
  <si>
    <t>E06000037</t>
  </si>
  <si>
    <t>West Sussex</t>
  </si>
  <si>
    <t>E10000032</t>
  </si>
  <si>
    <t>Windsor and Maidenhead</t>
  </si>
  <si>
    <t>E06000040</t>
  </si>
  <si>
    <t>Wokingham</t>
  </si>
  <si>
    <t>E06000041</t>
  </si>
  <si>
    <t>E12000009</t>
  </si>
  <si>
    <t>Isles of Scilly</t>
  </si>
  <si>
    <t>E06000053</t>
  </si>
  <si>
    <t>Bath and North East Somerset</t>
  </si>
  <si>
    <t>E06000022</t>
  </si>
  <si>
    <t>Bournemouth</t>
  </si>
  <si>
    <t>E06000028</t>
  </si>
  <si>
    <t>Bristol, City of</t>
  </si>
  <si>
    <t>E06000023</t>
  </si>
  <si>
    <t>Cornwall</t>
  </si>
  <si>
    <t>E06000052</t>
  </si>
  <si>
    <t>Devon</t>
  </si>
  <si>
    <t>E10000008</t>
  </si>
  <si>
    <t>Dorset</t>
  </si>
  <si>
    <t>E10000009</t>
  </si>
  <si>
    <t>Gloucestershire</t>
  </si>
  <si>
    <t>E10000013</t>
  </si>
  <si>
    <t>North Somerset</t>
  </si>
  <si>
    <t>E06000024</t>
  </si>
  <si>
    <t>Plymouth</t>
  </si>
  <si>
    <t>E06000026</t>
  </si>
  <si>
    <t>Poole</t>
  </si>
  <si>
    <t>E06000029</t>
  </si>
  <si>
    <t>Somerset</t>
  </si>
  <si>
    <t>E10000027</t>
  </si>
  <si>
    <t>South Gloucestershire</t>
  </si>
  <si>
    <t>E06000025</t>
  </si>
  <si>
    <t>Swindon</t>
  </si>
  <si>
    <t>E06000030</t>
  </si>
  <si>
    <t>Torbay</t>
  </si>
  <si>
    <t>E06000027</t>
  </si>
  <si>
    <t>Wiltshire</t>
  </si>
  <si>
    <t>E06000054</t>
  </si>
  <si>
    <t>E92000001</t>
  </si>
  <si>
    <t>5+ A*-C grades</t>
  </si>
  <si>
    <t>2005/06</t>
  </si>
  <si>
    <t>2006/07</t>
  </si>
  <si>
    <t>2007/08</t>
  </si>
  <si>
    <t>2008/09</t>
  </si>
  <si>
    <t>2009/10</t>
  </si>
  <si>
    <t>2010/11</t>
  </si>
  <si>
    <t>English Baccalaureate subject areas</t>
  </si>
  <si>
    <t>Percentage entered</t>
  </si>
  <si>
    <t xml:space="preserve">Percentage  achieved </t>
  </si>
  <si>
    <t>Percentage of pupils entered for the components of the English Baccalaureate:</t>
  </si>
  <si>
    <t>Sciences</t>
  </si>
  <si>
    <t>History or Geography</t>
  </si>
  <si>
    <t>Languages</t>
  </si>
  <si>
    <t>Number of eligible pupils</t>
  </si>
  <si>
    <t>% making expected progress</t>
  </si>
  <si>
    <t>.  Not applicable.</t>
  </si>
  <si>
    <r>
      <t>English Baccalaureate</t>
    </r>
    <r>
      <rPr>
        <vertAlign val="superscript"/>
        <sz val="8"/>
        <rFont val="Arial"/>
        <family val="2"/>
      </rPr>
      <t>2</t>
    </r>
  </si>
  <si>
    <r>
      <t>Percentage of pupils achieving the components of the English Baccalaureate</t>
    </r>
    <r>
      <rPr>
        <vertAlign val="superscript"/>
        <sz val="8"/>
        <rFont val="Arial"/>
        <family val="2"/>
      </rPr>
      <t>3</t>
    </r>
    <r>
      <rPr>
        <sz val="8"/>
        <rFont val="Arial"/>
        <family val="2"/>
      </rPr>
      <t>:</t>
    </r>
  </si>
  <si>
    <r>
      <t>Coverage: England</t>
    </r>
    <r>
      <rPr>
        <b/>
        <vertAlign val="superscript"/>
        <sz val="9"/>
        <rFont val="Arial"/>
        <family val="2"/>
      </rPr>
      <t xml:space="preserve"> </t>
    </r>
  </si>
  <si>
    <t>2011/12</t>
  </si>
  <si>
    <t>County Durham</t>
  </si>
  <si>
    <t>Herefordshire, County of</t>
  </si>
  <si>
    <t>2.  The definition of the English Baccalaureate is outlined in the 'Definitions' section of the SFR.</t>
  </si>
  <si>
    <t>2.  A full explanation of how expected progress is calculated is included in the technical notes in this SFR.</t>
  </si>
  <si>
    <r>
      <t>Bedfordshire</t>
    </r>
    <r>
      <rPr>
        <vertAlign val="superscript"/>
        <sz val="8"/>
        <rFont val="Arial"/>
        <family val="2"/>
      </rPr>
      <t>3</t>
    </r>
  </si>
  <si>
    <r>
      <t>Cheshire</t>
    </r>
    <r>
      <rPr>
        <vertAlign val="superscript"/>
        <sz val="8"/>
        <rFont val="Arial"/>
        <family val="2"/>
      </rPr>
      <t>3</t>
    </r>
  </si>
  <si>
    <t>Source: Key Stage 4 attainment data</t>
  </si>
  <si>
    <r>
      <t>England</t>
    </r>
    <r>
      <rPr>
        <b/>
        <vertAlign val="superscript"/>
        <sz val="8"/>
        <rFont val="Arial"/>
        <family val="2"/>
      </rPr>
      <t>1</t>
    </r>
  </si>
  <si>
    <t>GCSE and equivalent results of pupils at the end of key stage 4 by gender for each local authority and region</t>
  </si>
  <si>
    <t>The English Baccalaureate by local authority and region</t>
  </si>
  <si>
    <r>
      <t>Table 16: GCSE and equivalent results of pupils at the end of key stage 4 by gender for each local authority</t>
    </r>
    <r>
      <rPr>
        <b/>
        <vertAlign val="superscript"/>
        <sz val="9"/>
        <rFont val="Arial"/>
        <family val="2"/>
      </rPr>
      <t>1</t>
    </r>
    <r>
      <rPr>
        <b/>
        <sz val="9"/>
        <rFont val="Arial"/>
        <family val="2"/>
      </rPr>
      <t xml:space="preserve"> and region</t>
    </r>
  </si>
  <si>
    <t>Number of end of key stage 4 pupils</t>
  </si>
  <si>
    <t>Percentage of pupils at the end of key stage 4 achieving at GCSE and equivalents:</t>
  </si>
  <si>
    <t xml:space="preserve">3.  Average capped point scores are calculated using the best 8 GCSE and equivalent results. </t>
  </si>
  <si>
    <r>
      <t>Table 17: GCSE and equivalent results of pupils at the end of key stage 4 for each local authority</t>
    </r>
    <r>
      <rPr>
        <b/>
        <vertAlign val="superscript"/>
        <sz val="9"/>
        <rFont val="Arial"/>
        <family val="2"/>
      </rPr>
      <t>1</t>
    </r>
    <r>
      <rPr>
        <b/>
        <sz val="9"/>
        <rFont val="Arial"/>
        <family val="2"/>
      </rPr>
      <t xml:space="preserve"> and region</t>
    </r>
  </si>
  <si>
    <t>5+ A*-C grades including English &amp; Mathematics GCSEs</t>
  </si>
  <si>
    <t>2012/13</t>
  </si>
  <si>
    <t>Source: key stage 4 attainment data</t>
  </si>
  <si>
    <r>
      <t>Table 18: The English Baccalaureate by local authority</t>
    </r>
    <r>
      <rPr>
        <b/>
        <vertAlign val="superscript"/>
        <sz val="9"/>
        <rFont val="Arial"/>
        <family val="2"/>
      </rPr>
      <t>1</t>
    </r>
    <r>
      <rPr>
        <b/>
        <sz val="9"/>
        <rFont val="Arial"/>
        <family val="2"/>
      </rPr>
      <t xml:space="preserve"> and region</t>
    </r>
  </si>
  <si>
    <t>3.  The figures for pupils achieving the English and mathematics subject areas are calculated as a percentage of pupils at the end of key stage 4. The figures for sciences, history or geography and languages achievements are calculated as a percentage of those pupils who were entered in that subject area.</t>
  </si>
  <si>
    <r>
      <t>Table 19: Percentage of pupils in state-funded mainstream</t>
    </r>
    <r>
      <rPr>
        <b/>
        <vertAlign val="superscript"/>
        <sz val="9"/>
        <rFont val="Arial"/>
        <family val="2"/>
      </rPr>
      <t>1</t>
    </r>
    <r>
      <rPr>
        <b/>
        <sz val="9"/>
        <rFont val="Arial"/>
        <family val="2"/>
      </rPr>
      <t xml:space="preserve"> schools making expected progress</t>
    </r>
    <r>
      <rPr>
        <b/>
        <vertAlign val="superscript"/>
        <sz val="9"/>
        <rFont val="Arial"/>
        <family val="2"/>
      </rPr>
      <t>2</t>
    </r>
    <r>
      <rPr>
        <b/>
        <sz val="9"/>
        <rFont val="Arial"/>
        <family val="2"/>
      </rPr>
      <t xml:space="preserve"> in English and mathematics between key stage 2 and key stage 4, by local authority and region</t>
    </r>
    <r>
      <rPr>
        <b/>
        <vertAlign val="superscript"/>
        <sz val="9"/>
        <rFont val="Arial"/>
        <family val="2"/>
      </rPr>
      <t>3</t>
    </r>
  </si>
  <si>
    <r>
      <t>England</t>
    </r>
    <r>
      <rPr>
        <b/>
        <vertAlign val="superscript"/>
        <sz val="8"/>
        <rFont val="Arial"/>
        <family val="2"/>
      </rPr>
      <t>3</t>
    </r>
  </si>
  <si>
    <r>
      <t>Table 20: Percentage of pupils in state-funded schools</t>
    </r>
    <r>
      <rPr>
        <b/>
        <vertAlign val="superscript"/>
        <sz val="9"/>
        <rFont val="Arial"/>
        <family val="2"/>
      </rPr>
      <t>1</t>
    </r>
    <r>
      <rPr>
        <b/>
        <sz val="9"/>
        <rFont val="Arial"/>
        <family val="2"/>
      </rPr>
      <t xml:space="preserve"> making expected progress</t>
    </r>
    <r>
      <rPr>
        <b/>
        <vertAlign val="superscript"/>
        <sz val="9"/>
        <rFont val="Arial"/>
        <family val="2"/>
      </rPr>
      <t>2</t>
    </r>
    <r>
      <rPr>
        <b/>
        <sz val="9"/>
        <rFont val="Arial"/>
        <family val="2"/>
      </rPr>
      <t xml:space="preserve"> in English and mathematics between key stage 2 and key stage 4, by local authority and region</t>
    </r>
    <r>
      <rPr>
        <b/>
        <vertAlign val="superscript"/>
        <sz val="9"/>
        <rFont val="Arial"/>
        <family val="2"/>
      </rPr>
      <t>3</t>
    </r>
  </si>
  <si>
    <t>1.   State-funded schools include academies, free schools, city technology colleges and state-funded special schools but exclude independent schools, independent special schools, non-maintained special schools, hospital schools and alternative provision including academy and free school alternative provision and pupil referral units.</t>
  </si>
  <si>
    <t>Region/
Local Authority</t>
  </si>
  <si>
    <t>Region/
Local Authority number</t>
  </si>
  <si>
    <t>North East</t>
  </si>
  <si>
    <t>North West</t>
  </si>
  <si>
    <t>Yorkshire and the Humber</t>
  </si>
  <si>
    <t>East</t>
  </si>
  <si>
    <t>London</t>
  </si>
  <si>
    <t>East Midlands</t>
  </si>
  <si>
    <t>West Midlands</t>
  </si>
  <si>
    <t>South East</t>
  </si>
  <si>
    <t>South West</t>
  </si>
  <si>
    <t>GCSE and equivalent results of pupils at the end of key stage 4 for each local authority and region, 2005/06 to 2012/13</t>
  </si>
  <si>
    <t>Percentage of pupils in state-funded mainstream schools making expected progress in English and mathematics between key stage 2 and key stage 4, by local authority and region, 2008/09 to 2012/13</t>
  </si>
  <si>
    <t>Percentage of pupils in state-funded schools making expected progress in English and mathematics between key stage 2 and key stage 4, by local authority and region, 2008/09 to 2012/13</t>
  </si>
  <si>
    <r>
      <t>Year: 2008/09 to 2012/13</t>
    </r>
    <r>
      <rPr>
        <b/>
        <vertAlign val="superscript"/>
        <sz val="9"/>
        <rFont val="Arial"/>
        <family val="2"/>
      </rPr>
      <t>4</t>
    </r>
  </si>
  <si>
    <t>Source: 2012/13 key stage 4 attainment data (Revised)</t>
  </si>
  <si>
    <r>
      <t>Year: 2012/13</t>
    </r>
    <r>
      <rPr>
        <b/>
        <vertAlign val="superscript"/>
        <sz val="9"/>
        <rFont val="Arial"/>
        <family val="2"/>
      </rPr>
      <t>2</t>
    </r>
    <r>
      <rPr>
        <b/>
        <sz val="9"/>
        <rFont val="Arial"/>
        <family val="2"/>
      </rPr>
      <t xml:space="preserve"> (Revised)</t>
    </r>
  </si>
  <si>
    <t>Please select criteria</t>
  </si>
  <si>
    <t xml:space="preserve">Gender: </t>
  </si>
  <si>
    <t>All</t>
  </si>
  <si>
    <r>
      <t>Average capped</t>
    </r>
    <r>
      <rPr>
        <vertAlign val="superscript"/>
        <sz val="8"/>
        <rFont val="Arial"/>
        <family val="2"/>
      </rPr>
      <t>3</t>
    </r>
    <r>
      <rPr>
        <sz val="8"/>
        <rFont val="Arial"/>
        <family val="2"/>
      </rPr>
      <t xml:space="preserve"> GCSE and equivalents point score per pupil</t>
    </r>
  </si>
  <si>
    <t>Average GCSE and equivalents point score per pupil</t>
  </si>
  <si>
    <t>Region</t>
  </si>
  <si>
    <t>LA_name</t>
  </si>
  <si>
    <t>(No column name)</t>
  </si>
  <si>
    <t>M_PUP</t>
  </si>
  <si>
    <t>M_5AC</t>
  </si>
  <si>
    <t>M_5ACEM</t>
  </si>
  <si>
    <t>M_5AG</t>
  </si>
  <si>
    <t>M_5AGEM</t>
  </si>
  <si>
    <t>M_ANYPASS</t>
  </si>
  <si>
    <t>M_PTSCNEWE</t>
  </si>
  <si>
    <t>M_PTSTNEWE</t>
  </si>
  <si>
    <t>M_entbasicn</t>
  </si>
  <si>
    <t>M_L2BASICS</t>
  </si>
  <si>
    <t>F_PUP</t>
  </si>
  <si>
    <t>F_5AC</t>
  </si>
  <si>
    <t>F_5ACEM</t>
  </si>
  <si>
    <t>F_5AG</t>
  </si>
  <si>
    <t>F_5AGEM</t>
  </si>
  <si>
    <t>F_ANYPASS</t>
  </si>
  <si>
    <t>F_PTSCNEWE</t>
  </si>
  <si>
    <t>F_PTSTNEWE</t>
  </si>
  <si>
    <t>F_entbasicn</t>
  </si>
  <si>
    <t>F_L2BASICS</t>
  </si>
  <si>
    <t>T_PUP</t>
  </si>
  <si>
    <t>T_5AC</t>
  </si>
  <si>
    <t>T_5ACEM</t>
  </si>
  <si>
    <t>T_AG</t>
  </si>
  <si>
    <t>T_5AGEM</t>
  </si>
  <si>
    <t>T_ANYPASS</t>
  </si>
  <si>
    <t>T_PTSCNEWE</t>
  </si>
  <si>
    <t>T_PTSTNEWE</t>
  </si>
  <si>
    <t>T_entbasicn</t>
  </si>
  <si>
    <t>L2BASICS</t>
  </si>
  <si>
    <r>
      <t>Year: 2005/06 to 2012/13</t>
    </r>
    <r>
      <rPr>
        <b/>
        <vertAlign val="superscript"/>
        <sz val="9"/>
        <rFont val="Arial"/>
        <family val="2"/>
      </rPr>
      <t>2</t>
    </r>
    <r>
      <rPr>
        <b/>
        <sz val="9"/>
        <rFont val="Arial"/>
        <family val="2"/>
      </rPr>
      <t xml:space="preserve"> (Revised)</t>
    </r>
  </si>
  <si>
    <t>Year: 2012/13 (Revised)</t>
  </si>
  <si>
    <t>4.  Figures for 2012/13 are revised, all other years are final.</t>
  </si>
  <si>
    <t>2.  Figures for 2012/13 are revised, all other figures are final.</t>
  </si>
  <si>
    <t>1.  State-funded mainstream schools include academies, free schools and city technology colleges but exclude state-funded special schools, independent schools, independent special schools, non-maintained special schools, hospital schools and alternative provision including academy and free school alternative provision and pupil referral units.</t>
  </si>
  <si>
    <t xml:space="preserve">3.  Local authority, region and the Total (state-funded mainstream sector) figures do not include pupils recently arrived from overseas. </t>
  </si>
  <si>
    <t>3.  Local authority, region and the Total (state-funded sector) figures cover achievements in state-funded schools only. They do not include pupils recently arrived from overseas and so will not match with state-funded figures in the main tables and the 'England' line above which include all pupils.</t>
  </si>
  <si>
    <t>1.  Local authority, region and the Total (state-funded sector) figures cover achievements in state-funded schools only. They do not include pupils recently arrived from overseas and so will not match with state-funded figures in the main tables. The 'England' line above includes all pupils from state-funded schools, independent schools, independent special schools, non-maintained special schools, hospital schools and  alternative provision including academy and free school alternative provision and pupil referral units.</t>
  </si>
  <si>
    <t>3.  In 2009, Cheshire local authority split into Cheshire East and Cheshire West and Chester. Similarly, Bedfordshire local authority split into Bedford and Central Bedfordshire.</t>
  </si>
  <si>
    <t>1. Local authority, region and the Total (state-funded sector) figures cover achievements in state-funded schools only. They do not include pupils recently arrived from overseas and so will not match with state-funded figures in the main tables. The 'England' line above includes all pupils from state-funded schools, independent schools, independent special schools, non-maintained special schools, hospital schools and  alternative provision including academy and free school alternative provision and pupil referral units.</t>
  </si>
  <si>
    <r>
      <t>Total (state-funded sector)</t>
    </r>
    <r>
      <rPr>
        <b/>
        <vertAlign val="superscript"/>
        <sz val="8"/>
        <rFont val="Arial"/>
        <family val="2"/>
      </rPr>
      <t>3</t>
    </r>
  </si>
  <si>
    <r>
      <t>Total (state-funded sector)</t>
    </r>
    <r>
      <rPr>
        <b/>
        <vertAlign val="superscript"/>
        <sz val="8"/>
        <rFont val="Arial"/>
        <family val="2"/>
      </rPr>
      <t>1</t>
    </r>
  </si>
  <si>
    <t>Vlookup</t>
  </si>
  <si>
    <t>5 A*-C grades</t>
  </si>
  <si>
    <t>2.  Including entries and achievements by these pupils in previous academic years.</t>
  </si>
  <si>
    <t>5+ A*-C grades including English and mathematics GCSEs</t>
  </si>
  <si>
    <t>Total (State-funded sector)1</t>
  </si>
  <si>
    <t>England1</t>
  </si>
  <si>
    <t>5+ A*-C including English and mathematics GCSEs</t>
  </si>
  <si>
    <t>5+ A*-G including English and mathematics GCSEs</t>
  </si>
  <si>
    <t xml:space="preserve">Number of end of key stage 4 pupils </t>
  </si>
  <si>
    <t>Percentage making expected progress</t>
  </si>
  <si>
    <t>GCSE AND EQUIVALENT RESULTS IN ENGLAND 2012/13 (REVISED)</t>
  </si>
  <si>
    <t>Source: Key stage 4 attainment data</t>
  </si>
  <si>
    <t>5 A*-C grades inc E&amp;M</t>
  </si>
  <si>
    <t>4.  Results for Bracknell Forest are affected by more than 100 missing GCSE mathematics results for pupils in one of its schools. The school and local authority results have been suppressed on the performance tables website and will be released once these missing results have been submitted to the Department. The Bracknell Forest figures in this SFR will also be corrected and re-published at this point.</t>
  </si>
  <si>
    <t>Bracknell Forest4</t>
  </si>
  <si>
    <r>
      <t>Bracknell Forest</t>
    </r>
    <r>
      <rPr>
        <vertAlign val="superscript"/>
        <sz val="8"/>
        <rFont val="Arial"/>
        <family val="2"/>
      </rPr>
      <t>4</t>
    </r>
  </si>
  <si>
    <r>
      <t>England</t>
    </r>
    <r>
      <rPr>
        <b/>
        <vertAlign val="superscript"/>
        <sz val="8"/>
        <rFont val="Arial"/>
        <family val="2"/>
      </rPr>
      <t>1,5</t>
    </r>
  </si>
  <si>
    <t>England1,5</t>
  </si>
  <si>
    <t>5.  Figures from 2009/10 include iGCSEs.</t>
  </si>
  <si>
    <r>
      <t>Bracknell Forest</t>
    </r>
    <r>
      <rPr>
        <vertAlign val="superscript"/>
        <sz val="8"/>
        <rFont val="Arial"/>
        <family val="2"/>
      </rPr>
      <t>5</t>
    </r>
  </si>
  <si>
    <t>Bracknell Forest5</t>
  </si>
  <si>
    <t>GCSE or iGCSE English and mathematics at A*-C</t>
  </si>
  <si>
    <r>
      <t>Total (state-funded mainstream sector)</t>
    </r>
    <r>
      <rPr>
        <b/>
        <vertAlign val="superscript"/>
        <sz val="8"/>
        <rFont val="Arial"/>
        <family val="2"/>
      </rPr>
      <t>3</t>
    </r>
  </si>
  <si>
    <t>National tables</t>
  </si>
  <si>
    <t>Table 7</t>
  </si>
  <si>
    <t>GCSE entries and achievements in selected subjects of pupils at the end of key stage 4 in schools (number)</t>
  </si>
  <si>
    <t>Table 8</t>
  </si>
  <si>
    <t>GCSE entries and achievements in selected subjects of pupils at the end of key stage 4 in schools (percentage of pupils entering the subject)</t>
  </si>
  <si>
    <t>Table 9</t>
  </si>
  <si>
    <t>GCSE entries and achievements in selected subjects of pupils at the end of key stage 4 in schools (percentage of all pupils)</t>
  </si>
  <si>
    <t>Table 10a</t>
  </si>
  <si>
    <t>GCSE entries in selected subjects by pupils at the end of key stage 4 by school type (percentage)</t>
  </si>
  <si>
    <t>Table 10b</t>
  </si>
  <si>
    <t>GCSE entries in selected subjects by pupils at the end of key stage 4 by admissions basis (percentage)</t>
  </si>
  <si>
    <t>Table 11</t>
  </si>
  <si>
    <t>GCSE results of pupils at the end of key stage 4 in schools, by subject and grade</t>
  </si>
  <si>
    <t>Table 12</t>
  </si>
  <si>
    <t>International GCSE, Cambridge International Certificate and Edexcel Level1/2 Certificate results of pupils at the end of key stage 4 in schools, by subject and grade</t>
  </si>
  <si>
    <t>Table 13</t>
  </si>
  <si>
    <t>Results of GCSEs in Applied subjects of pupils at the end of key stage 4 in schools, by subject and grade</t>
  </si>
  <si>
    <t>Table 14</t>
  </si>
  <si>
    <t>GCSE (Short Course) results of pupils at the end of key stage 4 in all schools, by subject and grade</t>
  </si>
  <si>
    <t>Table 15</t>
  </si>
  <si>
    <t>Other Qualification results of pupils at the end of key stage 4 in all schools, by type of qualification</t>
  </si>
  <si>
    <t>Table 21</t>
  </si>
  <si>
    <t>Number of schools below the floor standard by local authority and region</t>
  </si>
  <si>
    <r>
      <t>Table 7: GCSE entries and achievements</t>
    </r>
    <r>
      <rPr>
        <b/>
        <vertAlign val="superscript"/>
        <sz val="9"/>
        <rFont val="Arial"/>
        <family val="2"/>
      </rPr>
      <t>1</t>
    </r>
    <r>
      <rPr>
        <b/>
        <sz val="9"/>
        <rFont val="Arial"/>
        <family val="2"/>
      </rPr>
      <t xml:space="preserve"> in selected subjects of pupils at the end of key stage 4 in schools (number)</t>
    </r>
  </si>
  <si>
    <t>Pupils (thousands)</t>
  </si>
  <si>
    <t>Entered GCSE</t>
  </si>
  <si>
    <t>Achieved grades A*-C</t>
  </si>
  <si>
    <t>Achieved grades A*-G</t>
  </si>
  <si>
    <t>Total</t>
  </si>
  <si>
    <t>Any Subject</t>
  </si>
  <si>
    <t>English &amp; Mathematics</t>
  </si>
  <si>
    <t>Mathematics &amp; Science</t>
  </si>
  <si>
    <t>English, Mathematics &amp; Science</t>
  </si>
  <si>
    <r>
      <t>English</t>
    </r>
    <r>
      <rPr>
        <vertAlign val="superscript"/>
        <sz val="8"/>
        <rFont val="Arial"/>
        <family val="2"/>
      </rPr>
      <t>3</t>
    </r>
  </si>
  <si>
    <r>
      <t>English Language</t>
    </r>
    <r>
      <rPr>
        <vertAlign val="superscript"/>
        <sz val="8"/>
        <rFont val="Arial"/>
        <family val="2"/>
      </rPr>
      <t>4</t>
    </r>
  </si>
  <si>
    <t>Any Science</t>
  </si>
  <si>
    <t>Core Science</t>
  </si>
  <si>
    <t>Additional Science</t>
  </si>
  <si>
    <t>Additional Applied Science</t>
  </si>
  <si>
    <t>Physics</t>
  </si>
  <si>
    <t>Chemistry</t>
  </si>
  <si>
    <t>Biological Sciences</t>
  </si>
  <si>
    <r>
      <t>Other Sciences</t>
    </r>
    <r>
      <rPr>
        <vertAlign val="superscript"/>
        <sz val="8"/>
        <rFont val="Arial"/>
        <family val="2"/>
      </rPr>
      <t>5</t>
    </r>
  </si>
  <si>
    <t>Any Design &amp; Technology</t>
  </si>
  <si>
    <t>D &amp; T: Electronic Products</t>
  </si>
  <si>
    <t>D &amp; T: Food Technology</t>
  </si>
  <si>
    <t>D &amp; T: Graphic Products</t>
  </si>
  <si>
    <t>D &amp; T: Resistant Materials</t>
  </si>
  <si>
    <t>D &amp; T: Systems &amp; Control</t>
  </si>
  <si>
    <t>D &amp; T: Textiles Technology</t>
  </si>
  <si>
    <r>
      <t>Other Design and Technology</t>
    </r>
    <r>
      <rPr>
        <vertAlign val="superscript"/>
        <sz val="8"/>
        <rFont val="Arial"/>
        <family val="2"/>
      </rPr>
      <t>6</t>
    </r>
  </si>
  <si>
    <t>Applied Engineering</t>
  </si>
  <si>
    <r>
      <t>Information Technology</t>
    </r>
    <r>
      <rPr>
        <vertAlign val="superscript"/>
        <sz val="8"/>
        <rFont val="Arial"/>
        <family val="2"/>
      </rPr>
      <t>7</t>
    </r>
  </si>
  <si>
    <t>Business Studies</t>
  </si>
  <si>
    <t>Applied Business</t>
  </si>
  <si>
    <t>Home Economics</t>
  </si>
  <si>
    <t>Geography</t>
  </si>
  <si>
    <t>History</t>
  </si>
  <si>
    <t>Humanities</t>
  </si>
  <si>
    <t>Economics</t>
  </si>
  <si>
    <t>Social Studies</t>
  </si>
  <si>
    <t>Any Modern Language</t>
  </si>
  <si>
    <t>Arabic</t>
  </si>
  <si>
    <t>Chinese</t>
  </si>
  <si>
    <t>French</t>
  </si>
  <si>
    <t>German</t>
  </si>
  <si>
    <t>Italian</t>
  </si>
  <si>
    <t>Polish</t>
  </si>
  <si>
    <t>Spanish</t>
  </si>
  <si>
    <t>Urdu</t>
  </si>
  <si>
    <t>Other Modern Languages</t>
  </si>
  <si>
    <t>Any Classical Study</t>
  </si>
  <si>
    <t>Classical Civilisation</t>
  </si>
  <si>
    <t>Classical Greek</t>
  </si>
  <si>
    <t>Latin</t>
  </si>
  <si>
    <t>Other Classical Studies</t>
  </si>
  <si>
    <t>Applied Art and Design</t>
  </si>
  <si>
    <t>Applied Physical Education</t>
  </si>
  <si>
    <t>Art and Design</t>
  </si>
  <si>
    <t>Communication Studies</t>
  </si>
  <si>
    <t>Construction</t>
  </si>
  <si>
    <t>Drama</t>
  </si>
  <si>
    <t>English Literature</t>
  </si>
  <si>
    <t>English Studies</t>
  </si>
  <si>
    <t>General Studies</t>
  </si>
  <si>
    <t>Health and Social Care</t>
  </si>
  <si>
    <t>Hospitality and Catering</t>
  </si>
  <si>
    <t>Leisure and Tourism</t>
  </si>
  <si>
    <t>Manufacturing</t>
  </si>
  <si>
    <t>Media/Film/TV</t>
  </si>
  <si>
    <t>Media: Communication and Production</t>
  </si>
  <si>
    <t>Music</t>
  </si>
  <si>
    <t>Performing Arts</t>
  </si>
  <si>
    <t>Physical Education</t>
  </si>
  <si>
    <t>Religious Studies</t>
  </si>
  <si>
    <t>Statistics</t>
  </si>
  <si>
    <t>Vocational Studies</t>
  </si>
  <si>
    <t>1.  For each subject group only one attempt is counted. Where subjects have been combined into a group (e.g. other modern languages) and a pupil has an entry in two or more of those subjects, the entry with the best result is counted.</t>
  </si>
  <si>
    <t xml:space="preserve">2.  Includes entries and achievements by these pupils in previous academic years. </t>
  </si>
  <si>
    <t>3.  The English and English Language subject  lines may not add up to the overall English figure due to rounding.</t>
  </si>
  <si>
    <t>4.  English language includes entries and achievements in legacy 'English' GCSEs.</t>
  </si>
  <si>
    <t>5.  Includes double award science and applied science.</t>
  </si>
  <si>
    <t>6.  Includes all other combined syllabus of which design and technology is the major part.</t>
  </si>
  <si>
    <t>7.  Also includes computer studies, information systems and any combined syllabus of which information technology is the major part.</t>
  </si>
  <si>
    <t>Single award subjects previously in table 13 (prior to 2011/12) are shown in italics; motor vehicle studies is grouped with other design and technology; catering studies is grouped with vocational studies.</t>
  </si>
  <si>
    <r>
      <t>Table 8: GCSE entries and achievements</t>
    </r>
    <r>
      <rPr>
        <b/>
        <vertAlign val="superscript"/>
        <sz val="9"/>
        <rFont val="Arial"/>
        <family val="2"/>
      </rPr>
      <t>1</t>
    </r>
    <r>
      <rPr>
        <b/>
        <sz val="9"/>
        <rFont val="Arial"/>
        <family val="2"/>
      </rPr>
      <t xml:space="preserve"> in selected subjects of pupils at the end of key stage 4 in schools (percentage of pupils entering the subject)</t>
    </r>
  </si>
  <si>
    <t>Thousands</t>
  </si>
  <si>
    <t>As a percentage of pupils at the end of key stage 4 entering the subject</t>
  </si>
  <si>
    <r>
      <t>Table 9: GCSE entries and achievements</t>
    </r>
    <r>
      <rPr>
        <b/>
        <vertAlign val="superscript"/>
        <sz val="9"/>
        <rFont val="Arial"/>
        <family val="2"/>
      </rPr>
      <t>1</t>
    </r>
    <r>
      <rPr>
        <b/>
        <sz val="9"/>
        <rFont val="Arial"/>
        <family val="2"/>
      </rPr>
      <t xml:space="preserve"> in selected subjects of pupils at the end of key stage 4 in schools (percentage of all pupils)</t>
    </r>
  </si>
  <si>
    <r>
      <t>As a percentage of pupils at the end of key stage 4 in all schools</t>
    </r>
    <r>
      <rPr>
        <vertAlign val="superscript"/>
        <sz val="8"/>
        <rFont val="Arial"/>
        <family val="2"/>
      </rPr>
      <t>3</t>
    </r>
  </si>
  <si>
    <t>Any Subject (Thousands)</t>
  </si>
  <si>
    <r>
      <t>English</t>
    </r>
    <r>
      <rPr>
        <vertAlign val="superscript"/>
        <sz val="8"/>
        <rFont val="Arial"/>
        <family val="2"/>
      </rPr>
      <t>4</t>
    </r>
  </si>
  <si>
    <r>
      <t>English Language</t>
    </r>
    <r>
      <rPr>
        <vertAlign val="superscript"/>
        <sz val="8"/>
        <rFont val="Arial"/>
        <family val="2"/>
      </rPr>
      <t>5</t>
    </r>
  </si>
  <si>
    <r>
      <t>Other Sciences</t>
    </r>
    <r>
      <rPr>
        <vertAlign val="superscript"/>
        <sz val="8"/>
        <rFont val="Arial"/>
        <family val="2"/>
      </rPr>
      <t>6</t>
    </r>
  </si>
  <si>
    <r>
      <t>Other Design and Technology</t>
    </r>
    <r>
      <rPr>
        <vertAlign val="superscript"/>
        <sz val="8"/>
        <rFont val="Arial"/>
        <family val="2"/>
      </rPr>
      <t>7</t>
    </r>
  </si>
  <si>
    <r>
      <t>Information Technology</t>
    </r>
    <r>
      <rPr>
        <vertAlign val="superscript"/>
        <sz val="8"/>
        <rFont val="Arial"/>
        <family val="2"/>
      </rPr>
      <t>8</t>
    </r>
  </si>
  <si>
    <t>1.  For each subject group only one attempt is counted. Where subjects have been combined into a group (e.g.other modern languages) and a pupil has an entry in two or more of those subjects, the entry with the best result is counted.</t>
  </si>
  <si>
    <t xml:space="preserve">3.  Some zero percentages will represent small numbers due to rounding. </t>
  </si>
  <si>
    <t>4.  The English and English language subject  lines may not add up to the overall English figure due to rounding.</t>
  </si>
  <si>
    <t>5.  English language includes entries and achievements in legacy 'English' GCSEs.</t>
  </si>
  <si>
    <t>6.  Includes double award science and applied science.</t>
  </si>
  <si>
    <t>7.  Includes all other combined syllabus of which design and technology is the major part.</t>
  </si>
  <si>
    <t>8.  Also includes computer studies, information systems and any combined syllabus of which information technology is the major part.</t>
  </si>
  <si>
    <t>Table 10a: GCSE entries in selected subjects by pupils at the end of key stage 4 by school type (percentage)</t>
  </si>
  <si>
    <r>
      <t>Year: 2012/13</t>
    </r>
    <r>
      <rPr>
        <b/>
        <vertAlign val="superscript"/>
        <sz val="9"/>
        <rFont val="Arial"/>
        <family val="2"/>
      </rPr>
      <t>1</t>
    </r>
    <r>
      <rPr>
        <b/>
        <sz val="9"/>
        <rFont val="Arial"/>
        <family val="2"/>
      </rPr>
      <t xml:space="preserve"> (Revised)</t>
    </r>
  </si>
  <si>
    <r>
      <t>As a percentage of pupils at the end of key stage 4 in each school type</t>
    </r>
    <r>
      <rPr>
        <vertAlign val="superscript"/>
        <sz val="8"/>
        <rFont val="Arial"/>
        <family val="2"/>
      </rPr>
      <t>2</t>
    </r>
  </si>
  <si>
    <r>
      <t>All state-funded mainstream schools</t>
    </r>
    <r>
      <rPr>
        <vertAlign val="superscript"/>
        <sz val="8"/>
        <rFont val="Arial"/>
        <family val="2"/>
      </rPr>
      <t>3</t>
    </r>
  </si>
  <si>
    <r>
      <t>Local authority maintained mainstream schools</t>
    </r>
    <r>
      <rPr>
        <vertAlign val="superscript"/>
        <sz val="8"/>
        <rFont val="Arial"/>
        <family val="2"/>
      </rPr>
      <t>4</t>
    </r>
  </si>
  <si>
    <r>
      <t>Academies and free schools</t>
    </r>
    <r>
      <rPr>
        <vertAlign val="superscript"/>
        <sz val="8"/>
        <rFont val="Arial"/>
        <family val="2"/>
      </rPr>
      <t>5</t>
    </r>
  </si>
  <si>
    <t>Sponsored academies</t>
  </si>
  <si>
    <t>Converter academies</t>
  </si>
  <si>
    <t>Free schools, university technical colleges (UTCs) and studio schools</t>
  </si>
  <si>
    <r>
      <t>State-funded special schools</t>
    </r>
    <r>
      <rPr>
        <vertAlign val="superscript"/>
        <sz val="8"/>
        <rFont val="Arial"/>
        <family val="2"/>
      </rPr>
      <t>6</t>
    </r>
  </si>
  <si>
    <r>
      <t>All state-funded schools</t>
    </r>
    <r>
      <rPr>
        <vertAlign val="superscript"/>
        <sz val="8"/>
        <rFont val="Arial"/>
        <family val="2"/>
      </rPr>
      <t>7</t>
    </r>
  </si>
  <si>
    <t>Hospital schools and alternative provision including academy and free school alternative provision and pupil referral units</t>
  </si>
  <si>
    <t>All state-funded schools, hospital schools and alternative provision including academy and free school alternative provision and pupil referral units</t>
  </si>
  <si>
    <t>Non-maintained special schools</t>
  </si>
  <si>
    <t>Independent schools</t>
  </si>
  <si>
    <t>Independent special schools</t>
  </si>
  <si>
    <r>
      <t>All independent schools</t>
    </r>
    <r>
      <rPr>
        <vertAlign val="superscript"/>
        <sz val="8"/>
        <rFont val="Arial"/>
        <family val="2"/>
      </rPr>
      <t>8</t>
    </r>
  </si>
  <si>
    <t>All special schools</t>
  </si>
  <si>
    <t>All schools</t>
  </si>
  <si>
    <r>
      <t>English</t>
    </r>
    <r>
      <rPr>
        <vertAlign val="superscript"/>
        <sz val="8"/>
        <rFont val="Arial"/>
        <family val="2"/>
      </rPr>
      <t>9</t>
    </r>
  </si>
  <si>
    <r>
      <t>English Language</t>
    </r>
    <r>
      <rPr>
        <vertAlign val="superscript"/>
        <sz val="8"/>
        <rFont val="Arial"/>
        <family val="2"/>
      </rPr>
      <t>10</t>
    </r>
  </si>
  <si>
    <t>x</t>
  </si>
  <si>
    <r>
      <t>Other Sciences</t>
    </r>
    <r>
      <rPr>
        <vertAlign val="superscript"/>
        <sz val="8"/>
        <rFont val="Arial"/>
        <family val="2"/>
      </rPr>
      <t>11</t>
    </r>
  </si>
  <si>
    <r>
      <t>Other Design and Technology</t>
    </r>
    <r>
      <rPr>
        <vertAlign val="superscript"/>
        <sz val="8"/>
        <rFont val="Arial"/>
        <family val="2"/>
      </rPr>
      <t>12</t>
    </r>
  </si>
  <si>
    <r>
      <t>Information Technology</t>
    </r>
    <r>
      <rPr>
        <vertAlign val="superscript"/>
        <sz val="8"/>
        <rFont val="Arial"/>
        <family val="2"/>
      </rPr>
      <t>13</t>
    </r>
  </si>
  <si>
    <t xml:space="preserve">1.  Includes entries and achievements by these pupils in previous academic years. </t>
  </si>
  <si>
    <t xml:space="preserve">2.  Some zero percentages will represent small numbers due to rounding. </t>
  </si>
  <si>
    <t>3.  State-funded mainstream schools include academies, free schools and city technology colleges but exclude state-funded special schools, independent schools, independent special schools, non-maintained special schools, hospital schools and alternative provision including academy and free school alternative provision and pupil referral units.</t>
  </si>
  <si>
    <t>4.  Local Authority maintained mainstream schools include community schools, voluntary aided schools, voluntary controlled schools and foundation schools.</t>
  </si>
  <si>
    <t xml:space="preserve">5.  Includes all academies and free schools that were open before 12 September 2012. </t>
  </si>
  <si>
    <t>6.  State-funded special schools include community special schools, foundation special schools, special sponsored academies, special converter academies and special free schools.</t>
  </si>
  <si>
    <t>7.  State-funded schools include academies, free schools, city technology colleges and state-funded special schools but exclude independent schools, independent special schools, non-maintained special schools, hospital schools and alternative provision including academy and free school alternative provision and pupil referral units.</t>
  </si>
  <si>
    <t>8.  All independent schools include non-maintained special schools, independent special schools and independent schools.</t>
  </si>
  <si>
    <t>9.  The English and English language subject  lines may not add up to the overall English figure due to rounding.</t>
  </si>
  <si>
    <t>10.  English language includes entries in legacy 'English' GCSEs.</t>
  </si>
  <si>
    <t>11.  Includes double award science and applied science.</t>
  </si>
  <si>
    <t>12.  Includes all other combined syllabus of which design and technology is the major part.</t>
  </si>
  <si>
    <t>13.  Also includes computer studies, information systems and any combined syllabus of which information technology is the major part.</t>
  </si>
  <si>
    <t>x   Figure has been suppressed due to low numbers (1 or 2 pupils) or where secondary suppression has been applied.</t>
  </si>
  <si>
    <t>Table 10b: GCSE entries in selected subjects by pupils at the end of key stage 4 by admission basis (percentage)</t>
  </si>
  <si>
    <t>Comprehensive schools</t>
  </si>
  <si>
    <t>Selective schools</t>
  </si>
  <si>
    <t>Modern schools</t>
  </si>
  <si>
    <t>5.  English Language includes entries in legacy 'English' GCSEs.</t>
  </si>
  <si>
    <r>
      <t>Table 11: GCSE results of pupils at the end of key stage 4 in schools, by subject and grade</t>
    </r>
    <r>
      <rPr>
        <b/>
        <vertAlign val="superscript"/>
        <sz val="9"/>
        <rFont val="Arial"/>
        <family val="2"/>
      </rPr>
      <t>1</t>
    </r>
  </si>
  <si>
    <t>Entries (thousands)</t>
  </si>
  <si>
    <t>Grades obtained</t>
  </si>
  <si>
    <t>Subjects</t>
  </si>
  <si>
    <t>A*</t>
  </si>
  <si>
    <t>A</t>
  </si>
  <si>
    <t>B</t>
  </si>
  <si>
    <t>C</t>
  </si>
  <si>
    <t>D</t>
  </si>
  <si>
    <t>E</t>
  </si>
  <si>
    <t>F</t>
  </si>
  <si>
    <t>G</t>
  </si>
  <si>
    <r>
      <t>U</t>
    </r>
    <r>
      <rPr>
        <vertAlign val="superscript"/>
        <sz val="8"/>
        <rFont val="Arial"/>
        <family val="2"/>
      </rPr>
      <t>3</t>
    </r>
  </si>
  <si>
    <r>
      <t>X</t>
    </r>
    <r>
      <rPr>
        <vertAlign val="superscript"/>
        <sz val="8"/>
        <rFont val="Arial"/>
        <family val="2"/>
      </rPr>
      <t>4</t>
    </r>
  </si>
  <si>
    <t>entries</t>
  </si>
  <si>
    <r>
      <t>English</t>
    </r>
    <r>
      <rPr>
        <vertAlign val="superscript"/>
        <sz val="8"/>
        <rFont val="Arial"/>
        <family val="2"/>
      </rPr>
      <t>5</t>
    </r>
  </si>
  <si>
    <r>
      <t>English Language</t>
    </r>
    <r>
      <rPr>
        <vertAlign val="superscript"/>
        <sz val="8"/>
        <rFont val="Arial"/>
        <family val="2"/>
      </rPr>
      <t>6</t>
    </r>
  </si>
  <si>
    <t>Other Sciences</t>
  </si>
  <si>
    <t>All subjects</t>
  </si>
  <si>
    <t>1.  Discounting has been applied so that only the best grade is counted where pupils have taken the same subject more than once, and only one entry is counted in these circumstances. Prior to 2010/11 no discounting was applied and all entries and achievements were included.</t>
  </si>
  <si>
    <t>2.  Includes entries and achievements by these pupils in previous academic years where only the best grade in each individual subject is counted per pupil. Where subjects have been combined into a group (e.g. other modern languages) and a pupil has two or more entries, each result in each subject is counted.</t>
  </si>
  <si>
    <t>3.  Grade U refers to pupils' results which are ungraded or unclassified.</t>
  </si>
  <si>
    <t>4.  Grade X refers to pupils who were absent or whose results are pending.</t>
  </si>
  <si>
    <t>5.  The English and English language subject  lines may not add up to the overall English figure due to rounding.</t>
  </si>
  <si>
    <t>6.  English Language includes entries and achievements in legacy 'English' GCSEs.</t>
  </si>
  <si>
    <r>
      <t>Table 12: International GCSE, Cambridge International Certificate and Edexcel Level1/2 Certificate results of pupils at the end of key stage 4 in schools, by subject and grade</t>
    </r>
    <r>
      <rPr>
        <b/>
        <vertAlign val="superscript"/>
        <sz val="9"/>
        <rFont val="Arial"/>
        <family val="2"/>
      </rPr>
      <t>1</t>
    </r>
  </si>
  <si>
    <t>Number</t>
  </si>
  <si>
    <t>English for speakers of other languages</t>
  </si>
  <si>
    <t>English Language</t>
  </si>
  <si>
    <t>Hindi</t>
  </si>
  <si>
    <r>
      <t>Information Technology</t>
    </r>
    <r>
      <rPr>
        <vertAlign val="superscript"/>
        <sz val="8"/>
        <rFont val="Arial"/>
        <family val="2"/>
      </rPr>
      <t>5</t>
    </r>
  </si>
  <si>
    <t>1.  Excludes science double awards.</t>
  </si>
  <si>
    <t xml:space="preserve">2.  Includes entries and achievements by these pupils in previous academic years where only the best grade is counted per pupil. </t>
  </si>
  <si>
    <t>5.  Also includes computer studies, information systems and any combined syllabus of which information technology is the major part.</t>
  </si>
  <si>
    <t>Table 13: Results of GCSEs in Applied subjects of pupils at the end of key stage 4 in schools, by subject and grade</t>
  </si>
  <si>
    <t>Number of awards</t>
  </si>
  <si>
    <t>Total entries</t>
  </si>
  <si>
    <r>
      <t>Subjects</t>
    </r>
    <r>
      <rPr>
        <vertAlign val="superscript"/>
        <sz val="8"/>
        <rFont val="Arial"/>
        <family val="2"/>
      </rPr>
      <t>2</t>
    </r>
  </si>
  <si>
    <t>A*A*</t>
  </si>
  <si>
    <t>A*A</t>
  </si>
  <si>
    <t>AA</t>
  </si>
  <si>
    <t>AB</t>
  </si>
  <si>
    <t>BB</t>
  </si>
  <si>
    <t>BC</t>
  </si>
  <si>
    <t>CC</t>
  </si>
  <si>
    <t>CD</t>
  </si>
  <si>
    <t>DD</t>
  </si>
  <si>
    <t>DE</t>
  </si>
  <si>
    <t>EE</t>
  </si>
  <si>
    <t>EF</t>
  </si>
  <si>
    <t>FF</t>
  </si>
  <si>
    <t>FG</t>
  </si>
  <si>
    <t>GG</t>
  </si>
  <si>
    <t>Applied Information and Communication Technology</t>
  </si>
  <si>
    <t>Applied Science</t>
  </si>
  <si>
    <t>Engineering</t>
  </si>
  <si>
    <t>All Subjects</t>
  </si>
  <si>
    <t xml:space="preserve">1.  Includes entries and achievements by these pupils in previous academic years where only the best grade is counted per pupil. </t>
  </si>
  <si>
    <t>2.  Double award vocational GCSEs are equivalent to 2 GCSEs.</t>
  </si>
  <si>
    <t>x  Figure has been suppressed due to low numbers (1 or 2 pupils) or where secondary suppression has been applied.</t>
  </si>
  <si>
    <t>Table 14: GCSE (Short Course) results of pupils at the end of key stage 4 in all schools, by subject and grade</t>
  </si>
  <si>
    <r>
      <t>U</t>
    </r>
    <r>
      <rPr>
        <vertAlign val="superscript"/>
        <sz val="8"/>
        <rFont val="Arial"/>
        <family val="2"/>
      </rPr>
      <t>2</t>
    </r>
  </si>
  <si>
    <r>
      <t>X</t>
    </r>
    <r>
      <rPr>
        <vertAlign val="superscript"/>
        <sz val="8"/>
        <rFont val="Arial"/>
        <family val="2"/>
      </rPr>
      <t>3</t>
    </r>
  </si>
  <si>
    <t>Ancient History</t>
  </si>
  <si>
    <t>Citizenship</t>
  </si>
  <si>
    <t>Design and Technology</t>
  </si>
  <si>
    <t>Information Technology</t>
  </si>
  <si>
    <t>Psychology</t>
  </si>
  <si>
    <t>Religious Education</t>
  </si>
  <si>
    <t>Sociology</t>
  </si>
  <si>
    <t>2.  Grade U refers to pupils' results which are ungraded or unclassified.</t>
  </si>
  <si>
    <t>3.  Grade X refers to pupils who were absent or whose results are pending.</t>
  </si>
  <si>
    <r>
      <t>Table 15: Other Qualification results of pupils at the end of key stage 4 in all schools, by type of qualification</t>
    </r>
    <r>
      <rPr>
        <b/>
        <vertAlign val="superscript"/>
        <sz val="9"/>
        <rFont val="Arial"/>
        <family val="2"/>
      </rPr>
      <t>1</t>
    </r>
  </si>
  <si>
    <t>Type of Qualification</t>
  </si>
  <si>
    <r>
      <t>Entry Level</t>
    </r>
    <r>
      <rPr>
        <vertAlign val="superscript"/>
        <sz val="8"/>
        <rFont val="Arial"/>
        <family val="2"/>
      </rPr>
      <t>3</t>
    </r>
  </si>
  <si>
    <t>Level 1</t>
  </si>
  <si>
    <t>Level 2</t>
  </si>
  <si>
    <t>Level 3</t>
  </si>
  <si>
    <t>Entry Level Qualifications</t>
  </si>
  <si>
    <t xml:space="preserve"> </t>
  </si>
  <si>
    <t>VRQ</t>
  </si>
  <si>
    <t>Key Skills</t>
  </si>
  <si>
    <t>NVQ</t>
  </si>
  <si>
    <t>NVQ language units</t>
  </si>
  <si>
    <t>Basic Skills</t>
  </si>
  <si>
    <t>Functional Skills</t>
  </si>
  <si>
    <r>
      <t>BTEC Award</t>
    </r>
    <r>
      <rPr>
        <vertAlign val="superscript"/>
        <sz val="8"/>
        <rFont val="Arial"/>
        <family val="2"/>
      </rPr>
      <t>1</t>
    </r>
  </si>
  <si>
    <r>
      <t>BTEC Certificate</t>
    </r>
    <r>
      <rPr>
        <vertAlign val="superscript"/>
        <sz val="8"/>
        <rFont val="Arial"/>
        <family val="2"/>
      </rPr>
      <t>1</t>
    </r>
  </si>
  <si>
    <r>
      <t>BTEC Diploma</t>
    </r>
    <r>
      <rPr>
        <vertAlign val="superscript"/>
        <sz val="8"/>
        <rFont val="Arial"/>
        <family val="2"/>
      </rPr>
      <t>1</t>
    </r>
  </si>
  <si>
    <r>
      <t>OCR National Award</t>
    </r>
    <r>
      <rPr>
        <vertAlign val="superscript"/>
        <sz val="8"/>
        <rFont val="Arial"/>
        <family val="2"/>
      </rPr>
      <t>1</t>
    </r>
  </si>
  <si>
    <r>
      <t>OCR National Certificate</t>
    </r>
    <r>
      <rPr>
        <vertAlign val="superscript"/>
        <sz val="8"/>
        <rFont val="Arial"/>
        <family val="2"/>
      </rPr>
      <t>1</t>
    </r>
  </si>
  <si>
    <r>
      <t>OCR National Diploma</t>
    </r>
    <r>
      <rPr>
        <vertAlign val="superscript"/>
        <sz val="8"/>
        <rFont val="Arial"/>
        <family val="2"/>
      </rPr>
      <t>1</t>
    </r>
  </si>
  <si>
    <t>Free-standing Mathematics Qualification</t>
  </si>
  <si>
    <t>Asset Languages</t>
  </si>
  <si>
    <t>AS Level</t>
  </si>
  <si>
    <t>Applied AS Level</t>
  </si>
  <si>
    <t>Applied AS Level Double Award</t>
  </si>
  <si>
    <t>1. BTEC and OCR qualifications awarded as part of the Qualifications and Credit Framework (QCF) are included in their respective BTEC and OCR qualification categories.</t>
  </si>
  <si>
    <t>2.  Including achievements by these pupils in previous academic years.</t>
  </si>
  <si>
    <r>
      <t>3.  Entry level qualifications are assessed below GCSE</t>
    </r>
    <r>
      <rPr>
        <sz val="8"/>
        <color indexed="10"/>
        <rFont val="Arial"/>
        <family val="2"/>
      </rPr>
      <t xml:space="preserve"> </t>
    </r>
    <r>
      <rPr>
        <sz val="8"/>
        <rFont val="Arial"/>
        <family val="2"/>
      </rPr>
      <t xml:space="preserve">grade G. </t>
    </r>
  </si>
  <si>
    <r>
      <t>Table 21: Number of schools</t>
    </r>
    <r>
      <rPr>
        <b/>
        <vertAlign val="superscript"/>
        <sz val="9"/>
        <rFont val="Arial"/>
        <family val="2"/>
      </rPr>
      <t>1,2</t>
    </r>
    <r>
      <rPr>
        <b/>
        <sz val="9"/>
        <rFont val="Arial"/>
        <family val="2"/>
      </rPr>
      <t xml:space="preserve"> below the floor standard by local authority and region</t>
    </r>
  </si>
  <si>
    <r>
      <t>Year: 2012/13</t>
    </r>
    <r>
      <rPr>
        <b/>
        <vertAlign val="superscript"/>
        <sz val="9"/>
        <rFont val="Arial"/>
        <family val="2"/>
      </rPr>
      <t xml:space="preserve"> </t>
    </r>
    <r>
      <rPr>
        <b/>
        <sz val="9"/>
        <rFont val="Arial"/>
        <family val="2"/>
      </rPr>
      <t>(Revised)</t>
    </r>
  </si>
  <si>
    <t>A school is below the floor standard if less than 40% of pupils achieve 5+A*-C including English and mathematics and the expected progress between key stage 2 and key stage 4 is less than the median of 73% in English and less than the median of 73% in mathematics.</t>
  </si>
  <si>
    <t>Total number of schools</t>
  </si>
  <si>
    <t>Number of schools below the floor standard</t>
  </si>
  <si>
    <t>Percentage of schools below the floor standard</t>
  </si>
  <si>
    <r>
      <t>Bracknell Forest</t>
    </r>
    <r>
      <rPr>
        <vertAlign val="superscript"/>
        <sz val="8"/>
        <rFont val="Arial"/>
        <family val="2"/>
      </rPr>
      <t>3</t>
    </r>
  </si>
  <si>
    <r>
      <t>Total (state-funded mainstream sector)</t>
    </r>
    <r>
      <rPr>
        <b/>
        <vertAlign val="superscript"/>
        <sz val="8"/>
        <rFont val="Arial"/>
        <family val="2"/>
      </rPr>
      <t>1,2</t>
    </r>
  </si>
  <si>
    <t>1.  Including only those state-funded mainstream schools with results published in the relevant year's Secondary School Performance Tables.  The standard excludes special schools, schools with fewer than 11 pupils and closed schools.</t>
  </si>
  <si>
    <t>2.  State-funded mainstream schools include academies, free schools and city technology colleges but exclude state-funded special schools, independent schools, independent special schools, non-maintained special schools, hospital schools and alternative provision including academy and free school alternative provision and pupil referral units.</t>
  </si>
  <si>
    <t>3.  Results for Bracknell Forest are affected by more than 100 missing GCSE mathematics results for pupils in one of its schools. The school and local authority results have been suppressed on the performance tables website and will be released once these missing results have been submitted to the Department. The Bracknell Forest figures in this SFR will also be corrected and re-published at this point.</t>
  </si>
  <si>
    <t>4.  Figures for Bracknell Forest local authority, South East region and Total (state-funded sector) have been updated as of March 2014 to include previously missing GCSE mathematics results.</t>
  </si>
  <si>
    <t>5.  Figures for Bracknell Forest local authority, South East region and Total (state-funded sector) have been updated as of March 2014 to include previously missing GCSE mathematics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</si>
</sst>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72" formatCode="0.0"/>
    <numFmt numFmtId="173" formatCode="#,##0.0"/>
    <numFmt numFmtId="174" formatCode="General_)"/>
    <numFmt numFmtId="175" formatCode="0.0%"/>
    <numFmt numFmtId="176" formatCode="_-* #,##0_-;\-* #,##0_-;_-* &quot;-&quot;??_-;_-@_-"/>
  </numFmts>
  <fonts count="50" x14ac:knownFonts="1">
    <font>
      <sz val="10"/>
      <name val="Arial"/>
    </font>
    <font>
      <sz val="10"/>
      <name val="Arial"/>
      <family val="2"/>
    </font>
    <font>
      <sz val="12"/>
      <color indexed="8"/>
      <name val="Arial"/>
      <family val="2"/>
    </font>
    <font>
      <sz val="12"/>
      <color indexed="9"/>
      <name val="Arial"/>
      <family val="2"/>
    </font>
    <font>
      <sz val="12"/>
      <color indexed="20"/>
      <name val="Arial"/>
      <family val="2"/>
    </font>
    <font>
      <b/>
      <sz val="12"/>
      <color indexed="52"/>
      <name val="Arial"/>
      <family val="2"/>
    </font>
    <font>
      <b/>
      <sz val="12"/>
      <color indexed="9"/>
      <name val="Arial"/>
      <family val="2"/>
    </font>
    <font>
      <i/>
      <sz val="12"/>
      <color indexed="23"/>
      <name val="Arial"/>
      <family val="2"/>
    </font>
    <font>
      <sz val="12"/>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sz val="12"/>
      <color indexed="62"/>
      <name val="Arial"/>
      <family val="2"/>
    </font>
    <font>
      <sz val="12"/>
      <color indexed="52"/>
      <name val="Arial"/>
      <family val="2"/>
    </font>
    <font>
      <sz val="12"/>
      <color indexed="60"/>
      <name val="Arial"/>
      <family val="2"/>
    </font>
    <font>
      <sz val="10"/>
      <name val="MS Sans Serif"/>
      <family val="2"/>
    </font>
    <font>
      <sz val="10"/>
      <name val="Arial"/>
      <family val="2"/>
    </font>
    <font>
      <b/>
      <sz val="12"/>
      <color indexed="63"/>
      <name val="Arial"/>
      <family val="2"/>
    </font>
    <font>
      <b/>
      <sz val="18"/>
      <color indexed="56"/>
      <name val="Cambria"/>
      <family val="2"/>
    </font>
    <font>
      <b/>
      <sz val="12"/>
      <color indexed="8"/>
      <name val="Arial"/>
      <family val="2"/>
    </font>
    <font>
      <sz val="12"/>
      <color indexed="10"/>
      <name val="Arial"/>
      <family val="2"/>
    </font>
    <font>
      <sz val="8"/>
      <name val="Arial"/>
      <family val="2"/>
    </font>
    <font>
      <b/>
      <vertAlign val="superscript"/>
      <sz val="9"/>
      <name val="Arial"/>
      <family val="2"/>
    </font>
    <font>
      <b/>
      <sz val="9"/>
      <name val="Arial"/>
      <family val="2"/>
    </font>
    <font>
      <sz val="8"/>
      <name val="Arial"/>
      <family val="2"/>
    </font>
    <font>
      <b/>
      <sz val="8"/>
      <color indexed="10"/>
      <name val="Arial"/>
      <family val="2"/>
    </font>
    <font>
      <b/>
      <sz val="8"/>
      <name val="Arial"/>
      <family val="2"/>
    </font>
    <font>
      <vertAlign val="superscript"/>
      <sz val="8"/>
      <name val="Arial"/>
      <family val="2"/>
    </font>
    <font>
      <sz val="8"/>
      <color indexed="8"/>
      <name val="Arial"/>
      <family val="2"/>
    </font>
    <font>
      <sz val="8"/>
      <color indexed="10"/>
      <name val="Arial"/>
      <family val="2"/>
    </font>
    <font>
      <b/>
      <sz val="10"/>
      <color indexed="10"/>
      <name val="Arial"/>
      <family val="2"/>
    </font>
    <font>
      <b/>
      <vertAlign val="superscript"/>
      <sz val="8"/>
      <name val="Arial"/>
      <family val="2"/>
    </font>
    <font>
      <sz val="9"/>
      <name val="Arial"/>
      <family val="2"/>
    </font>
    <font>
      <sz val="8"/>
      <name val="Arial Narrow"/>
      <family val="2"/>
    </font>
    <font>
      <b/>
      <sz val="10"/>
      <name val="Arial"/>
      <family val="2"/>
    </font>
    <font>
      <b/>
      <u/>
      <sz val="10"/>
      <name val="Arial"/>
      <family val="2"/>
    </font>
    <font>
      <b/>
      <i/>
      <sz val="10"/>
      <name val="Arial"/>
      <family val="2"/>
    </font>
    <font>
      <i/>
      <sz val="8"/>
      <name val="Arial"/>
      <family val="2"/>
    </font>
    <font>
      <sz val="10"/>
      <name val="Courier"/>
      <family val="3"/>
    </font>
    <font>
      <sz val="8"/>
      <color indexed="72"/>
      <name val="MS Sans Serif"/>
      <family val="2"/>
    </font>
    <font>
      <strike/>
      <sz val="8"/>
      <name val="Arial"/>
      <family val="2"/>
    </font>
    <font>
      <u/>
      <sz val="10"/>
      <name val="Arial"/>
      <family val="2"/>
    </font>
    <font>
      <sz val="10"/>
      <name val="Helv"/>
    </font>
    <font>
      <sz val="11"/>
      <color theme="1"/>
      <name val="Arial"/>
      <family val="2"/>
    </font>
    <font>
      <b/>
      <sz val="8"/>
      <color theme="0"/>
      <name val="Arial"/>
      <family val="2"/>
    </font>
    <font>
      <sz val="8"/>
      <color theme="0"/>
      <name val="Arial"/>
      <family val="2"/>
    </font>
    <font>
      <sz val="10"/>
      <color theme="0"/>
      <name val="Arial"/>
      <family val="2"/>
    </font>
    <font>
      <sz val="8"/>
      <color theme="4"/>
      <name val="Arial"/>
      <family val="2"/>
    </font>
    <font>
      <sz val="8"/>
      <color rgb="FFFF000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9"/>
        <bgColor indexed="9"/>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6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43" fontId="1"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44" fillId="0" borderId="0"/>
    <xf numFmtId="0" fontId="1" fillId="0" borderId="0"/>
    <xf numFmtId="0" fontId="1" fillId="0" borderId="0"/>
    <xf numFmtId="0" fontId="1" fillId="0" borderId="0"/>
    <xf numFmtId="0" fontId="16"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40" fillId="0" borderId="0" applyAlignment="0">
      <alignment vertical="top" wrapText="1"/>
      <protection locked="0"/>
    </xf>
    <xf numFmtId="0" fontId="1" fillId="0" borderId="0"/>
    <xf numFmtId="174" fontId="39" fillId="0" borderId="0"/>
    <xf numFmtId="0" fontId="43" fillId="0" borderId="0"/>
    <xf numFmtId="0" fontId="39" fillId="0" borderId="0"/>
    <xf numFmtId="0" fontId="1" fillId="0" borderId="0"/>
    <xf numFmtId="0" fontId="17" fillId="23" borderId="7" applyNumberFormat="0" applyFont="0" applyAlignment="0" applyProtection="0"/>
    <xf numFmtId="0" fontId="18" fillId="20" borderId="8"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547">
    <xf numFmtId="0" fontId="0" fillId="0" borderId="0" xfId="0"/>
    <xf numFmtId="0" fontId="24" fillId="0" borderId="0" xfId="0" applyFont="1"/>
    <xf numFmtId="0" fontId="25" fillId="0" borderId="0" xfId="0" applyFont="1"/>
    <xf numFmtId="0" fontId="22" fillId="0" borderId="0" xfId="0" applyFont="1"/>
    <xf numFmtId="0" fontId="12" fillId="0" borderId="0" xfId="35" applyAlignment="1" applyProtection="1">
      <alignment vertical="center"/>
    </xf>
    <xf numFmtId="0" fontId="22" fillId="0" borderId="0" xfId="43" applyFont="1"/>
    <xf numFmtId="0" fontId="25" fillId="0" borderId="0" xfId="44" applyFont="1"/>
    <xf numFmtId="0" fontId="27" fillId="0" borderId="0" xfId="0" applyFont="1" applyAlignment="1"/>
    <xf numFmtId="0" fontId="31" fillId="0" borderId="0" xfId="0" applyFont="1" applyBorder="1"/>
    <xf numFmtId="172" fontId="25" fillId="0" borderId="0" xfId="44" applyNumberFormat="1" applyFont="1"/>
    <xf numFmtId="172" fontId="25" fillId="0" borderId="0" xfId="44" applyNumberFormat="1" applyFont="1" applyAlignment="1">
      <alignment horizontal="center"/>
    </xf>
    <xf numFmtId="0" fontId="27" fillId="0" borderId="0" xfId="44" applyFont="1" applyBorder="1" applyAlignment="1">
      <alignment vertical="center"/>
    </xf>
    <xf numFmtId="0" fontId="26" fillId="0" borderId="0" xfId="44" applyFont="1"/>
    <xf numFmtId="0" fontId="25" fillId="0" borderId="0" xfId="0" applyFont="1" applyAlignment="1">
      <alignment horizontal="center" vertical="center" wrapText="1"/>
    </xf>
    <xf numFmtId="0" fontId="25" fillId="0" borderId="0" xfId="0" applyFont="1" applyBorder="1" applyAlignment="1">
      <alignment horizontal="center" vertical="center" wrapText="1"/>
    </xf>
    <xf numFmtId="172" fontId="25" fillId="0" borderId="0" xfId="0" applyNumberFormat="1" applyFont="1" applyBorder="1" applyAlignment="1">
      <alignment horizontal="center" vertical="center" wrapText="1"/>
    </xf>
    <xf numFmtId="174" fontId="27" fillId="0" borderId="0" xfId="44" applyNumberFormat="1" applyFont="1" applyAlignment="1" applyProtection="1">
      <alignment horizontal="left" vertical="center"/>
    </xf>
    <xf numFmtId="0" fontId="27" fillId="0" borderId="0" xfId="44" applyFont="1" applyAlignment="1">
      <alignment vertical="center"/>
    </xf>
    <xf numFmtId="3" fontId="27" fillId="0" borderId="0" xfId="0" applyNumberFormat="1" applyFont="1"/>
    <xf numFmtId="172" fontId="27" fillId="0" borderId="0" xfId="44" applyNumberFormat="1" applyFont="1" applyBorder="1" applyAlignment="1" applyProtection="1">
      <alignment horizontal="right" vertical="center"/>
    </xf>
    <xf numFmtId="49" fontId="22" fillId="0" borderId="0" xfId="44" applyNumberFormat="1" applyFont="1"/>
    <xf numFmtId="0" fontId="25" fillId="0" borderId="0" xfId="44" applyFont="1" applyAlignment="1">
      <alignment vertical="center"/>
    </xf>
    <xf numFmtId="49" fontId="22" fillId="0" borderId="0" xfId="44" applyNumberFormat="1" applyFont="1" applyAlignment="1" applyProtection="1">
      <alignment horizontal="left"/>
    </xf>
    <xf numFmtId="0" fontId="27" fillId="0" borderId="0" xfId="44" applyFont="1"/>
    <xf numFmtId="0" fontId="22" fillId="0" borderId="0" xfId="45" applyFont="1"/>
    <xf numFmtId="174" fontId="22" fillId="0" borderId="0" xfId="44" applyNumberFormat="1" applyFont="1" applyAlignment="1" applyProtection="1">
      <alignment horizontal="left"/>
    </xf>
    <xf numFmtId="0" fontId="22" fillId="0" borderId="0" xfId="44" applyFont="1"/>
    <xf numFmtId="0" fontId="27" fillId="0" borderId="0" xfId="0" applyFont="1"/>
    <xf numFmtId="174" fontId="22" fillId="0" borderId="0" xfId="44" applyNumberFormat="1" applyFont="1" applyBorder="1" applyAlignment="1" applyProtection="1">
      <alignment horizontal="left"/>
    </xf>
    <xf numFmtId="3" fontId="29" fillId="24" borderId="0" xfId="0" applyNumberFormat="1" applyFont="1" applyFill="1" applyBorder="1" applyAlignment="1">
      <alignment horizontal="left" vertical="center"/>
    </xf>
    <xf numFmtId="0" fontId="29" fillId="24" borderId="0" xfId="0" applyFont="1" applyFill="1" applyBorder="1" applyAlignment="1">
      <alignment horizontal="left" vertical="center"/>
    </xf>
    <xf numFmtId="0" fontId="29" fillId="24" borderId="0" xfId="0" applyFont="1" applyFill="1" applyBorder="1" applyAlignment="1">
      <alignment horizontal="left"/>
    </xf>
    <xf numFmtId="0" fontId="27" fillId="0" borderId="0" xfId="44" applyFont="1" applyAlignment="1">
      <alignment vertical="top"/>
    </xf>
    <xf numFmtId="0" fontId="27" fillId="24" borderId="0" xfId="44" applyFont="1" applyFill="1" applyBorder="1" applyAlignment="1">
      <alignment vertical="center"/>
    </xf>
    <xf numFmtId="0" fontId="27" fillId="0" borderId="0" xfId="44" applyFont="1" applyAlignment="1"/>
    <xf numFmtId="0" fontId="25" fillId="0" borderId="0" xfId="44" applyFont="1" applyAlignment="1"/>
    <xf numFmtId="0" fontId="27" fillId="0" borderId="0" xfId="44" applyFont="1" applyFill="1" applyAlignment="1">
      <alignment vertical="center"/>
    </xf>
    <xf numFmtId="0" fontId="25" fillId="0" borderId="10" xfId="44" applyFont="1" applyBorder="1"/>
    <xf numFmtId="0" fontId="25" fillId="0" borderId="0" xfId="44" applyFont="1" applyAlignment="1">
      <alignment vertical="top"/>
    </xf>
    <xf numFmtId="0" fontId="25" fillId="0" borderId="0" xfId="0" applyFont="1" applyAlignment="1">
      <alignment vertical="top"/>
    </xf>
    <xf numFmtId="0" fontId="33" fillId="0" borderId="0" xfId="0" applyFont="1" applyAlignment="1"/>
    <xf numFmtId="3" fontId="33" fillId="0" borderId="0" xfId="0" applyNumberFormat="1" applyFont="1"/>
    <xf numFmtId="0" fontId="33" fillId="0" borderId="0" xfId="0" applyFont="1"/>
    <xf numFmtId="0" fontId="33" fillId="0" borderId="0" xfId="0" applyFont="1" applyFill="1" applyAlignment="1"/>
    <xf numFmtId="0" fontId="25" fillId="0" borderId="10" xfId="0" applyFont="1" applyBorder="1"/>
    <xf numFmtId="0" fontId="31" fillId="0" borderId="10" xfId="0" applyFont="1" applyBorder="1"/>
    <xf numFmtId="0" fontId="0" fillId="0" borderId="0" xfId="0" applyBorder="1"/>
    <xf numFmtId="172" fontId="27" fillId="0" borderId="0" xfId="0" applyNumberFormat="1" applyFont="1" applyBorder="1" applyAlignment="1">
      <alignment horizontal="left" vertical="center" wrapText="1"/>
    </xf>
    <xf numFmtId="172" fontId="34" fillId="0" borderId="0" xfId="0" applyNumberFormat="1" applyFont="1" applyBorder="1" applyAlignment="1">
      <alignment horizontal="right" vertical="center" wrapText="1"/>
    </xf>
    <xf numFmtId="172" fontId="27" fillId="0" borderId="0" xfId="0" applyNumberFormat="1" applyFont="1"/>
    <xf numFmtId="172" fontId="27" fillId="0" borderId="0" xfId="0" applyNumberFormat="1" applyFont="1" applyAlignment="1">
      <alignment horizontal="right"/>
    </xf>
    <xf numFmtId="0" fontId="35" fillId="0" borderId="0" xfId="0" applyFont="1"/>
    <xf numFmtId="173" fontId="25" fillId="0" borderId="0" xfId="0" applyNumberFormat="1" applyFont="1" applyAlignment="1">
      <alignment horizontal="right"/>
    </xf>
    <xf numFmtId="172" fontId="25" fillId="0" borderId="0" xfId="0" applyNumberFormat="1" applyFont="1"/>
    <xf numFmtId="172" fontId="25" fillId="0" borderId="0" xfId="0" applyNumberFormat="1" applyFont="1" applyAlignment="1">
      <alignment horizontal="right"/>
    </xf>
    <xf numFmtId="172" fontId="22" fillId="0" borderId="0" xfId="0" applyNumberFormat="1" applyFont="1"/>
    <xf numFmtId="0" fontId="27" fillId="0" borderId="0" xfId="44" applyFont="1" applyAlignment="1">
      <alignment vertical="center" wrapText="1"/>
    </xf>
    <xf numFmtId="0" fontId="30" fillId="0" borderId="0" xfId="0" applyFont="1"/>
    <xf numFmtId="172" fontId="27" fillId="0" borderId="0" xfId="44" applyNumberFormat="1" applyFont="1" applyBorder="1" applyAlignment="1">
      <alignment vertical="center"/>
    </xf>
    <xf numFmtId="172" fontId="27" fillId="0" borderId="0" xfId="0" applyNumberFormat="1" applyFont="1" applyBorder="1" applyAlignment="1">
      <alignment horizontal="right"/>
    </xf>
    <xf numFmtId="172" fontId="27" fillId="0" borderId="10" xfId="44" applyNumberFormat="1" applyFont="1" applyBorder="1" applyAlignment="1"/>
    <xf numFmtId="3" fontId="25" fillId="0" borderId="10" xfId="0" applyNumberFormat="1" applyFont="1" applyBorder="1"/>
    <xf numFmtId="0" fontId="22" fillId="0" borderId="10" xfId="0" applyFont="1" applyBorder="1"/>
    <xf numFmtId="172" fontId="27" fillId="0" borderId="0" xfId="44" applyNumberFormat="1" applyFont="1" applyBorder="1" applyAlignment="1"/>
    <xf numFmtId="173" fontId="27" fillId="0" borderId="0" xfId="44" applyNumberFormat="1" applyFont="1" applyBorder="1" applyAlignment="1">
      <alignment vertical="center"/>
    </xf>
    <xf numFmtId="3" fontId="25" fillId="0" borderId="0" xfId="0" applyNumberFormat="1" applyFont="1"/>
    <xf numFmtId="172" fontId="25" fillId="0" borderId="0" xfId="0" applyNumberFormat="1" applyFont="1" applyAlignment="1">
      <alignment vertical="top"/>
    </xf>
    <xf numFmtId="172" fontId="34" fillId="0" borderId="0" xfId="44" applyNumberFormat="1" applyFont="1" applyAlignment="1">
      <alignment horizontal="center"/>
    </xf>
    <xf numFmtId="0" fontId="17" fillId="0" borderId="0" xfId="0" applyFont="1"/>
    <xf numFmtId="0" fontId="25" fillId="0" borderId="0" xfId="0" applyNumberFormat="1" applyFont="1" applyBorder="1" applyAlignment="1">
      <alignment horizontal="left" indent="2"/>
    </xf>
    <xf numFmtId="3" fontId="25" fillId="0" borderId="0" xfId="0" applyNumberFormat="1" applyFont="1" applyFill="1" applyBorder="1" applyAlignment="1">
      <alignment horizontal="center"/>
    </xf>
    <xf numFmtId="174" fontId="25" fillId="0" borderId="0" xfId="0" applyNumberFormat="1" applyFont="1" applyFill="1" applyBorder="1" applyAlignment="1">
      <alignment horizontal="center"/>
    </xf>
    <xf numFmtId="173" fontId="25" fillId="0" borderId="0" xfId="0" applyNumberFormat="1" applyFont="1" applyFill="1" applyBorder="1" applyAlignment="1">
      <alignment horizontal="center"/>
    </xf>
    <xf numFmtId="0" fontId="30" fillId="0" borderId="0" xfId="0" applyFont="1" applyBorder="1"/>
    <xf numFmtId="173" fontId="30" fillId="0" borderId="0" xfId="0" applyNumberFormat="1" applyFont="1" applyBorder="1"/>
    <xf numFmtId="173" fontId="30" fillId="0" borderId="0" xfId="0" applyNumberFormat="1" applyFont="1"/>
    <xf numFmtId="3" fontId="27" fillId="0" borderId="0" xfId="44" applyNumberFormat="1" applyFont="1" applyAlignment="1" applyProtection="1">
      <alignment horizontal="right" vertical="center"/>
    </xf>
    <xf numFmtId="173" fontId="27" fillId="0" borderId="0" xfId="0" applyNumberFormat="1" applyFont="1"/>
    <xf numFmtId="0" fontId="33" fillId="0" borderId="10" xfId="0" applyFont="1" applyBorder="1"/>
    <xf numFmtId="172" fontId="25" fillId="0" borderId="0" xfId="0" applyNumberFormat="1" applyFont="1" applyBorder="1" applyAlignment="1">
      <alignment horizontal="right"/>
    </xf>
    <xf numFmtId="173" fontId="33" fillId="0" borderId="0" xfId="0" applyNumberFormat="1" applyFont="1"/>
    <xf numFmtId="0" fontId="25" fillId="24" borderId="0" xfId="0" applyFont="1" applyFill="1" applyAlignment="1">
      <alignment horizontal="right"/>
    </xf>
    <xf numFmtId="0" fontId="25" fillId="24" borderId="0" xfId="0" applyFont="1" applyFill="1"/>
    <xf numFmtId="1" fontId="24" fillId="24" borderId="0" xfId="0" applyNumberFormat="1" applyFont="1" applyFill="1" applyAlignment="1">
      <alignment horizontal="left"/>
    </xf>
    <xf numFmtId="0" fontId="33" fillId="24" borderId="0" xfId="0" applyFont="1" applyFill="1" applyAlignment="1">
      <alignment horizontal="right"/>
    </xf>
    <xf numFmtId="172" fontId="33" fillId="24" borderId="0" xfId="0" applyNumberFormat="1" applyFont="1" applyFill="1" applyAlignment="1">
      <alignment horizontal="center"/>
    </xf>
    <xf numFmtId="0" fontId="33" fillId="24" borderId="0" xfId="0" applyFont="1" applyFill="1"/>
    <xf numFmtId="172" fontId="25" fillId="24" borderId="0" xfId="0" applyNumberFormat="1" applyFont="1" applyFill="1" applyAlignment="1">
      <alignment horizontal="center"/>
    </xf>
    <xf numFmtId="0" fontId="25" fillId="24" borderId="10" xfId="0" applyFont="1" applyFill="1" applyBorder="1"/>
    <xf numFmtId="174" fontId="25" fillId="24" borderId="0" xfId="0" applyNumberFormat="1" applyFont="1" applyFill="1"/>
    <xf numFmtId="0" fontId="25" fillId="24" borderId="0" xfId="0" applyFont="1" applyFill="1" applyBorder="1" applyAlignment="1">
      <alignment horizontal="right" vertical="center" wrapText="1"/>
    </xf>
    <xf numFmtId="172" fontId="25" fillId="24" borderId="0" xfId="0" applyNumberFormat="1" applyFont="1" applyFill="1" applyBorder="1" applyAlignment="1">
      <alignment horizontal="center" vertical="center" wrapText="1"/>
    </xf>
    <xf numFmtId="174" fontId="27" fillId="24" borderId="0" xfId="44" applyNumberFormat="1" applyFont="1" applyFill="1" applyAlignment="1" applyProtection="1">
      <alignment horizontal="left" vertical="center"/>
    </xf>
    <xf numFmtId="3" fontId="27" fillId="24" borderId="0" xfId="0" applyNumberFormat="1" applyFont="1" applyFill="1" applyAlignment="1">
      <alignment horizontal="right"/>
    </xf>
    <xf numFmtId="172" fontId="27" fillId="24" borderId="0" xfId="0" applyNumberFormat="1" applyFont="1" applyFill="1" applyAlignment="1">
      <alignment horizontal="center"/>
    </xf>
    <xf numFmtId="173" fontId="27" fillId="24" borderId="0" xfId="0" applyNumberFormat="1" applyFont="1" applyFill="1" applyAlignment="1">
      <alignment horizontal="right"/>
    </xf>
    <xf numFmtId="3" fontId="27" fillId="24" borderId="0" xfId="0" applyNumberFormat="1" applyFont="1" applyFill="1"/>
    <xf numFmtId="172" fontId="27" fillId="24" borderId="0" xfId="60" applyNumberFormat="1" applyFont="1" applyFill="1" applyAlignment="1">
      <alignment horizontal="center"/>
    </xf>
    <xf numFmtId="0" fontId="27" fillId="24" borderId="0" xfId="0" applyFont="1" applyFill="1"/>
    <xf numFmtId="174" fontId="25" fillId="24" borderId="0" xfId="44" applyNumberFormat="1" applyFont="1" applyFill="1" applyAlignment="1" applyProtection="1">
      <alignment horizontal="left" vertical="center"/>
    </xf>
    <xf numFmtId="3" fontId="25" fillId="24" borderId="0" xfId="0" applyNumberFormat="1" applyFont="1" applyFill="1" applyAlignment="1">
      <alignment horizontal="right"/>
    </xf>
    <xf numFmtId="173" fontId="25" fillId="24" borderId="0" xfId="0" applyNumberFormat="1" applyFont="1" applyFill="1" applyAlignment="1">
      <alignment horizontal="right"/>
    </xf>
    <xf numFmtId="172" fontId="25" fillId="24" borderId="0" xfId="60" applyNumberFormat="1" applyFont="1" applyFill="1" applyAlignment="1">
      <alignment horizontal="center"/>
    </xf>
    <xf numFmtId="172" fontId="25" fillId="24" borderId="0" xfId="60" applyNumberFormat="1" applyFont="1" applyFill="1"/>
    <xf numFmtId="0" fontId="22" fillId="24" borderId="0" xfId="0" applyFont="1" applyFill="1"/>
    <xf numFmtId="0" fontId="27" fillId="24" borderId="0" xfId="44" applyFont="1" applyFill="1" applyAlignment="1">
      <alignment vertical="top" wrapText="1"/>
    </xf>
    <xf numFmtId="3" fontId="27" fillId="24" borderId="0" xfId="0" applyNumberFormat="1" applyFont="1" applyFill="1" applyAlignment="1">
      <alignment horizontal="right" vertical="center"/>
    </xf>
    <xf numFmtId="172" fontId="27" fillId="24" borderId="0" xfId="0" applyNumberFormat="1" applyFont="1" applyFill="1" applyAlignment="1">
      <alignment horizontal="center" vertical="center"/>
    </xf>
    <xf numFmtId="173" fontId="27" fillId="24" borderId="0" xfId="0" applyNumberFormat="1" applyFont="1" applyFill="1" applyAlignment="1">
      <alignment horizontal="right" vertical="center"/>
    </xf>
    <xf numFmtId="3" fontId="27" fillId="24" borderId="0" xfId="0" applyNumberFormat="1" applyFont="1" applyFill="1" applyAlignment="1">
      <alignment vertical="center"/>
    </xf>
    <xf numFmtId="0" fontId="27" fillId="24" borderId="10" xfId="57" applyFont="1" applyFill="1" applyBorder="1" applyAlignment="1">
      <alignment wrapText="1"/>
    </xf>
    <xf numFmtId="3" fontId="27" fillId="24" borderId="10" xfId="0" applyNumberFormat="1" applyFont="1" applyFill="1" applyBorder="1" applyAlignment="1">
      <alignment horizontal="right"/>
    </xf>
    <xf numFmtId="172" fontId="27" fillId="24" borderId="10" xfId="0" applyNumberFormat="1" applyFont="1" applyFill="1" applyBorder="1" applyAlignment="1">
      <alignment horizontal="center"/>
    </xf>
    <xf numFmtId="0" fontId="25" fillId="24" borderId="0" xfId="0" applyFont="1" applyFill="1" applyAlignment="1"/>
    <xf numFmtId="175" fontId="25" fillId="24" borderId="0" xfId="60" applyNumberFormat="1" applyFont="1" applyFill="1" applyAlignment="1">
      <alignment horizontal="center"/>
    </xf>
    <xf numFmtId="172" fontId="25" fillId="24" borderId="0" xfId="0" quotePrefix="1" applyNumberFormat="1" applyFont="1" applyFill="1" applyAlignment="1">
      <alignment horizontal="center"/>
    </xf>
    <xf numFmtId="0" fontId="27" fillId="24" borderId="0" xfId="44" applyFont="1" applyFill="1" applyAlignment="1">
      <alignment vertical="center" wrapText="1"/>
    </xf>
    <xf numFmtId="0" fontId="25" fillId="24" borderId="10" xfId="0" applyFont="1" applyFill="1" applyBorder="1" applyAlignment="1">
      <alignment horizontal="right"/>
    </xf>
    <xf numFmtId="172" fontId="25" fillId="24" borderId="10" xfId="0" applyNumberFormat="1" applyFont="1" applyFill="1" applyBorder="1" applyAlignment="1">
      <alignment horizontal="center"/>
    </xf>
    <xf numFmtId="0" fontId="0" fillId="24" borderId="0" xfId="0" applyFill="1"/>
    <xf numFmtId="0" fontId="36" fillId="24" borderId="0" xfId="0" applyFont="1" applyFill="1"/>
    <xf numFmtId="0" fontId="12" fillId="0" borderId="0" xfId="35" applyAlignment="1" applyProtection="1"/>
    <xf numFmtId="0" fontId="12" fillId="24" borderId="0" xfId="35" applyFill="1" applyAlignment="1" applyProtection="1"/>
    <xf numFmtId="0" fontId="12" fillId="24" borderId="0" xfId="35" applyFont="1" applyFill="1" applyAlignment="1" applyProtection="1"/>
    <xf numFmtId="172" fontId="34" fillId="0" borderId="0" xfId="44" applyNumberFormat="1" applyFont="1" applyBorder="1" applyAlignment="1">
      <alignment horizontal="center"/>
    </xf>
    <xf numFmtId="0" fontId="22" fillId="0" borderId="0" xfId="44" applyNumberFormat="1" applyFont="1"/>
    <xf numFmtId="0" fontId="22" fillId="0" borderId="0" xfId="44" applyFont="1" applyAlignment="1">
      <alignment vertical="center"/>
    </xf>
    <xf numFmtId="0" fontId="1" fillId="0" borderId="0" xfId="0" applyFont="1"/>
    <xf numFmtId="3" fontId="22" fillId="0" borderId="0" xfId="0" applyNumberFormat="1" applyFont="1"/>
    <xf numFmtId="172" fontId="22" fillId="0" borderId="0" xfId="0" applyNumberFormat="1" applyFont="1" applyAlignment="1">
      <alignment horizontal="right"/>
    </xf>
    <xf numFmtId="0" fontId="27" fillId="0" borderId="10" xfId="0" applyFont="1" applyBorder="1"/>
    <xf numFmtId="3" fontId="22" fillId="0" borderId="0" xfId="44" applyNumberFormat="1" applyFont="1" applyAlignment="1" applyProtection="1">
      <alignment horizontal="right" vertical="center"/>
    </xf>
    <xf numFmtId="173" fontId="27" fillId="0" borderId="0" xfId="44" applyNumberFormat="1" applyFont="1" applyAlignment="1" applyProtection="1">
      <alignment horizontal="right" vertical="center"/>
    </xf>
    <xf numFmtId="173" fontId="22" fillId="0" borderId="0" xfId="44" applyNumberFormat="1" applyFont="1" applyAlignment="1" applyProtection="1">
      <alignment horizontal="right" vertical="center"/>
    </xf>
    <xf numFmtId="3" fontId="22" fillId="24" borderId="0" xfId="0" applyNumberFormat="1" applyFont="1" applyFill="1" applyAlignment="1">
      <alignment horizontal="right"/>
    </xf>
    <xf numFmtId="173" fontId="22" fillId="24" borderId="0" xfId="0" applyNumberFormat="1" applyFont="1" applyFill="1" applyAlignment="1">
      <alignment horizontal="right"/>
    </xf>
    <xf numFmtId="3" fontId="22" fillId="24" borderId="0" xfId="0" applyNumberFormat="1" applyFont="1" applyFill="1"/>
    <xf numFmtId="173" fontId="27" fillId="24" borderId="10" xfId="0" applyNumberFormat="1" applyFont="1" applyFill="1" applyBorder="1" applyAlignment="1">
      <alignment horizontal="right"/>
    </xf>
    <xf numFmtId="0" fontId="33" fillId="0" borderId="0" xfId="0" applyFont="1" applyAlignment="1">
      <alignment horizontal="right"/>
    </xf>
    <xf numFmtId="0" fontId="22" fillId="0" borderId="0" xfId="0" applyFont="1" applyBorder="1"/>
    <xf numFmtId="0" fontId="38" fillId="24" borderId="0" xfId="53" applyFont="1" applyFill="1" applyAlignment="1">
      <alignment horizontal="right"/>
    </xf>
    <xf numFmtId="49" fontId="22" fillId="24" borderId="0" xfId="44" applyNumberFormat="1" applyFont="1" applyFill="1"/>
    <xf numFmtId="174" fontId="22" fillId="24" borderId="0" xfId="44" applyNumberFormat="1" applyFont="1" applyFill="1" applyAlignment="1" applyProtection="1">
      <alignment horizontal="left" vertical="center"/>
    </xf>
    <xf numFmtId="0" fontId="22" fillId="24" borderId="0" xfId="44" applyFont="1" applyFill="1"/>
    <xf numFmtId="0" fontId="24" fillId="24" borderId="0" xfId="41" applyFont="1" applyFill="1" applyAlignment="1">
      <alignment wrapText="1"/>
    </xf>
    <xf numFmtId="0" fontId="22" fillId="24" borderId="0" xfId="0" applyFont="1" applyFill="1" applyAlignment="1"/>
    <xf numFmtId="0" fontId="22" fillId="24" borderId="0" xfId="0" applyFont="1" applyFill="1" applyAlignment="1">
      <alignment horizontal="left"/>
    </xf>
    <xf numFmtId="0" fontId="22" fillId="0" borderId="0" xfId="0" applyFont="1" applyAlignment="1"/>
    <xf numFmtId="0" fontId="22" fillId="24" borderId="0" xfId="0" applyFont="1" applyFill="1" applyAlignment="1">
      <alignment horizontal="right"/>
    </xf>
    <xf numFmtId="172" fontId="22" fillId="24" borderId="0" xfId="0" applyNumberFormat="1" applyFont="1" applyFill="1" applyAlignment="1">
      <alignment horizontal="center"/>
    </xf>
    <xf numFmtId="172" fontId="22" fillId="0" borderId="0" xfId="44" applyNumberFormat="1" applyFont="1"/>
    <xf numFmtId="172" fontId="22" fillId="0" borderId="0" xfId="44" applyNumberFormat="1" applyFont="1" applyAlignment="1">
      <alignment horizontal="center"/>
    </xf>
    <xf numFmtId="172" fontId="22" fillId="0" borderId="0" xfId="0" applyNumberFormat="1" applyFont="1" applyBorder="1" applyAlignment="1">
      <alignment horizontal="right"/>
    </xf>
    <xf numFmtId="172" fontId="22" fillId="0" borderId="0" xfId="0" applyNumberFormat="1" applyFont="1" applyAlignment="1"/>
    <xf numFmtId="172" fontId="22" fillId="0" borderId="0" xfId="0" applyNumberFormat="1" applyFont="1" applyAlignment="1">
      <alignment vertical="top"/>
    </xf>
    <xf numFmtId="0" fontId="22" fillId="0" borderId="0" xfId="44" applyFont="1" applyBorder="1"/>
    <xf numFmtId="172" fontId="22" fillId="0" borderId="0" xfId="44" applyNumberFormat="1" applyFont="1" applyBorder="1"/>
    <xf numFmtId="172" fontId="22" fillId="0" borderId="0" xfId="44" applyNumberFormat="1" applyFont="1" applyBorder="1" applyAlignment="1">
      <alignment horizontal="center"/>
    </xf>
    <xf numFmtId="0" fontId="22" fillId="0" borderId="0" xfId="0" applyFont="1" applyAlignment="1">
      <alignment vertical="top"/>
    </xf>
    <xf numFmtId="0" fontId="22" fillId="0" borderId="11" xfId="0" applyFont="1" applyBorder="1" applyAlignment="1">
      <alignment wrapText="1"/>
    </xf>
    <xf numFmtId="0" fontId="24" fillId="0" borderId="0" xfId="0" applyFont="1" applyAlignment="1">
      <alignment horizontal="left"/>
    </xf>
    <xf numFmtId="0" fontId="0" fillId="0" borderId="0" xfId="0" applyAlignment="1">
      <alignment wrapText="1"/>
    </xf>
    <xf numFmtId="172" fontId="22" fillId="0" borderId="0" xfId="0" applyNumberFormat="1" applyFont="1" applyAlignment="1">
      <alignment horizontal="left"/>
    </xf>
    <xf numFmtId="0" fontId="22" fillId="0" borderId="11" xfId="0" applyFont="1" applyBorder="1" applyAlignment="1">
      <alignment horizontal="center" vertical="center" wrapText="1"/>
    </xf>
    <xf numFmtId="0" fontId="22" fillId="0" borderId="10" xfId="0" applyFont="1" applyBorder="1" applyAlignment="1">
      <alignment horizontal="center" vertical="center" wrapText="1"/>
    </xf>
    <xf numFmtId="172" fontId="22" fillId="0" borderId="12" xfId="0" applyNumberFormat="1" applyFont="1" applyBorder="1" applyAlignment="1">
      <alignment horizontal="center" vertical="center" wrapText="1"/>
    </xf>
    <xf numFmtId="0" fontId="22" fillId="0" borderId="12" xfId="0" applyFont="1" applyBorder="1" applyAlignment="1">
      <alignment horizontal="center" vertical="center" wrapText="1"/>
    </xf>
    <xf numFmtId="0" fontId="24" fillId="0" borderId="0" xfId="44" applyFont="1" applyAlignment="1"/>
    <xf numFmtId="172" fontId="24" fillId="0" borderId="0" xfId="44" applyNumberFormat="1" applyFont="1" applyAlignment="1">
      <alignment horizontal="left"/>
    </xf>
    <xf numFmtId="0" fontId="22" fillId="0" borderId="0" xfId="0" applyFont="1" applyAlignment="1">
      <alignment vertical="top" wrapText="1"/>
    </xf>
    <xf numFmtId="0" fontId="22" fillId="0" borderId="0" xfId="0" applyFont="1" applyAlignment="1">
      <alignment horizontal="left" vertical="top" wrapText="1"/>
    </xf>
    <xf numFmtId="0" fontId="24" fillId="0" borderId="0" xfId="0" applyFont="1" applyAlignment="1"/>
    <xf numFmtId="3" fontId="27" fillId="0" borderId="10" xfId="0" applyNumberFormat="1" applyFont="1" applyBorder="1"/>
    <xf numFmtId="172" fontId="27" fillId="0" borderId="10" xfId="44" applyNumberFormat="1" applyFont="1" applyBorder="1" applyAlignment="1" applyProtection="1">
      <alignment horizontal="right" vertical="center"/>
    </xf>
    <xf numFmtId="0" fontId="22" fillId="0" borderId="0" xfId="44" applyFont="1" applyAlignment="1"/>
    <xf numFmtId="172" fontId="26" fillId="0" borderId="0" xfId="44" applyNumberFormat="1" applyFont="1"/>
    <xf numFmtId="172" fontId="22" fillId="0" borderId="0" xfId="44" applyNumberFormat="1" applyFont="1" applyBorder="1" applyAlignment="1"/>
    <xf numFmtId="49" fontId="22" fillId="0" borderId="0" xfId="44" applyNumberFormat="1" applyFont="1" applyBorder="1" applyAlignment="1">
      <alignment horizontal="center"/>
    </xf>
    <xf numFmtId="49" fontId="22" fillId="0" borderId="0" xfId="44" applyNumberFormat="1" applyFont="1" applyAlignment="1">
      <alignment horizontal="center"/>
    </xf>
    <xf numFmtId="49" fontId="22" fillId="0" borderId="10" xfId="44" applyNumberFormat="1" applyFont="1" applyBorder="1" applyAlignment="1">
      <alignment horizontal="right" vertical="center"/>
    </xf>
    <xf numFmtId="49" fontId="22" fillId="0" borderId="12" xfId="44" applyNumberFormat="1" applyFont="1" applyBorder="1" applyAlignment="1">
      <alignment horizontal="right" vertical="center"/>
    </xf>
    <xf numFmtId="0" fontId="22" fillId="0" borderId="0" xfId="44" applyFont="1" applyAlignment="1">
      <alignment horizontal="right" vertical="center"/>
    </xf>
    <xf numFmtId="0" fontId="17" fillId="0" borderId="10" xfId="0" applyFont="1" applyBorder="1"/>
    <xf numFmtId="173" fontId="22" fillId="0" borderId="0" xfId="0" applyNumberFormat="1" applyFont="1" applyAlignment="1">
      <alignment horizontal="right"/>
    </xf>
    <xf numFmtId="172" fontId="1" fillId="0" borderId="0" xfId="0" applyNumberFormat="1" applyFont="1"/>
    <xf numFmtId="0" fontId="24" fillId="0" borderId="0" xfId="0" applyFont="1" applyFill="1" applyAlignment="1"/>
    <xf numFmtId="0" fontId="22" fillId="0" borderId="11" xfId="0" applyFont="1" applyBorder="1" applyAlignment="1">
      <alignment horizontal="center" vertical="center"/>
    </xf>
    <xf numFmtId="0" fontId="22" fillId="0" borderId="0" xfId="0" applyFont="1" applyBorder="1" applyAlignment="1">
      <alignment horizontal="center" vertical="center" wrapText="1"/>
    </xf>
    <xf numFmtId="0" fontId="22" fillId="0" borderId="10" xfId="0" applyFont="1" applyFill="1" applyBorder="1" applyAlignment="1">
      <alignment horizontal="center" vertical="center" wrapText="1"/>
    </xf>
    <xf numFmtId="0" fontId="22" fillId="24" borderId="11" xfId="0" applyFont="1" applyFill="1" applyBorder="1"/>
    <xf numFmtId="0" fontId="22" fillId="24" borderId="12" xfId="0" applyFont="1" applyFill="1" applyBorder="1" applyAlignment="1">
      <alignment horizontal="center" vertical="center" wrapText="1"/>
    </xf>
    <xf numFmtId="172" fontId="22" fillId="24" borderId="12" xfId="0" applyNumberFormat="1" applyFont="1" applyFill="1" applyBorder="1" applyAlignment="1">
      <alignment horizontal="center" vertical="center" wrapText="1"/>
    </xf>
    <xf numFmtId="0" fontId="22" fillId="24" borderId="10" xfId="0" applyFont="1" applyFill="1" applyBorder="1"/>
    <xf numFmtId="0" fontId="27" fillId="24" borderId="0" xfId="0" applyFont="1" applyFill="1" applyAlignment="1">
      <alignment vertical="center"/>
    </xf>
    <xf numFmtId="172" fontId="27" fillId="24" borderId="0" xfId="0" applyNumberFormat="1" applyFont="1" applyFill="1" applyAlignment="1">
      <alignment horizontal="right" vertical="center"/>
    </xf>
    <xf numFmtId="172" fontId="27" fillId="24" borderId="0" xfId="61" applyNumberFormat="1" applyFont="1" applyFill="1" applyAlignment="1">
      <alignment horizontal="right" vertical="center"/>
    </xf>
    <xf numFmtId="0" fontId="27" fillId="24" borderId="0" xfId="0" applyFont="1" applyFill="1" applyAlignment="1">
      <alignment horizontal="right" vertical="center"/>
    </xf>
    <xf numFmtId="176" fontId="27" fillId="24" borderId="0" xfId="61" applyNumberFormat="1" applyFont="1" applyFill="1" applyAlignment="1">
      <alignment horizontal="right" vertical="center"/>
    </xf>
    <xf numFmtId="3" fontId="27" fillId="24" borderId="0" xfId="61" applyNumberFormat="1" applyFont="1" applyFill="1" applyAlignment="1">
      <alignment horizontal="right" vertical="center"/>
    </xf>
    <xf numFmtId="172" fontId="25" fillId="24" borderId="0" xfId="0" applyNumberFormat="1" applyFont="1" applyFill="1" applyAlignment="1">
      <alignment horizontal="center" vertical="center"/>
    </xf>
    <xf numFmtId="176" fontId="27" fillId="24" borderId="0" xfId="28" applyNumberFormat="1" applyFont="1" applyFill="1" applyAlignment="1">
      <alignment horizontal="right" vertical="center"/>
    </xf>
    <xf numFmtId="0" fontId="25" fillId="24" borderId="0" xfId="0" applyFont="1" applyFill="1" applyAlignment="1">
      <alignment vertical="center"/>
    </xf>
    <xf numFmtId="3" fontId="27" fillId="24" borderId="0" xfId="28" applyNumberFormat="1" applyFont="1" applyFill="1" applyAlignment="1">
      <alignment horizontal="right" vertical="center"/>
    </xf>
    <xf numFmtId="3" fontId="22" fillId="0" borderId="0" xfId="0" applyNumberFormat="1" applyFont="1" applyFill="1" applyBorder="1" applyAlignment="1">
      <alignment horizontal="center"/>
    </xf>
    <xf numFmtId="3" fontId="22" fillId="0" borderId="0" xfId="0" applyNumberFormat="1" applyFont="1" applyFill="1" applyBorder="1" applyAlignment="1">
      <alignment horizontal="right"/>
    </xf>
    <xf numFmtId="172" fontId="22" fillId="0" borderId="0" xfId="0" applyNumberFormat="1" applyFont="1" applyAlignment="1">
      <alignment wrapText="1"/>
    </xf>
    <xf numFmtId="0" fontId="22" fillId="0" borderId="0" xfId="0" applyFont="1" applyFill="1" applyAlignment="1">
      <alignment wrapText="1"/>
    </xf>
    <xf numFmtId="172" fontId="29" fillId="0" borderId="12" xfId="49" applyNumberFormat="1" applyFont="1" applyBorder="1" applyAlignment="1">
      <alignment horizontal="center" vertical="center" wrapText="1"/>
    </xf>
    <xf numFmtId="0" fontId="24" fillId="0" borderId="13" xfId="41" applyFont="1" applyFill="1" applyBorder="1" applyAlignment="1" applyProtection="1">
      <protection locked="0" hidden="1"/>
    </xf>
    <xf numFmtId="0" fontId="33" fillId="0" borderId="14" xfId="41" applyFont="1" applyFill="1" applyBorder="1" applyAlignment="1" applyProtection="1">
      <alignment horizontal="center"/>
      <protection locked="0"/>
    </xf>
    <xf numFmtId="0" fontId="22" fillId="24" borderId="10" xfId="0" applyFont="1" applyFill="1" applyBorder="1" applyAlignment="1">
      <alignment vertical="center" wrapText="1"/>
    </xf>
    <xf numFmtId="0" fontId="45" fillId="0" borderId="0" xfId="41" applyNumberFormat="1" applyFont="1" applyAlignment="1" applyProtection="1">
      <alignment vertical="center"/>
      <protection locked="0" hidden="1"/>
    </xf>
    <xf numFmtId="172" fontId="0" fillId="0" borderId="0" xfId="0" applyNumberFormat="1"/>
    <xf numFmtId="0" fontId="22" fillId="0" borderId="0" xfId="44" applyFont="1" applyProtection="1">
      <protection hidden="1"/>
    </xf>
    <xf numFmtId="172" fontId="24" fillId="0" borderId="0" xfId="44" applyNumberFormat="1" applyFont="1" applyAlignment="1"/>
    <xf numFmtId="1" fontId="22" fillId="0" borderId="0" xfId="44" applyNumberFormat="1" applyFont="1"/>
    <xf numFmtId="0" fontId="0" fillId="0" borderId="0" xfId="0" applyProtection="1">
      <protection locked="0"/>
    </xf>
    <xf numFmtId="172" fontId="22" fillId="0" borderId="0" xfId="44" applyNumberFormat="1" applyFont="1" applyProtection="1">
      <protection hidden="1"/>
    </xf>
    <xf numFmtId="172" fontId="25" fillId="0" borderId="0" xfId="44" applyNumberFormat="1" applyFont="1" applyProtection="1">
      <protection hidden="1"/>
    </xf>
    <xf numFmtId="172" fontId="34" fillId="0" borderId="0" xfId="44" applyNumberFormat="1" applyFont="1" applyAlignment="1" applyProtection="1">
      <alignment horizontal="center"/>
      <protection hidden="1"/>
    </xf>
    <xf numFmtId="0" fontId="0" fillId="0" borderId="0" xfId="0" applyProtection="1">
      <protection hidden="1"/>
    </xf>
    <xf numFmtId="49" fontId="22" fillId="0" borderId="0" xfId="44" applyNumberFormat="1" applyFont="1" applyBorder="1" applyAlignment="1" applyProtection="1">
      <protection hidden="1"/>
    </xf>
    <xf numFmtId="172" fontId="34" fillId="0" borderId="0" xfId="44" applyNumberFormat="1" applyFont="1" applyAlignment="1" applyProtection="1">
      <alignment horizontal="left"/>
      <protection hidden="1"/>
    </xf>
    <xf numFmtId="1" fontId="46" fillId="0" borderId="0" xfId="44" applyNumberFormat="1" applyFont="1"/>
    <xf numFmtId="0" fontId="47" fillId="0" borderId="0" xfId="0" applyFont="1"/>
    <xf numFmtId="0" fontId="46" fillId="24" borderId="0" xfId="0" applyFont="1" applyFill="1"/>
    <xf numFmtId="1" fontId="46" fillId="24" borderId="0" xfId="0" applyNumberFormat="1" applyFont="1" applyFill="1" applyAlignment="1">
      <alignment horizontal="center"/>
    </xf>
    <xf numFmtId="0" fontId="46" fillId="24" borderId="0" xfId="0" applyFont="1" applyFill="1" applyProtection="1">
      <protection locked="0" hidden="1"/>
    </xf>
    <xf numFmtId="0" fontId="22" fillId="24" borderId="0" xfId="0" applyFont="1" applyFill="1" applyAlignment="1">
      <alignment vertical="center"/>
    </xf>
    <xf numFmtId="172" fontId="27" fillId="0" borderId="0" xfId="44" applyNumberFormat="1" applyFont="1" applyBorder="1" applyAlignment="1" applyProtection="1">
      <alignment horizontal="right" vertical="center"/>
      <protection locked="0" hidden="1"/>
    </xf>
    <xf numFmtId="172" fontId="22" fillId="0" borderId="0" xfId="44" applyNumberFormat="1" applyFont="1" applyBorder="1" applyAlignment="1" applyProtection="1">
      <alignment horizontal="right" vertical="center"/>
      <protection locked="0" hidden="1"/>
    </xf>
    <xf numFmtId="0" fontId="25" fillId="0" borderId="0" xfId="0" applyFont="1" applyProtection="1">
      <protection locked="0" hidden="1"/>
    </xf>
    <xf numFmtId="172" fontId="25" fillId="0" borderId="0" xfId="0" applyNumberFormat="1" applyFont="1" applyProtection="1">
      <protection locked="0" hidden="1"/>
    </xf>
    <xf numFmtId="0" fontId="22" fillId="0" borderId="0" xfId="0" applyFont="1" applyProtection="1">
      <protection locked="0" hidden="1"/>
    </xf>
    <xf numFmtId="172" fontId="27" fillId="0" borderId="0" xfId="0" applyNumberFormat="1" applyFont="1" applyAlignment="1" applyProtection="1">
      <alignment horizontal="right"/>
      <protection locked="0" hidden="1"/>
    </xf>
    <xf numFmtId="0" fontId="27" fillId="0" borderId="0" xfId="0" applyFont="1" applyProtection="1">
      <protection locked="0" hidden="1"/>
    </xf>
    <xf numFmtId="172" fontId="27" fillId="0" borderId="0" xfId="0" applyNumberFormat="1" applyFont="1" applyProtection="1">
      <protection locked="0" hidden="1"/>
    </xf>
    <xf numFmtId="0" fontId="1" fillId="0" borderId="0" xfId="0" applyFont="1" applyProtection="1">
      <protection locked="0" hidden="1"/>
    </xf>
    <xf numFmtId="0" fontId="35" fillId="0" borderId="0" xfId="0" applyFont="1" applyProtection="1">
      <protection locked="0" hidden="1"/>
    </xf>
    <xf numFmtId="172" fontId="22" fillId="0" borderId="0" xfId="0" applyNumberFormat="1" applyFont="1" applyAlignment="1" applyProtection="1">
      <alignment horizontal="right"/>
      <protection locked="0" hidden="1"/>
    </xf>
    <xf numFmtId="0" fontId="27" fillId="0" borderId="0" xfId="44" applyFont="1" applyAlignment="1" applyProtection="1">
      <alignment vertical="center" wrapText="1"/>
      <protection locked="0" hidden="1"/>
    </xf>
    <xf numFmtId="0" fontId="30" fillId="0" borderId="0" xfId="0" applyFont="1" applyProtection="1">
      <protection locked="0" hidden="1"/>
    </xf>
    <xf numFmtId="0" fontId="17" fillId="0" borderId="0" xfId="0" applyFont="1" applyProtection="1">
      <protection locked="0" hidden="1"/>
    </xf>
    <xf numFmtId="3" fontId="27" fillId="24" borderId="0" xfId="0" applyNumberFormat="1" applyFont="1" applyFill="1" applyAlignment="1" applyProtection="1">
      <alignment horizontal="right"/>
      <protection locked="0" hidden="1"/>
    </xf>
    <xf numFmtId="173" fontId="27" fillId="24" borderId="0" xfId="0" applyNumberFormat="1" applyFont="1" applyFill="1" applyAlignment="1" applyProtection="1">
      <alignment horizontal="right"/>
      <protection locked="0" hidden="1"/>
    </xf>
    <xf numFmtId="3" fontId="22" fillId="24" borderId="0" xfId="0" applyNumberFormat="1" applyFont="1" applyFill="1" applyAlignment="1" applyProtection="1">
      <alignment horizontal="right"/>
      <protection locked="0" hidden="1"/>
    </xf>
    <xf numFmtId="173" fontId="22" fillId="24" borderId="0" xfId="0" applyNumberFormat="1" applyFont="1" applyFill="1" applyAlignment="1" applyProtection="1">
      <alignment horizontal="right"/>
      <protection locked="0" hidden="1"/>
    </xf>
    <xf numFmtId="3" fontId="25" fillId="24" borderId="0" xfId="0" applyNumberFormat="1" applyFont="1" applyFill="1" applyAlignment="1" applyProtection="1">
      <alignment horizontal="right"/>
      <protection locked="0" hidden="1"/>
    </xf>
    <xf numFmtId="172" fontId="25" fillId="24" borderId="0" xfId="60" applyNumberFormat="1" applyFont="1" applyFill="1" applyAlignment="1" applyProtection="1">
      <alignment horizontal="center"/>
      <protection locked="0" hidden="1"/>
    </xf>
    <xf numFmtId="173" fontId="25" fillId="24" borderId="0" xfId="0" applyNumberFormat="1" applyFont="1" applyFill="1" applyAlignment="1" applyProtection="1">
      <alignment horizontal="right"/>
      <protection locked="0" hidden="1"/>
    </xf>
    <xf numFmtId="172" fontId="25" fillId="24" borderId="0" xfId="0" applyNumberFormat="1" applyFont="1" applyFill="1" applyAlignment="1" applyProtection="1">
      <alignment horizontal="center"/>
      <protection locked="0" hidden="1"/>
    </xf>
    <xf numFmtId="0" fontId="25" fillId="24" borderId="0" xfId="0" applyFont="1" applyFill="1" applyAlignment="1" applyProtection="1">
      <alignment horizontal="right"/>
      <protection locked="0" hidden="1"/>
    </xf>
    <xf numFmtId="3" fontId="27" fillId="24" borderId="0" xfId="0" applyNumberFormat="1" applyFont="1" applyFill="1" applyAlignment="1" applyProtection="1">
      <alignment horizontal="right" vertical="center"/>
      <protection locked="0" hidden="1"/>
    </xf>
    <xf numFmtId="173" fontId="27" fillId="24" borderId="0" xfId="0" applyNumberFormat="1" applyFont="1" applyFill="1" applyAlignment="1" applyProtection="1">
      <alignment horizontal="right" vertical="center"/>
      <protection locked="0" hidden="1"/>
    </xf>
    <xf numFmtId="172" fontId="27" fillId="24" borderId="0" xfId="0" applyNumberFormat="1" applyFont="1" applyFill="1" applyAlignment="1" applyProtection="1">
      <alignment horizontal="right" vertical="center"/>
      <protection locked="0" hidden="1"/>
    </xf>
    <xf numFmtId="172" fontId="25" fillId="24" borderId="0" xfId="0" applyNumberFormat="1" applyFont="1" applyFill="1" applyAlignment="1" applyProtection="1">
      <alignment horizontal="center" vertical="center"/>
      <protection locked="0" hidden="1"/>
    </xf>
    <xf numFmtId="175" fontId="25" fillId="24" borderId="0" xfId="60" applyNumberFormat="1" applyFont="1" applyFill="1" applyAlignment="1" applyProtection="1">
      <alignment horizontal="center"/>
      <protection locked="0" hidden="1"/>
    </xf>
    <xf numFmtId="0" fontId="25" fillId="24" borderId="0" xfId="0" applyFont="1" applyFill="1" applyProtection="1">
      <protection locked="0" hidden="1"/>
    </xf>
    <xf numFmtId="172" fontId="27" fillId="24" borderId="0" xfId="61" applyNumberFormat="1" applyFont="1" applyFill="1" applyAlignment="1" applyProtection="1">
      <alignment horizontal="right" vertical="center"/>
      <protection locked="0" hidden="1"/>
    </xf>
    <xf numFmtId="0" fontId="25" fillId="24" borderId="0" xfId="0" applyFont="1" applyFill="1" applyAlignment="1" applyProtection="1">
      <alignment vertical="center"/>
      <protection locked="0" hidden="1"/>
    </xf>
    <xf numFmtId="3" fontId="27" fillId="0" borderId="0" xfId="0" applyNumberFormat="1" applyFont="1" applyProtection="1">
      <protection hidden="1"/>
    </xf>
    <xf numFmtId="173" fontId="27" fillId="0" borderId="0" xfId="0" applyNumberFormat="1" applyFont="1" applyProtection="1">
      <protection hidden="1"/>
    </xf>
    <xf numFmtId="3" fontId="22" fillId="0" borderId="0" xfId="0" applyNumberFormat="1" applyFont="1" applyProtection="1">
      <protection hidden="1"/>
    </xf>
    <xf numFmtId="173" fontId="22" fillId="0" borderId="0" xfId="0" applyNumberFormat="1" applyFont="1" applyProtection="1">
      <protection hidden="1"/>
    </xf>
    <xf numFmtId="0" fontId="22" fillId="0" borderId="0" xfId="0" applyFont="1" applyProtection="1">
      <protection hidden="1"/>
    </xf>
    <xf numFmtId="3" fontId="22" fillId="0" borderId="0" xfId="0" applyNumberFormat="1" applyFont="1" applyAlignment="1" applyProtection="1">
      <alignment horizontal="right"/>
      <protection hidden="1"/>
    </xf>
    <xf numFmtId="0" fontId="25" fillId="0" borderId="0" xfId="44" applyFont="1" applyProtection="1">
      <protection hidden="1"/>
    </xf>
    <xf numFmtId="172" fontId="25" fillId="0" borderId="0" xfId="44" applyNumberFormat="1" applyFont="1" applyAlignment="1" applyProtection="1">
      <alignment horizontal="center"/>
      <protection hidden="1"/>
    </xf>
    <xf numFmtId="3" fontId="27" fillId="24" borderId="0" xfId="0" applyNumberFormat="1" applyFont="1" applyFill="1" applyAlignment="1" applyProtection="1">
      <alignment horizontal="right"/>
    </xf>
    <xf numFmtId="173" fontId="27" fillId="24" borderId="0" xfId="0" applyNumberFormat="1" applyFont="1" applyFill="1" applyAlignment="1" applyProtection="1">
      <alignment horizontal="right"/>
    </xf>
    <xf numFmtId="3" fontId="22" fillId="24" borderId="0" xfId="0" applyNumberFormat="1" applyFont="1" applyFill="1" applyAlignment="1" applyProtection="1">
      <alignment horizontal="right"/>
    </xf>
    <xf numFmtId="173" fontId="22" fillId="24" borderId="0" xfId="0" applyNumberFormat="1" applyFont="1" applyFill="1" applyAlignment="1" applyProtection="1">
      <alignment horizontal="right"/>
    </xf>
    <xf numFmtId="172" fontId="22" fillId="24" borderId="0" xfId="0" applyNumberFormat="1" applyFont="1" applyFill="1" applyAlignment="1" applyProtection="1">
      <alignment horizontal="center"/>
    </xf>
    <xf numFmtId="3" fontId="27" fillId="24" borderId="0" xfId="0" applyNumberFormat="1" applyFont="1" applyFill="1" applyAlignment="1" applyProtection="1">
      <alignment horizontal="right" vertical="center"/>
    </xf>
    <xf numFmtId="173" fontId="27" fillId="24" borderId="0" xfId="0" applyNumberFormat="1" applyFont="1" applyFill="1" applyAlignment="1" applyProtection="1">
      <alignment horizontal="right" vertical="center"/>
    </xf>
    <xf numFmtId="172" fontId="22" fillId="24" borderId="0" xfId="0" applyNumberFormat="1" applyFont="1" applyFill="1" applyAlignment="1" applyProtection="1">
      <alignment horizontal="center" vertical="center"/>
    </xf>
    <xf numFmtId="0" fontId="22" fillId="0" borderId="0" xfId="0" applyFont="1" applyAlignment="1">
      <alignment horizontal="left"/>
    </xf>
    <xf numFmtId="0" fontId="22" fillId="0" borderId="12" xfId="0" applyFont="1" applyFill="1" applyBorder="1" applyAlignment="1">
      <alignment horizontal="center" vertical="center" wrapText="1"/>
    </xf>
    <xf numFmtId="0" fontId="1" fillId="24" borderId="0" xfId="0" applyFont="1" applyFill="1"/>
    <xf numFmtId="0" fontId="37" fillId="24" borderId="0" xfId="36" applyFont="1" applyFill="1" applyAlignment="1" applyProtection="1"/>
    <xf numFmtId="0" fontId="1" fillId="24" borderId="0" xfId="36" applyFont="1" applyFill="1" applyAlignment="1" applyProtection="1"/>
    <xf numFmtId="0" fontId="12" fillId="0" borderId="0" xfId="35" applyFill="1" applyAlignment="1" applyProtection="1"/>
    <xf numFmtId="0" fontId="12" fillId="0" borderId="0" xfId="35" applyFont="1" applyAlignment="1" applyProtection="1"/>
    <xf numFmtId="0" fontId="22" fillId="0" borderId="0" xfId="56" applyFont="1" applyFill="1"/>
    <xf numFmtId="172" fontId="22" fillId="0" borderId="0" xfId="56" applyNumberFormat="1" applyFont="1" applyFill="1" applyAlignment="1">
      <alignment horizontal="center"/>
    </xf>
    <xf numFmtId="0" fontId="26" fillId="0" borderId="0" xfId="56" applyFont="1" applyFill="1"/>
    <xf numFmtId="0" fontId="22" fillId="0" borderId="0" xfId="56" applyFont="1" applyFill="1" applyAlignment="1">
      <alignment horizontal="center"/>
    </xf>
    <xf numFmtId="172" fontId="22" fillId="0" borderId="0" xfId="56" applyNumberFormat="1" applyFont="1" applyFill="1" applyAlignment="1">
      <alignment horizontal="right" vertical="center"/>
    </xf>
    <xf numFmtId="0" fontId="27" fillId="0" borderId="11" xfId="56" applyFont="1" applyFill="1" applyBorder="1" applyAlignment="1"/>
    <xf numFmtId="172" fontId="22" fillId="0" borderId="12" xfId="56" applyNumberFormat="1" applyFont="1" applyFill="1" applyBorder="1" applyAlignment="1">
      <alignment horizontal="center" vertical="center"/>
    </xf>
    <xf numFmtId="172" fontId="22" fillId="0" borderId="11" xfId="56" applyNumberFormat="1" applyFont="1" applyFill="1" applyBorder="1" applyAlignment="1">
      <alignment horizontal="center"/>
    </xf>
    <xf numFmtId="0" fontId="22" fillId="0" borderId="0" xfId="56" applyFont="1" applyFill="1" applyAlignment="1"/>
    <xf numFmtId="0" fontId="22" fillId="0" borderId="10" xfId="56" applyFont="1" applyFill="1" applyBorder="1"/>
    <xf numFmtId="172" fontId="22" fillId="0" borderId="10" xfId="56" applyNumberFormat="1" applyFont="1" applyFill="1" applyBorder="1" applyAlignment="1">
      <alignment horizontal="center" vertical="center"/>
    </xf>
    <xf numFmtId="0" fontId="22" fillId="0" borderId="0" xfId="56" applyFont="1" applyFill="1" applyBorder="1"/>
    <xf numFmtId="172" fontId="22" fillId="0" borderId="0" xfId="56" applyNumberFormat="1" applyFont="1" applyFill="1" applyBorder="1" applyAlignment="1">
      <alignment horizontal="center" vertical="center"/>
    </xf>
    <xf numFmtId="172" fontId="22" fillId="0" borderId="0" xfId="56" applyNumberFormat="1" applyFont="1" applyFill="1" applyAlignment="1">
      <alignment horizontal="right"/>
    </xf>
    <xf numFmtId="0" fontId="22" fillId="0" borderId="0" xfId="56" applyFont="1" applyFill="1" applyAlignment="1">
      <alignment horizontal="right"/>
    </xf>
    <xf numFmtId="0" fontId="22" fillId="0" borderId="0" xfId="56" applyFont="1" applyFill="1" applyAlignment="1">
      <alignment horizontal="left" vertical="center" wrapText="1"/>
    </xf>
    <xf numFmtId="0" fontId="22" fillId="0" borderId="0" xfId="56" applyFont="1" applyFill="1" applyAlignment="1">
      <alignment vertical="center"/>
    </xf>
    <xf numFmtId="0" fontId="22" fillId="0" borderId="0" xfId="56" applyFont="1" applyFill="1" applyAlignment="1">
      <alignment horizontal="right" vertical="center"/>
    </xf>
    <xf numFmtId="0" fontId="22" fillId="0" borderId="0" xfId="56" applyFont="1" applyFill="1" applyAlignment="1">
      <alignment horizontal="left" indent="1"/>
    </xf>
    <xf numFmtId="0" fontId="38" fillId="0" borderId="0" xfId="0" applyFont="1" applyBorder="1"/>
    <xf numFmtId="0" fontId="38" fillId="0" borderId="0" xfId="56" applyFont="1" applyFill="1"/>
    <xf numFmtId="0" fontId="22" fillId="0" borderId="0" xfId="0" applyFont="1" applyFill="1"/>
    <xf numFmtId="0" fontId="38" fillId="0" borderId="0" xfId="48" applyFont="1" applyBorder="1"/>
    <xf numFmtId="1" fontId="22" fillId="0" borderId="0" xfId="56" applyNumberFormat="1" applyFont="1" applyFill="1" applyAlignment="1">
      <alignment horizontal="right"/>
    </xf>
    <xf numFmtId="172" fontId="22" fillId="0" borderId="0" xfId="56" applyNumberFormat="1" applyFont="1" applyFill="1" applyBorder="1" applyAlignment="1">
      <alignment horizontal="center"/>
    </xf>
    <xf numFmtId="1" fontId="22" fillId="0" borderId="0" xfId="56" applyNumberFormat="1" applyFont="1" applyFill="1"/>
    <xf numFmtId="0" fontId="22" fillId="0" borderId="0" xfId="56" applyFont="1" applyFill="1" applyAlignment="1">
      <alignment horizontal="left"/>
    </xf>
    <xf numFmtId="1" fontId="22" fillId="0" borderId="0" xfId="56" applyNumberFormat="1" applyFont="1" applyFill="1" applyAlignment="1">
      <alignment horizontal="right" vertical="center"/>
    </xf>
    <xf numFmtId="1" fontId="22" fillId="0" borderId="0" xfId="56" applyNumberFormat="1" applyFont="1" applyFill="1" applyBorder="1" applyAlignment="1">
      <alignment horizontal="right" vertical="center"/>
    </xf>
    <xf numFmtId="172" fontId="22" fillId="0" borderId="11" xfId="56" applyNumberFormat="1" applyFont="1" applyFill="1" applyBorder="1" applyAlignment="1"/>
    <xf numFmtId="1" fontId="22" fillId="0" borderId="11" xfId="56" applyNumberFormat="1" applyFont="1" applyFill="1" applyBorder="1" applyAlignment="1">
      <alignment horizontal="right" vertical="center"/>
    </xf>
    <xf numFmtId="0" fontId="22" fillId="0" borderId="11" xfId="56" applyFont="1" applyFill="1" applyBorder="1"/>
    <xf numFmtId="1" fontId="22" fillId="0" borderId="11" xfId="56" applyNumberFormat="1" applyFont="1" applyFill="1" applyBorder="1"/>
    <xf numFmtId="0" fontId="48" fillId="0" borderId="0" xfId="56" applyFont="1" applyFill="1"/>
    <xf numFmtId="1" fontId="22" fillId="0" borderId="0" xfId="56" applyNumberFormat="1" applyFont="1" applyFill="1" applyBorder="1"/>
    <xf numFmtId="0" fontId="27" fillId="0" borderId="0" xfId="56" applyFont="1" applyFill="1"/>
    <xf numFmtId="172" fontId="22" fillId="0" borderId="0" xfId="56" applyNumberFormat="1" applyFont="1" applyFill="1" applyBorder="1" applyAlignment="1"/>
    <xf numFmtId="1" fontId="22" fillId="0" borderId="12" xfId="56" applyNumberFormat="1" applyFont="1" applyFill="1" applyBorder="1" applyAlignment="1">
      <alignment horizontal="right" vertical="center"/>
    </xf>
    <xf numFmtId="1" fontId="22" fillId="0" borderId="10" xfId="56" applyNumberFormat="1" applyFont="1" applyFill="1" applyBorder="1" applyAlignment="1">
      <alignment horizontal="right" vertical="center"/>
    </xf>
    <xf numFmtId="1" fontId="22" fillId="0" borderId="0" xfId="56" applyNumberFormat="1" applyFont="1" applyFill="1" applyBorder="1" applyAlignment="1">
      <alignment horizontal="center" vertical="center"/>
    </xf>
    <xf numFmtId="0" fontId="24" fillId="0" borderId="0" xfId="56" applyFont="1" applyFill="1" applyAlignment="1"/>
    <xf numFmtId="0" fontId="27" fillId="0" borderId="0" xfId="56" applyFont="1" applyFill="1" applyBorder="1"/>
    <xf numFmtId="0" fontId="22" fillId="0" borderId="10" xfId="52" applyFont="1" applyBorder="1" applyAlignment="1">
      <alignment horizontal="center" vertical="center" wrapText="1"/>
      <protection locked="0"/>
    </xf>
    <xf numFmtId="0" fontId="22" fillId="0" borderId="10" xfId="0" applyFont="1" applyBorder="1" applyAlignment="1">
      <alignment vertical="center" wrapText="1"/>
    </xf>
    <xf numFmtId="0" fontId="27" fillId="0" borderId="12" xfId="56" applyFont="1" applyFill="1" applyBorder="1" applyAlignment="1"/>
    <xf numFmtId="0" fontId="22" fillId="0" borderId="12" xfId="52" applyFont="1" applyBorder="1" applyAlignment="1">
      <alignment horizontal="center" vertical="center" wrapText="1"/>
      <protection locked="0"/>
    </xf>
    <xf numFmtId="0" fontId="22" fillId="0" borderId="12" xfId="0" applyFont="1" applyBorder="1" applyAlignment="1">
      <alignment vertical="center" wrapText="1"/>
    </xf>
    <xf numFmtId="0" fontId="22" fillId="0" borderId="0" xfId="56" applyFont="1" applyFill="1" applyBorder="1" applyAlignment="1"/>
    <xf numFmtId="0" fontId="22" fillId="0" borderId="0" xfId="0" applyFont="1" applyAlignment="1">
      <alignment horizontal="right"/>
    </xf>
    <xf numFmtId="0" fontId="22" fillId="0" borderId="0" xfId="56" applyFont="1" applyFill="1" applyBorder="1" applyAlignment="1">
      <alignment vertical="center"/>
    </xf>
    <xf numFmtId="0" fontId="22" fillId="0" borderId="0" xfId="0" applyFont="1" applyAlignment="1">
      <alignment horizontal="left" wrapText="1"/>
    </xf>
    <xf numFmtId="0" fontId="22" fillId="0" borderId="0" xfId="47" applyFont="1" applyFill="1"/>
    <xf numFmtId="0" fontId="1" fillId="0" borderId="0" xfId="0" applyFont="1" applyAlignment="1"/>
    <xf numFmtId="0" fontId="22" fillId="0" borderId="0" xfId="0" applyFont="1" applyAlignment="1">
      <alignment horizontal="right" indent="1"/>
    </xf>
    <xf numFmtId="0" fontId="22" fillId="0" borderId="0" xfId="56" applyFont="1" applyFill="1" applyAlignment="1">
      <alignment horizontal="right" indent="1"/>
    </xf>
    <xf numFmtId="0" fontId="22" fillId="0" borderId="0" xfId="56" applyFont="1" applyFill="1" applyBorder="1" applyAlignment="1">
      <alignment horizontal="right" indent="1"/>
    </xf>
    <xf numFmtId="0" fontId="22" fillId="0" borderId="0" xfId="56" applyFont="1" applyFill="1" applyBorder="1" applyAlignment="1">
      <alignment horizontal="right" vertical="center" indent="1"/>
    </xf>
    <xf numFmtId="1" fontId="22" fillId="0" borderId="0" xfId="56" applyNumberFormat="1" applyFont="1" applyFill="1" applyAlignment="1">
      <alignment horizontal="right" indent="1"/>
    </xf>
    <xf numFmtId="0" fontId="22" fillId="0" borderId="0" xfId="56" applyFont="1" applyFill="1" applyBorder="1" applyAlignment="1">
      <alignment horizontal="left"/>
    </xf>
    <xf numFmtId="0" fontId="22" fillId="0" borderId="0" xfId="0" applyFont="1" applyAlignment="1">
      <alignment horizontal="left" vertical="top"/>
    </xf>
    <xf numFmtId="0" fontId="22" fillId="0" borderId="0" xfId="0" applyFont="1" applyBorder="1" applyAlignment="1">
      <alignment wrapText="1"/>
    </xf>
    <xf numFmtId="0" fontId="22" fillId="0" borderId="0" xfId="56" applyFont="1" applyFill="1" applyAlignment="1">
      <alignment vertical="top"/>
    </xf>
    <xf numFmtId="0" fontId="22" fillId="0" borderId="0" xfId="56" applyFont="1" applyFill="1" applyBorder="1" applyAlignment="1">
      <alignment vertical="top"/>
    </xf>
    <xf numFmtId="0" fontId="38" fillId="0" borderId="0" xfId="56" applyFont="1" applyFill="1" applyAlignment="1">
      <alignment wrapText="1"/>
    </xf>
    <xf numFmtId="0" fontId="22" fillId="0" borderId="0" xfId="42" applyFont="1"/>
    <xf numFmtId="173" fontId="27" fillId="0" borderId="0" xfId="54" applyNumberFormat="1" applyFont="1"/>
    <xf numFmtId="173" fontId="27" fillId="0" borderId="0" xfId="54" applyNumberFormat="1" applyFont="1" applyAlignment="1">
      <alignment horizontal="right"/>
    </xf>
    <xf numFmtId="174" fontId="27" fillId="0" borderId="0" xfId="54" applyFont="1" applyAlignment="1">
      <alignment vertical="center"/>
    </xf>
    <xf numFmtId="173" fontId="27" fillId="0" borderId="0" xfId="54" applyNumberFormat="1" applyFont="1" applyAlignment="1">
      <alignment horizontal="right" vertical="center"/>
    </xf>
    <xf numFmtId="173" fontId="27" fillId="0" borderId="0" xfId="54" applyNumberFormat="1" applyFont="1" applyAlignment="1">
      <alignment vertical="center"/>
    </xf>
    <xf numFmtId="173" fontId="22" fillId="0" borderId="0" xfId="54" applyNumberFormat="1" applyFont="1" applyAlignment="1">
      <alignment horizontal="right" vertical="center"/>
    </xf>
    <xf numFmtId="0" fontId="22" fillId="0" borderId="0" xfId="42" applyFont="1" applyAlignment="1">
      <alignment vertical="center"/>
    </xf>
    <xf numFmtId="174" fontId="22" fillId="0" borderId="11" xfId="54" applyFont="1" applyBorder="1" applyAlignment="1"/>
    <xf numFmtId="173" fontId="22" fillId="0" borderId="11" xfId="54" applyNumberFormat="1" applyFont="1" applyBorder="1" applyAlignment="1"/>
    <xf numFmtId="173" fontId="22" fillId="0" borderId="11" xfId="54" applyNumberFormat="1" applyFont="1" applyBorder="1" applyAlignment="1">
      <alignment horizontal="center"/>
    </xf>
    <xf numFmtId="0" fontId="22" fillId="0" borderId="0" xfId="42" applyFont="1" applyAlignment="1"/>
    <xf numFmtId="174" fontId="22" fillId="0" borderId="10" xfId="54" applyFont="1" applyBorder="1" applyAlignment="1">
      <alignment vertical="center"/>
    </xf>
    <xf numFmtId="173" fontId="22" fillId="0" borderId="12" xfId="54" applyNumberFormat="1" applyFont="1" applyBorder="1" applyAlignment="1">
      <alignment horizontal="right" vertical="center"/>
    </xf>
    <xf numFmtId="173" fontId="22" fillId="0" borderId="10" xfId="54" applyNumberFormat="1" applyFont="1" applyBorder="1"/>
    <xf numFmtId="173" fontId="22" fillId="0" borderId="10" xfId="54" applyNumberFormat="1" applyFont="1" applyBorder="1" applyAlignment="1">
      <alignment horizontal="center" vertical="top"/>
    </xf>
    <xf numFmtId="174" fontId="22" fillId="0" borderId="0" xfId="54" applyFont="1" applyBorder="1" applyAlignment="1">
      <alignment vertical="center"/>
    </xf>
    <xf numFmtId="173" fontId="22" fillId="0" borderId="0" xfId="54" applyNumberFormat="1" applyFont="1" applyBorder="1" applyAlignment="1">
      <alignment horizontal="center" vertical="center"/>
    </xf>
    <xf numFmtId="173" fontId="22" fillId="0" borderId="0" xfId="54" applyNumberFormat="1" applyFont="1" applyBorder="1"/>
    <xf numFmtId="173" fontId="22" fillId="0" borderId="0" xfId="54" applyNumberFormat="1" applyFont="1" applyBorder="1" applyAlignment="1">
      <alignment horizontal="center" vertical="top"/>
    </xf>
    <xf numFmtId="173" fontId="22" fillId="0" borderId="0" xfId="42" applyNumberFormat="1" applyFont="1" applyAlignment="1">
      <alignment horizontal="right"/>
    </xf>
    <xf numFmtId="173" fontId="22" fillId="0" borderId="0" xfId="42" applyNumberFormat="1" applyFont="1"/>
    <xf numFmtId="0" fontId="22" fillId="0" borderId="0" xfId="42" applyFont="1" applyAlignment="1">
      <alignment horizontal="right"/>
    </xf>
    <xf numFmtId="0" fontId="38" fillId="0" borderId="0" xfId="0" applyFont="1" applyBorder="1" applyAlignment="1">
      <alignment horizontal="right"/>
    </xf>
    <xf numFmtId="0" fontId="38" fillId="0" borderId="0" xfId="48" applyFont="1" applyBorder="1" applyAlignment="1">
      <alignment horizontal="right"/>
    </xf>
    <xf numFmtId="0" fontId="22" fillId="0" borderId="0" xfId="0" applyFont="1" applyBorder="1" applyAlignment="1">
      <alignment horizontal="right"/>
    </xf>
    <xf numFmtId="0" fontId="41" fillId="0" borderId="0" xfId="56" applyFont="1" applyFill="1"/>
    <xf numFmtId="0" fontId="22" fillId="0" borderId="0" xfId="50" applyFont="1"/>
    <xf numFmtId="173" fontId="22" fillId="0" borderId="10" xfId="51" applyNumberFormat="1" applyFont="1" applyBorder="1"/>
    <xf numFmtId="173" fontId="22" fillId="0" borderId="10" xfId="42" applyNumberFormat="1" applyFont="1" applyBorder="1" applyAlignment="1">
      <alignment horizontal="right"/>
    </xf>
    <xf numFmtId="173" fontId="22" fillId="0" borderId="10" xfId="42" applyNumberFormat="1" applyFont="1" applyBorder="1"/>
    <xf numFmtId="173" fontId="22" fillId="0" borderId="0" xfId="51" applyNumberFormat="1" applyFont="1" applyBorder="1"/>
    <xf numFmtId="173" fontId="22" fillId="0" borderId="0" xfId="42" applyNumberFormat="1" applyFont="1" applyBorder="1" applyAlignment="1">
      <alignment horizontal="right"/>
    </xf>
    <xf numFmtId="173" fontId="22" fillId="0" borderId="0" xfId="42" applyNumberFormat="1" applyFont="1" applyBorder="1"/>
    <xf numFmtId="0" fontId="22" fillId="0" borderId="0" xfId="42" applyFont="1" applyAlignment="1">
      <alignment horizontal="left" vertical="top"/>
    </xf>
    <xf numFmtId="173" fontId="22" fillId="0" borderId="0" xfId="42" applyNumberFormat="1" applyFont="1" applyAlignment="1">
      <alignment horizontal="left" vertical="top"/>
    </xf>
    <xf numFmtId="0" fontId="22" fillId="0" borderId="0" xfId="51" applyFont="1"/>
    <xf numFmtId="3" fontId="22" fillId="0" borderId="0" xfId="42" applyNumberFormat="1" applyFont="1" applyAlignment="1">
      <alignment horizontal="right"/>
    </xf>
    <xf numFmtId="174" fontId="22" fillId="0" borderId="0" xfId="54" applyNumberFormat="1" applyFont="1" applyAlignment="1" applyProtection="1">
      <alignment horizontal="left"/>
    </xf>
    <xf numFmtId="0" fontId="22" fillId="0" borderId="0" xfId="51" applyFont="1" applyFill="1"/>
    <xf numFmtId="3" fontId="22" fillId="0" borderId="0" xfId="42" applyNumberFormat="1" applyFont="1"/>
    <xf numFmtId="3" fontId="49" fillId="0" borderId="0" xfId="42" applyNumberFormat="1" applyFont="1" applyFill="1"/>
    <xf numFmtId="0" fontId="22" fillId="0" borderId="0" xfId="48" applyFont="1"/>
    <xf numFmtId="173" fontId="22" fillId="0" borderId="10" xfId="54" applyNumberFormat="1" applyFont="1" applyBorder="1" applyAlignment="1">
      <alignment horizontal="right" vertical="center"/>
    </xf>
    <xf numFmtId="0" fontId="22" fillId="0" borderId="0" xfId="48" applyFont="1" applyAlignment="1">
      <alignment vertical="center"/>
    </xf>
    <xf numFmtId="173" fontId="22" fillId="0" borderId="11" xfId="54" applyNumberFormat="1" applyFont="1" applyBorder="1" applyAlignment="1">
      <alignment horizontal="centerContinuous" vertical="center"/>
    </xf>
    <xf numFmtId="0" fontId="22" fillId="0" borderId="0" xfId="48" applyFont="1" applyAlignment="1"/>
    <xf numFmtId="174" fontId="22" fillId="0" borderId="11" xfId="54" applyFont="1" applyBorder="1" applyAlignment="1">
      <alignment vertical="center"/>
    </xf>
    <xf numFmtId="0" fontId="22" fillId="0" borderId="11" xfId="48" applyFont="1" applyBorder="1" applyAlignment="1">
      <alignment horizontal="center" vertical="center"/>
    </xf>
    <xf numFmtId="0" fontId="22" fillId="0" borderId="11" xfId="48" applyFont="1" applyBorder="1" applyAlignment="1">
      <alignment horizontal="center" vertical="top" wrapText="1"/>
    </xf>
    <xf numFmtId="0" fontId="22" fillId="0" borderId="0" xfId="48" applyFont="1" applyBorder="1"/>
    <xf numFmtId="3" fontId="22" fillId="0" borderId="0" xfId="48" applyNumberFormat="1" applyFont="1" applyBorder="1" applyAlignment="1">
      <alignment horizontal="right" vertical="top" wrapText="1"/>
    </xf>
    <xf numFmtId="0" fontId="22" fillId="0" borderId="0" xfId="48" applyFont="1" applyBorder="1" applyAlignment="1">
      <alignment wrapText="1"/>
    </xf>
    <xf numFmtId="0" fontId="22" fillId="0" borderId="10" xfId="56" applyFont="1" applyBorder="1"/>
    <xf numFmtId="173" fontId="22" fillId="0" borderId="10" xfId="48" applyNumberFormat="1" applyFont="1" applyBorder="1" applyAlignment="1">
      <alignment horizontal="right"/>
    </xf>
    <xf numFmtId="0" fontId="22" fillId="0" borderId="0" xfId="56" applyFont="1" applyBorder="1"/>
    <xf numFmtId="173" fontId="22" fillId="0" borderId="0" xfId="48" applyNumberFormat="1" applyFont="1" applyBorder="1" applyAlignment="1">
      <alignment horizontal="right"/>
    </xf>
    <xf numFmtId="0" fontId="22" fillId="0" borderId="0" xfId="44" applyFont="1" applyAlignment="1">
      <alignment horizontal="left" vertical="center"/>
    </xf>
    <xf numFmtId="0" fontId="1" fillId="0" borderId="0" xfId="43" applyFont="1"/>
    <xf numFmtId="0" fontId="22" fillId="0" borderId="0" xfId="43" applyFont="1" applyAlignment="1"/>
    <xf numFmtId="3" fontId="22" fillId="0" borderId="0" xfId="50" applyNumberFormat="1" applyFont="1"/>
    <xf numFmtId="0" fontId="42" fillId="0" borderId="0" xfId="35" applyFont="1" applyAlignment="1" applyProtection="1">
      <alignment vertical="center"/>
    </xf>
    <xf numFmtId="3" fontId="22" fillId="0" borderId="0" xfId="50" applyNumberFormat="1" applyFont="1" applyAlignment="1">
      <alignment horizontal="right" vertical="center"/>
    </xf>
    <xf numFmtId="174" fontId="27" fillId="0" borderId="11" xfId="54" applyFont="1" applyBorder="1"/>
    <xf numFmtId="174" fontId="22" fillId="0" borderId="10" xfId="54" applyFont="1" applyBorder="1"/>
    <xf numFmtId="3" fontId="22" fillId="0" borderId="10" xfId="54" applyNumberFormat="1" applyFont="1" applyBorder="1" applyAlignment="1">
      <alignment horizontal="right" vertical="center"/>
    </xf>
    <xf numFmtId="3" fontId="22" fillId="0" borderId="10" xfId="54" applyNumberFormat="1" applyFont="1" applyBorder="1" applyAlignment="1" applyProtection="1">
      <alignment horizontal="right" vertical="center"/>
    </xf>
    <xf numFmtId="0" fontId="22" fillId="0" borderId="10" xfId="50" applyFont="1" applyBorder="1"/>
    <xf numFmtId="0" fontId="1" fillId="0" borderId="10" xfId="43" applyFont="1" applyBorder="1"/>
    <xf numFmtId="0" fontId="22" fillId="0" borderId="0" xfId="50" applyFont="1" applyBorder="1"/>
    <xf numFmtId="3" fontId="22" fillId="0" borderId="0" xfId="50" applyNumberFormat="1" applyFont="1" applyBorder="1"/>
    <xf numFmtId="0" fontId="22" fillId="0" borderId="0" xfId="50" applyFont="1" applyAlignment="1">
      <alignment horizontal="left"/>
    </xf>
    <xf numFmtId="0" fontId="1" fillId="0" borderId="0" xfId="43"/>
    <xf numFmtId="0" fontId="24" fillId="0" borderId="0" xfId="50" applyFont="1" applyAlignment="1"/>
    <xf numFmtId="0" fontId="1" fillId="0" borderId="0" xfId="43" applyAlignment="1"/>
    <xf numFmtId="3" fontId="22" fillId="0" borderId="10" xfId="50" applyNumberFormat="1" applyFont="1" applyBorder="1"/>
    <xf numFmtId="3" fontId="22" fillId="0" borderId="10" xfId="50" applyNumberFormat="1" applyFont="1" applyBorder="1" applyAlignment="1">
      <alignment horizontal="right"/>
    </xf>
    <xf numFmtId="173" fontId="22" fillId="0" borderId="12" xfId="54" applyNumberFormat="1" applyFont="1" applyBorder="1" applyAlignment="1" applyProtection="1">
      <alignment horizontal="left"/>
    </xf>
    <xf numFmtId="0" fontId="1" fillId="0" borderId="12" xfId="43" applyBorder="1" applyAlignment="1"/>
    <xf numFmtId="3" fontId="22" fillId="0" borderId="12" xfId="54" applyNumberFormat="1" applyFont="1" applyBorder="1" applyAlignment="1">
      <alignment horizontal="right"/>
    </xf>
    <xf numFmtId="0" fontId="1" fillId="0" borderId="12" xfId="43" applyBorder="1" applyAlignment="1">
      <alignment horizontal="right"/>
    </xf>
    <xf numFmtId="0" fontId="22" fillId="0" borderId="0" xfId="55" applyFont="1" applyAlignment="1" applyProtection="1">
      <alignment horizontal="left"/>
    </xf>
    <xf numFmtId="3" fontId="22" fillId="0" borderId="0" xfId="46" applyNumberFormat="1" applyFont="1" applyAlignment="1" applyProtection="1">
      <alignment horizontal="center"/>
    </xf>
    <xf numFmtId="176" fontId="22" fillId="0" borderId="0" xfId="28" applyNumberFormat="1" applyFont="1"/>
    <xf numFmtId="176" fontId="1" fillId="0" borderId="0" xfId="43" applyNumberFormat="1"/>
    <xf numFmtId="176" fontId="22" fillId="0" borderId="0" xfId="28" applyNumberFormat="1" applyFont="1" applyAlignment="1">
      <alignment horizontal="right"/>
    </xf>
    <xf numFmtId="3" fontId="1" fillId="0" borderId="0" xfId="43" applyNumberFormat="1"/>
    <xf numFmtId="0" fontId="22" fillId="24" borderId="0" xfId="41" applyFont="1" applyFill="1"/>
    <xf numFmtId="0" fontId="33" fillId="24" borderId="0" xfId="41" applyFont="1" applyFill="1" applyAlignment="1">
      <alignment horizontal="right"/>
    </xf>
    <xf numFmtId="0" fontId="33" fillId="24" borderId="0" xfId="41" applyFont="1" applyFill="1"/>
    <xf numFmtId="1" fontId="24" fillId="24" borderId="0" xfId="41" applyNumberFormat="1" applyFont="1" applyFill="1" applyAlignment="1">
      <alignment horizontal="left"/>
    </xf>
    <xf numFmtId="0" fontId="24" fillId="24" borderId="0" xfId="57" applyFont="1" applyFill="1" applyAlignment="1">
      <alignment horizontal="left"/>
    </xf>
    <xf numFmtId="0" fontId="22" fillId="24" borderId="12" xfId="41" applyFont="1" applyFill="1" applyBorder="1" applyAlignment="1">
      <alignment vertical="center" wrapText="1"/>
    </xf>
    <xf numFmtId="172" fontId="22" fillId="24" borderId="12" xfId="41" applyNumberFormat="1" applyFont="1" applyFill="1" applyBorder="1" applyAlignment="1">
      <alignment horizontal="left" vertical="center" wrapText="1"/>
    </xf>
    <xf numFmtId="0" fontId="22" fillId="25" borderId="12" xfId="41" applyFont="1" applyFill="1" applyBorder="1" applyAlignment="1">
      <alignment horizontal="center" vertical="center" wrapText="1"/>
    </xf>
    <xf numFmtId="0" fontId="22" fillId="24" borderId="12" xfId="41" applyFont="1" applyFill="1" applyBorder="1" applyAlignment="1">
      <alignment horizontal="center" vertical="center" wrapText="1"/>
    </xf>
    <xf numFmtId="0" fontId="27" fillId="24" borderId="0" xfId="41" applyFont="1" applyFill="1" applyBorder="1"/>
    <xf numFmtId="0" fontId="22" fillId="24" borderId="0" xfId="41" applyFont="1" applyFill="1" applyBorder="1"/>
    <xf numFmtId="0" fontId="22" fillId="25" borderId="0" xfId="41" applyFont="1" applyFill="1" applyBorder="1" applyAlignment="1">
      <alignment horizontal="right" wrapText="1"/>
    </xf>
    <xf numFmtId="3" fontId="27" fillId="24" borderId="0" xfId="41" applyNumberFormat="1" applyFont="1" applyFill="1" applyAlignment="1">
      <alignment horizontal="right" indent="1"/>
    </xf>
    <xf numFmtId="173" fontId="27" fillId="24" borderId="0" xfId="41" applyNumberFormat="1" applyFont="1" applyFill="1" applyAlignment="1">
      <alignment horizontal="right" indent="1"/>
    </xf>
    <xf numFmtId="3" fontId="22" fillId="24" borderId="0" xfId="41" applyNumberFormat="1" applyFont="1" applyFill="1" applyAlignment="1">
      <alignment horizontal="right" indent="1"/>
    </xf>
    <xf numFmtId="173" fontId="22" fillId="24" borderId="0" xfId="41" applyNumberFormat="1" applyFont="1" applyFill="1" applyAlignment="1">
      <alignment horizontal="right" indent="1"/>
    </xf>
    <xf numFmtId="3" fontId="27" fillId="24" borderId="0" xfId="41" applyNumberFormat="1" applyFont="1" applyFill="1" applyAlignment="1">
      <alignment horizontal="right" vertical="center" indent="1"/>
    </xf>
    <xf numFmtId="173" fontId="27" fillId="24" borderId="0" xfId="41" applyNumberFormat="1" applyFont="1" applyFill="1" applyAlignment="1">
      <alignment horizontal="right" vertical="center" indent="1"/>
    </xf>
    <xf numFmtId="0" fontId="27" fillId="24" borderId="10" xfId="57" applyFont="1" applyFill="1" applyBorder="1" applyAlignment="1">
      <alignment horizontal="left" wrapText="1"/>
    </xf>
    <xf numFmtId="3" fontId="27" fillId="24" borderId="10" xfId="41" applyNumberFormat="1" applyFont="1" applyFill="1" applyBorder="1" applyAlignment="1">
      <alignment horizontal="center"/>
    </xf>
    <xf numFmtId="0" fontId="27" fillId="24" borderId="0" xfId="57" applyFont="1" applyFill="1" applyBorder="1" applyAlignment="1">
      <alignment horizontal="left" wrapText="1"/>
    </xf>
    <xf numFmtId="3" fontId="27" fillId="24" borderId="0" xfId="41" applyNumberFormat="1" applyFont="1" applyFill="1" applyBorder="1" applyAlignment="1">
      <alignment horizontal="center"/>
    </xf>
    <xf numFmtId="0" fontId="22" fillId="24" borderId="0" xfId="41" applyFont="1" applyFill="1" applyAlignment="1">
      <alignment wrapText="1"/>
    </xf>
    <xf numFmtId="0" fontId="22" fillId="24" borderId="0" xfId="41" applyFont="1" applyFill="1" applyAlignment="1"/>
    <xf numFmtId="0" fontId="22" fillId="24" borderId="0" xfId="41" applyFont="1" applyFill="1" applyAlignment="1">
      <alignment horizontal="right"/>
    </xf>
    <xf numFmtId="0" fontId="35" fillId="0" borderId="0" xfId="0" applyFont="1" applyAlignment="1">
      <alignment horizontal="left"/>
    </xf>
    <xf numFmtId="0" fontId="24" fillId="0" borderId="0" xfId="56" applyFont="1" applyFill="1" applyAlignment="1">
      <alignment horizontal="left"/>
    </xf>
    <xf numFmtId="0" fontId="24" fillId="0" borderId="0" xfId="0" applyFont="1" applyAlignment="1">
      <alignment horizontal="left"/>
    </xf>
    <xf numFmtId="172" fontId="22" fillId="0" borderId="12" xfId="56" applyNumberFormat="1" applyFont="1" applyFill="1" applyBorder="1" applyAlignment="1">
      <alignment horizontal="center" vertical="center"/>
    </xf>
    <xf numFmtId="0" fontId="22" fillId="0" borderId="0" xfId="0" applyFont="1" applyFill="1" applyAlignment="1">
      <alignment horizontal="left" wrapText="1"/>
    </xf>
    <xf numFmtId="0" fontId="0" fillId="0" borderId="0" xfId="0" applyAlignment="1">
      <alignment wrapText="1"/>
    </xf>
    <xf numFmtId="0" fontId="38" fillId="0" borderId="0" xfId="56" applyFont="1" applyFill="1" applyAlignment="1">
      <alignment horizontal="left" wrapText="1"/>
    </xf>
    <xf numFmtId="0" fontId="22" fillId="0" borderId="0" xfId="0" applyFont="1" applyAlignment="1">
      <alignment horizontal="left"/>
    </xf>
    <xf numFmtId="0" fontId="0" fillId="0" borderId="0" xfId="0" applyAlignment="1"/>
    <xf numFmtId="0" fontId="22" fillId="0" borderId="0" xfId="56" applyFont="1" applyFill="1" applyAlignment="1">
      <alignment horizontal="left"/>
    </xf>
    <xf numFmtId="0" fontId="24" fillId="0" borderId="0" xfId="56" applyFont="1" applyFill="1" applyAlignment="1">
      <alignment horizontal="left" wrapText="1"/>
    </xf>
    <xf numFmtId="1" fontId="22" fillId="0" borderId="0" xfId="56" applyNumberFormat="1" applyFont="1" applyFill="1" applyBorder="1" applyAlignment="1">
      <alignment horizontal="right" vertical="center"/>
    </xf>
    <xf numFmtId="0" fontId="1" fillId="0" borderId="0" xfId="0" applyFont="1" applyAlignment="1">
      <alignment wrapText="1"/>
    </xf>
    <xf numFmtId="0" fontId="22" fillId="0" borderId="0" xfId="0" applyFont="1" applyAlignment="1">
      <alignment horizontal="left" wrapText="1"/>
    </xf>
    <xf numFmtId="0" fontId="22" fillId="0" borderId="0" xfId="47" applyFont="1" applyFill="1" applyAlignment="1">
      <alignment horizontal="left" wrapText="1"/>
    </xf>
    <xf numFmtId="0" fontId="22" fillId="0" borderId="0" xfId="43" applyFont="1" applyAlignment="1">
      <alignment horizontal="left"/>
    </xf>
    <xf numFmtId="0" fontId="1" fillId="0" borderId="0" xfId="0" applyFont="1" applyAlignment="1"/>
    <xf numFmtId="0" fontId="22" fillId="0" borderId="0" xfId="0" applyFont="1" applyAlignment="1">
      <alignment horizontal="left" vertical="center" wrapText="1"/>
    </xf>
    <xf numFmtId="0" fontId="22" fillId="0" borderId="0" xfId="56" applyFont="1" applyFill="1" applyAlignment="1">
      <alignment horizontal="left" vertical="top"/>
    </xf>
    <xf numFmtId="0" fontId="22" fillId="0" borderId="0" xfId="0" applyFont="1" applyAlignment="1">
      <alignment horizontal="left" vertical="top"/>
    </xf>
    <xf numFmtId="0" fontId="22" fillId="0" borderId="0" xfId="0" applyFont="1" applyAlignment="1">
      <alignment horizontal="left" vertical="top" wrapText="1"/>
    </xf>
    <xf numFmtId="0" fontId="0" fillId="0" borderId="0" xfId="0" applyAlignment="1">
      <alignment horizontal="left" vertical="top"/>
    </xf>
    <xf numFmtId="174" fontId="24" fillId="0" borderId="0" xfId="54" applyFont="1" applyAlignment="1">
      <alignment horizontal="left"/>
    </xf>
    <xf numFmtId="173" fontId="22" fillId="0" borderId="12" xfId="54" applyNumberFormat="1" applyFont="1" applyBorder="1" applyAlignment="1">
      <alignment horizontal="center" vertical="center"/>
    </xf>
    <xf numFmtId="173" fontId="22" fillId="0" borderId="0" xfId="51" applyNumberFormat="1" applyFont="1" applyBorder="1" applyAlignment="1">
      <alignment horizontal="left" vertical="top" wrapText="1"/>
    </xf>
    <xf numFmtId="0" fontId="22" fillId="0" borderId="0" xfId="0" applyFont="1" applyFill="1" applyAlignment="1">
      <alignment horizontal="left" vertical="top" wrapText="1"/>
    </xf>
    <xf numFmtId="174" fontId="24" fillId="0" borderId="0" xfId="54" applyFont="1" applyAlignment="1">
      <alignment horizontal="left" wrapText="1"/>
    </xf>
    <xf numFmtId="0" fontId="22" fillId="0" borderId="0" xfId="0" applyFont="1" applyFill="1" applyAlignment="1">
      <alignment horizontal="left"/>
    </xf>
    <xf numFmtId="0" fontId="1" fillId="0" borderId="0" xfId="0" applyFont="1" applyFill="1" applyAlignment="1"/>
    <xf numFmtId="0" fontId="0" fillId="0" borderId="0" xfId="0" applyAlignment="1">
      <alignment horizontal="left"/>
    </xf>
    <xf numFmtId="0" fontId="22" fillId="0" borderId="0" xfId="44" applyFont="1" applyAlignment="1">
      <alignment horizontal="left" vertical="center"/>
    </xf>
    <xf numFmtId="173" fontId="22" fillId="0" borderId="10" xfId="54" applyNumberFormat="1" applyFont="1" applyBorder="1" applyAlignment="1">
      <alignment horizontal="right" vertical="center"/>
    </xf>
    <xf numFmtId="3" fontId="22" fillId="0" borderId="11" xfId="54" applyNumberFormat="1" applyFont="1" applyBorder="1" applyAlignment="1">
      <alignment horizontal="center" vertical="center" wrapText="1"/>
    </xf>
    <xf numFmtId="3" fontId="22" fillId="0" borderId="10" xfId="54" applyNumberFormat="1" applyFont="1" applyBorder="1" applyAlignment="1">
      <alignment horizontal="center" vertical="center" wrapText="1"/>
    </xf>
    <xf numFmtId="0" fontId="22" fillId="0" borderId="0" xfId="44" applyFont="1" applyFill="1" applyAlignment="1">
      <alignment horizontal="left" vertical="center"/>
    </xf>
    <xf numFmtId="0" fontId="22" fillId="0" borderId="0" xfId="50" applyFont="1" applyAlignment="1">
      <alignment horizontal="left"/>
    </xf>
    <xf numFmtId="0" fontId="24" fillId="0" borderId="0" xfId="50" applyFont="1" applyAlignment="1">
      <alignment horizontal="left"/>
    </xf>
    <xf numFmtId="3" fontId="22" fillId="0" borderId="12" xfId="54" applyNumberFormat="1" applyFont="1" applyBorder="1" applyAlignment="1">
      <alignment horizontal="center" vertical="center"/>
    </xf>
    <xf numFmtId="0" fontId="22" fillId="0" borderId="11" xfId="42" applyFont="1" applyBorder="1" applyAlignment="1">
      <alignment horizontal="center" vertical="center" wrapText="1"/>
    </xf>
    <xf numFmtId="0" fontId="22" fillId="0" borderId="10" xfId="42" applyFont="1" applyBorder="1" applyAlignment="1">
      <alignment horizontal="center" vertical="center" wrapText="1"/>
    </xf>
    <xf numFmtId="0" fontId="22" fillId="0" borderId="0" xfId="0" applyFont="1" applyFill="1" applyAlignment="1"/>
    <xf numFmtId="0" fontId="24" fillId="0" borderId="0" xfId="50" applyFont="1" applyAlignment="1">
      <alignment horizontal="left" wrapText="1"/>
    </xf>
    <xf numFmtId="3" fontId="22" fillId="0" borderId="10" xfId="50" applyNumberFormat="1" applyFont="1" applyBorder="1" applyAlignment="1">
      <alignment horizontal="right"/>
    </xf>
    <xf numFmtId="0" fontId="22" fillId="0" borderId="0" xfId="50" applyFont="1" applyBorder="1" applyAlignment="1">
      <alignment wrapText="1"/>
    </xf>
    <xf numFmtId="0" fontId="22" fillId="0" borderId="0" xfId="50" applyFont="1" applyAlignment="1">
      <alignment horizontal="left" wrapText="1"/>
    </xf>
    <xf numFmtId="172" fontId="22" fillId="0" borderId="0" xfId="0" applyNumberFormat="1" applyFont="1" applyAlignment="1">
      <alignment horizontal="left" wrapText="1"/>
    </xf>
    <xf numFmtId="0" fontId="22" fillId="0" borderId="11" xfId="0" applyFont="1" applyBorder="1" applyAlignment="1">
      <alignment horizontal="center" vertical="center" wrapText="1"/>
    </xf>
    <xf numFmtId="0" fontId="22" fillId="0" borderId="10" xfId="0" applyFont="1" applyBorder="1" applyAlignment="1">
      <alignment horizontal="center" vertical="center" wrapText="1"/>
    </xf>
    <xf numFmtId="172" fontId="22" fillId="0" borderId="0" xfId="0" applyNumberFormat="1" applyFont="1" applyAlignment="1">
      <alignment horizontal="left"/>
    </xf>
    <xf numFmtId="0" fontId="24" fillId="0" borderId="13" xfId="41" applyFont="1" applyFill="1" applyBorder="1" applyAlignment="1" applyProtection="1">
      <alignment horizontal="center"/>
      <protection locked="0" hidden="1"/>
    </xf>
    <xf numFmtId="0" fontId="24" fillId="0" borderId="15" xfId="41" applyFont="1" applyFill="1" applyBorder="1" applyAlignment="1" applyProtection="1">
      <alignment horizontal="center"/>
      <protection locked="0" hidden="1"/>
    </xf>
    <xf numFmtId="0" fontId="24" fillId="0" borderId="0" xfId="44" applyFont="1" applyAlignment="1">
      <alignment horizontal="left"/>
    </xf>
    <xf numFmtId="0" fontId="22" fillId="0" borderId="12" xfId="0" applyFont="1" applyBorder="1" applyAlignment="1">
      <alignment horizontal="center" wrapText="1"/>
    </xf>
    <xf numFmtId="3" fontId="22" fillId="0" borderId="11" xfId="41" applyNumberFormat="1" applyFont="1" applyBorder="1" applyAlignment="1" applyProtection="1">
      <alignment horizontal="center" vertical="center" wrapText="1"/>
      <protection locked="0" hidden="1"/>
    </xf>
    <xf numFmtId="3" fontId="22" fillId="0" borderId="10" xfId="41" applyNumberFormat="1" applyFont="1" applyBorder="1" applyAlignment="1" applyProtection="1">
      <alignment horizontal="center" vertical="center" wrapText="1"/>
      <protection locked="0" hidden="1"/>
    </xf>
    <xf numFmtId="172" fontId="22" fillId="0" borderId="12" xfId="0" applyNumberFormat="1" applyFont="1" applyBorder="1" applyAlignment="1">
      <alignment horizontal="center" vertical="center" wrapText="1"/>
    </xf>
    <xf numFmtId="172" fontId="22" fillId="0" borderId="11" xfId="0" applyNumberFormat="1" applyFont="1" applyBorder="1" applyAlignment="1">
      <alignment horizontal="center" vertical="center" wrapText="1"/>
    </xf>
    <xf numFmtId="172" fontId="22" fillId="0" borderId="10" xfId="0" applyNumberFormat="1" applyFont="1" applyBorder="1" applyAlignment="1">
      <alignment horizontal="center" vertical="center" wrapText="1"/>
    </xf>
    <xf numFmtId="172" fontId="24" fillId="0" borderId="0" xfId="44" applyNumberFormat="1" applyFont="1" applyAlignment="1">
      <alignment wrapText="1"/>
    </xf>
    <xf numFmtId="0" fontId="22" fillId="24" borderId="11" xfId="0" applyFont="1" applyFill="1" applyBorder="1" applyAlignment="1">
      <alignment horizontal="left" vertical="center" wrapText="1"/>
    </xf>
    <xf numFmtId="0" fontId="22" fillId="24" borderId="0" xfId="0" applyFont="1" applyFill="1" applyBorder="1" applyAlignment="1">
      <alignment horizontal="left" vertical="center" wrapText="1"/>
    </xf>
    <xf numFmtId="0" fontId="22" fillId="24" borderId="10" xfId="0" applyFont="1" applyFill="1" applyBorder="1" applyAlignment="1">
      <alignment horizontal="left" vertical="center" wrapText="1"/>
    </xf>
    <xf numFmtId="0" fontId="27" fillId="0" borderId="13" xfId="41" applyFont="1" applyFill="1" applyBorder="1" applyAlignment="1" applyProtection="1">
      <alignment horizontal="center"/>
      <protection locked="0"/>
    </xf>
    <xf numFmtId="0" fontId="27" fillId="0" borderId="15" xfId="41" applyFont="1" applyFill="1" applyBorder="1" applyAlignment="1" applyProtection="1">
      <alignment horizontal="center"/>
      <protection locked="0"/>
    </xf>
    <xf numFmtId="0" fontId="22" fillId="0" borderId="12" xfId="44" applyNumberFormat="1" applyFont="1" applyBorder="1" applyAlignment="1">
      <alignment horizontal="center"/>
    </xf>
    <xf numFmtId="0" fontId="27" fillId="0" borderId="13" xfId="41" applyFont="1" applyFill="1" applyBorder="1" applyAlignment="1" applyProtection="1">
      <alignment horizontal="center"/>
      <protection locked="0" hidden="1"/>
    </xf>
    <xf numFmtId="0" fontId="27" fillId="0" borderId="15" xfId="41" applyFont="1" applyFill="1" applyBorder="1" applyAlignment="1" applyProtection="1">
      <alignment horizontal="center"/>
      <protection locked="0" hidden="1"/>
    </xf>
    <xf numFmtId="49" fontId="22" fillId="0" borderId="10" xfId="44" applyNumberFormat="1" applyFont="1" applyBorder="1" applyAlignment="1">
      <alignment horizontal="center"/>
    </xf>
    <xf numFmtId="172" fontId="24" fillId="0" borderId="0" xfId="44" applyNumberFormat="1" applyFont="1" applyAlignment="1">
      <alignment horizontal="left"/>
    </xf>
    <xf numFmtId="0" fontId="22" fillId="0" borderId="0" xfId="0" applyFont="1" applyBorder="1" applyAlignment="1">
      <alignment horizontal="center" vertical="center" wrapText="1"/>
    </xf>
    <xf numFmtId="0" fontId="22" fillId="0" borderId="12" xfId="0" applyFont="1" applyBorder="1" applyAlignment="1">
      <alignment horizontal="center" vertical="center"/>
    </xf>
    <xf numFmtId="0" fontId="22" fillId="0" borderId="12" xfId="0" applyFont="1" applyFill="1" applyBorder="1" applyAlignment="1">
      <alignment horizontal="center" vertical="center" wrapText="1"/>
    </xf>
    <xf numFmtId="172" fontId="25" fillId="0" borderId="0" xfId="0" applyNumberFormat="1" applyFont="1" applyAlignment="1">
      <alignment horizontal="left"/>
    </xf>
    <xf numFmtId="0" fontId="22" fillId="0" borderId="0" xfId="0" applyFont="1" applyFill="1" applyAlignment="1">
      <alignment wrapText="1"/>
    </xf>
    <xf numFmtId="1" fontId="24" fillId="24" borderId="0" xfId="0" applyNumberFormat="1" applyFont="1" applyFill="1" applyAlignment="1">
      <alignment horizontal="left" wrapText="1"/>
    </xf>
    <xf numFmtId="0" fontId="22" fillId="24" borderId="12" xfId="0" applyFont="1" applyFill="1" applyBorder="1" applyAlignment="1">
      <alignment horizontal="center"/>
    </xf>
    <xf numFmtId="0" fontId="22" fillId="24" borderId="0" xfId="0" applyFont="1" applyFill="1" applyAlignment="1">
      <alignment horizontal="left"/>
    </xf>
    <xf numFmtId="0" fontId="22" fillId="24" borderId="0" xfId="0" applyFont="1" applyFill="1" applyAlignment="1">
      <alignment horizontal="left" wrapText="1"/>
    </xf>
    <xf numFmtId="0" fontId="22" fillId="24" borderId="0" xfId="41" applyFont="1" applyFill="1" applyAlignment="1">
      <alignment horizontal="left" wrapText="1"/>
    </xf>
    <xf numFmtId="0" fontId="1" fillId="24" borderId="0" xfId="41" applyFill="1" applyAlignment="1">
      <alignment horizontal="left" wrapText="1"/>
    </xf>
    <xf numFmtId="0" fontId="24" fillId="24" borderId="0" xfId="41" applyFont="1" applyFill="1" applyAlignment="1">
      <alignment horizontal="left" wrapText="1"/>
    </xf>
    <xf numFmtId="0" fontId="24" fillId="24" borderId="0" xfId="41" applyFont="1" applyFill="1" applyAlignment="1">
      <alignment horizontal="left"/>
    </xf>
    <xf numFmtId="0" fontId="27" fillId="0" borderId="0" xfId="47" applyFont="1" applyFill="1" applyAlignment="1">
      <alignment wrapText="1"/>
    </xf>
    <xf numFmtId="0" fontId="35" fillId="0" borderId="0" xfId="41" applyFont="1" applyFill="1" applyAlignment="1">
      <alignment wrapText="1"/>
    </xf>
    <xf numFmtId="0" fontId="22" fillId="0" borderId="0" xfId="41" applyFont="1" applyFill="1" applyAlignment="1">
      <alignment horizontal="left" wrapText="1"/>
    </xf>
    <xf numFmtId="3" fontId="22" fillId="0" borderId="12" xfId="41" applyNumberFormat="1" applyFont="1" applyBorder="1" applyAlignment="1" applyProtection="1">
      <alignment vertical="center" wrapText="1"/>
      <protection locked="0" hidden="1"/>
    </xf>
    <xf numFmtId="0" fontId="0" fillId="0" borderId="10" xfId="0" applyBorder="1"/>
    <xf numFmtId="3" fontId="22" fillId="0" borderId="12" xfId="41" applyNumberFormat="1" applyFont="1" applyBorder="1" applyAlignment="1" applyProtection="1">
      <alignment vertical="top" wrapText="1"/>
      <protection locked="0" hidden="1"/>
    </xf>
  </cellXfs>
  <cellStyles count="6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_SFR33_2009Tablesv2 2" xfId="36" xr:uid="{D07D7C9D-FB5A-4F80-A087-C5388AF152B7}"/>
    <cellStyle name="Input" xfId="37" builtinId="20" customBuiltin="1"/>
    <cellStyle name="Linked Cell" xfId="38" builtinId="24" customBuiltin="1"/>
    <cellStyle name="Neutral" xfId="39" builtinId="28" customBuiltin="1"/>
    <cellStyle name="Normal" xfId="0" builtinId="0"/>
    <cellStyle name="Normal 2" xfId="40" xr:uid="{DFFF385B-3811-422F-8E6B-707F34FEB02C}"/>
    <cellStyle name="Normal 2 2" xfId="41" xr:uid="{E41901C0-B934-4BF5-821C-BD85D9499A6B}"/>
    <cellStyle name="Normal_GCSE_rev03_tabs" xfId="42" xr:uid="{0240EEC7-9444-44F2-9D5C-E0DE1B776D8E}"/>
    <cellStyle name="Normal_GCSESFR_Jan05_skeletontabsv1.2" xfId="43" xr:uid="{00506BEA-0447-413A-8B6E-AD994839BC02}"/>
    <cellStyle name="Normal_SB97T19" xfId="44" xr:uid="{BB37054B-C83D-4A9F-8CFB-CE569E4BB914}"/>
    <cellStyle name="Normal_SB98T19" xfId="45" xr:uid="{3873AC49-123B-43EA-AA40-A61709D3589E}"/>
    <cellStyle name="Normal_SFR_PROV02_T11" xfId="46" xr:uid="{EBAF995D-C1B1-4E93-8460-DDAC46E2FE67}"/>
    <cellStyle name="Normal_SFR04_fin_Table 4_pr" xfId="47" xr:uid="{9828F2FE-B93E-42D4-8FA8-DEDF75D81301}"/>
    <cellStyle name="Normal_SFR04_Table12" xfId="48" xr:uid="{F4487C06-D846-41EC-B0D9-95CE9E65725D}"/>
    <cellStyle name="Normal_SfrOct00tabs2" xfId="49" xr:uid="{1DA4CB6E-46F0-4F97-B874-9F2FFDEB0707}"/>
    <cellStyle name="Normal_Sheet1" xfId="50" xr:uid="{F9D2D6B9-8BF3-42D0-AC20-E3F7DA79AC21}"/>
    <cellStyle name="Normal_Table 9 CP" xfId="51" xr:uid="{4EF55A98-769E-44B0-B3CE-13414E754593}"/>
    <cellStyle name="Normal_Table02a_jv" xfId="52" xr:uid="{48A87190-E89A-42A5-9567-DF4047D90AE5}"/>
    <cellStyle name="Normal_table1_MN" xfId="53" xr:uid="{A0336162-04B3-44D5-8343-51F60F1E0BA2}"/>
    <cellStyle name="Normal_TABLE4F" xfId="54" xr:uid="{EEB7168B-6AC5-4429-82C8-B2636BFD62C9}"/>
    <cellStyle name="Normal_Tables 6 and 7" xfId="55" xr:uid="{53E53576-46C6-48DD-AC78-F245410F749F}"/>
    <cellStyle name="Normal_tables02_Dave" xfId="56" xr:uid="{3A0816B6-C8D5-4209-B5CC-B54593C9EEB5}"/>
    <cellStyle name="Normal_volume2000" xfId="57" xr:uid="{90BB153A-17F0-4107-AABA-0FA0BB14DA2F}"/>
    <cellStyle name="Note" xfId="58" builtinId="10" customBuiltin="1"/>
    <cellStyle name="Output" xfId="59" builtinId="21" customBuiltin="1"/>
    <cellStyle name="Percent" xfId="60" builtinId="5"/>
    <cellStyle name="Percent 2" xfId="61" xr:uid="{BD6838C7-3ED8-40BA-9683-048690F9DB4C}"/>
    <cellStyle name="Title" xfId="62" builtinId="15" customBuiltin="1"/>
    <cellStyle name="Total" xfId="63" builtinId="25" customBuiltin="1"/>
    <cellStyle name="Warning Text" xfId="64" builtinId="11" customBuiltin="1"/>
  </cellStyles>
  <dxfs count="19">
    <dxf>
      <fill>
        <patternFill>
          <bgColor indexed="4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0</xdr:rowOff>
    </xdr:from>
    <xdr:to>
      <xdr:col>0</xdr:col>
      <xdr:colOff>795385</xdr:colOff>
      <xdr:row>0</xdr:row>
      <xdr:rowOff>0</xdr:rowOff>
    </xdr:to>
    <xdr:sp macro="" textlink="">
      <xdr:nvSpPr>
        <xdr:cNvPr id="6145" name="Text Box 1">
          <a:extLst>
            <a:ext uri="{FF2B5EF4-FFF2-40B4-BE49-F238E27FC236}">
              <a16:creationId xmlns:a16="http://schemas.microsoft.com/office/drawing/2014/main" id="{EC772AB1-37ED-2F52-D6F9-BD408CC22B74}"/>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46" name="Text Box 2">
          <a:extLst>
            <a:ext uri="{FF2B5EF4-FFF2-40B4-BE49-F238E27FC236}">
              <a16:creationId xmlns:a16="http://schemas.microsoft.com/office/drawing/2014/main" id="{CF48575C-4374-B123-D9B7-032BC8B93477}"/>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0</xdr:col>
      <xdr:colOff>28575</xdr:colOff>
      <xdr:row>0</xdr:row>
      <xdr:rowOff>0</xdr:rowOff>
    </xdr:from>
    <xdr:to>
      <xdr:col>0</xdr:col>
      <xdr:colOff>795385</xdr:colOff>
      <xdr:row>0</xdr:row>
      <xdr:rowOff>0</xdr:rowOff>
    </xdr:to>
    <xdr:sp macro="" textlink="">
      <xdr:nvSpPr>
        <xdr:cNvPr id="6147" name="Text Box 3">
          <a:extLst>
            <a:ext uri="{FF2B5EF4-FFF2-40B4-BE49-F238E27FC236}">
              <a16:creationId xmlns:a16="http://schemas.microsoft.com/office/drawing/2014/main" id="{CB1A5CA8-EC3C-ABDE-94C7-FC5F6F1D03F9}"/>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48" name="Text Box 4">
          <a:extLst>
            <a:ext uri="{FF2B5EF4-FFF2-40B4-BE49-F238E27FC236}">
              <a16:creationId xmlns:a16="http://schemas.microsoft.com/office/drawing/2014/main" id="{C8A60DA6-BCEE-8869-4C72-B75A3C6E478B}"/>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0</xdr:col>
      <xdr:colOff>28575</xdr:colOff>
      <xdr:row>0</xdr:row>
      <xdr:rowOff>0</xdr:rowOff>
    </xdr:from>
    <xdr:to>
      <xdr:col>0</xdr:col>
      <xdr:colOff>795385</xdr:colOff>
      <xdr:row>0</xdr:row>
      <xdr:rowOff>0</xdr:rowOff>
    </xdr:to>
    <xdr:sp macro="" textlink="">
      <xdr:nvSpPr>
        <xdr:cNvPr id="6149" name="Text Box 5">
          <a:extLst>
            <a:ext uri="{FF2B5EF4-FFF2-40B4-BE49-F238E27FC236}">
              <a16:creationId xmlns:a16="http://schemas.microsoft.com/office/drawing/2014/main" id="{C4F07BED-5CAC-CCDB-1095-83DB871253FC}"/>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50" name="Text Box 6">
          <a:extLst>
            <a:ext uri="{FF2B5EF4-FFF2-40B4-BE49-F238E27FC236}">
              <a16:creationId xmlns:a16="http://schemas.microsoft.com/office/drawing/2014/main" id="{E5085EA8-10D0-8583-A1B6-701CC8761519}"/>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0</xdr:col>
      <xdr:colOff>28575</xdr:colOff>
      <xdr:row>0</xdr:row>
      <xdr:rowOff>0</xdr:rowOff>
    </xdr:from>
    <xdr:to>
      <xdr:col>0</xdr:col>
      <xdr:colOff>795385</xdr:colOff>
      <xdr:row>0</xdr:row>
      <xdr:rowOff>0</xdr:rowOff>
    </xdr:to>
    <xdr:sp macro="" textlink="">
      <xdr:nvSpPr>
        <xdr:cNvPr id="6151" name="Text Box 7">
          <a:extLst>
            <a:ext uri="{FF2B5EF4-FFF2-40B4-BE49-F238E27FC236}">
              <a16:creationId xmlns:a16="http://schemas.microsoft.com/office/drawing/2014/main" id="{54DE87A9-39DD-D9C5-1EA9-EB6DB7014DC4}"/>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52" name="Text Box 8">
          <a:extLst>
            <a:ext uri="{FF2B5EF4-FFF2-40B4-BE49-F238E27FC236}">
              <a16:creationId xmlns:a16="http://schemas.microsoft.com/office/drawing/2014/main" id="{244BDBE5-0D4B-753A-519E-BDF82568DFF7}"/>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0</xdr:col>
      <xdr:colOff>28575</xdr:colOff>
      <xdr:row>0</xdr:row>
      <xdr:rowOff>0</xdr:rowOff>
    </xdr:from>
    <xdr:to>
      <xdr:col>0</xdr:col>
      <xdr:colOff>795385</xdr:colOff>
      <xdr:row>0</xdr:row>
      <xdr:rowOff>0</xdr:rowOff>
    </xdr:to>
    <xdr:sp macro="" textlink="">
      <xdr:nvSpPr>
        <xdr:cNvPr id="6153" name="Text Box 9">
          <a:extLst>
            <a:ext uri="{FF2B5EF4-FFF2-40B4-BE49-F238E27FC236}">
              <a16:creationId xmlns:a16="http://schemas.microsoft.com/office/drawing/2014/main" id="{2AC1A6CC-79DB-0967-D354-5D184FFF2A4C}"/>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54" name="Text Box 10">
          <a:extLst>
            <a:ext uri="{FF2B5EF4-FFF2-40B4-BE49-F238E27FC236}">
              <a16:creationId xmlns:a16="http://schemas.microsoft.com/office/drawing/2014/main" id="{5853A7A5-CBE9-BEFD-229D-08890B87AF7F}"/>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0</xdr:col>
      <xdr:colOff>28575</xdr:colOff>
      <xdr:row>0</xdr:row>
      <xdr:rowOff>0</xdr:rowOff>
    </xdr:from>
    <xdr:to>
      <xdr:col>0</xdr:col>
      <xdr:colOff>795385</xdr:colOff>
      <xdr:row>0</xdr:row>
      <xdr:rowOff>0</xdr:rowOff>
    </xdr:to>
    <xdr:sp macro="" textlink="">
      <xdr:nvSpPr>
        <xdr:cNvPr id="6155" name="Text Box 11">
          <a:extLst>
            <a:ext uri="{FF2B5EF4-FFF2-40B4-BE49-F238E27FC236}">
              <a16:creationId xmlns:a16="http://schemas.microsoft.com/office/drawing/2014/main" id="{CE034014-8900-57CE-E661-A16702CC14AA}"/>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56" name="Text Box 12">
          <a:extLst>
            <a:ext uri="{FF2B5EF4-FFF2-40B4-BE49-F238E27FC236}">
              <a16:creationId xmlns:a16="http://schemas.microsoft.com/office/drawing/2014/main" id="{E2D91A89-5C5C-3659-28C4-75471297A89F}"/>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cguk.sharepoint.com/sites/1003-C2774/Shared%2520Documents/Unit%252010%2520-%2520Big%2520Data%2520and%2520Business%2520Analytics/SFR01_2014_ATv2.xls" TargetMode="External"/><Relationship Id="rId1" Type="http://schemas.openxmlformats.org/officeDocument/2006/relationships/externalLinkPath" Target="/ucguk.sharepoint.com/sites/1003-C2774/Shared%2520Documents/Unit%252010%2520-%2520Big%2520Data%2520and%2520Business%2520Analytics/SFR01_2014_ATv2.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cguk.sharepoint.com/sites/1003-C2774/Shared%2520Documents/Unit%252010%2520-%2520Big%2520Data%2520and%2520Business%2520Analytics/SFR01_2014_AT.xls" TargetMode="External"/><Relationship Id="rId1" Type="http://schemas.openxmlformats.org/officeDocument/2006/relationships/externalLinkPath" Target="/ucguk.sharepoint.com/sites/1003-C2774/Shared%2520Documents/Unit%252010%2520-%2520Big%2520Data%2520and%2520Business%2520Analytics/SFR01_2014_A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Table 7"/>
      <sheetName val="Table 8"/>
      <sheetName val="Table 9"/>
      <sheetName val="Table 10a"/>
      <sheetName val="Table 10b"/>
      <sheetName val="Table 11"/>
      <sheetName val="Table 12"/>
      <sheetName val="Table 13"/>
      <sheetName val="Table 14"/>
      <sheetName val="Table 15"/>
      <sheetName val="Table 16 data"/>
      <sheetName val="Table 17 data"/>
      <sheetName val="Table 19 data"/>
      <sheetName val="Table 20 data"/>
      <sheetName val="Table 16"/>
      <sheetName val="Table 17"/>
      <sheetName val="Table 18"/>
      <sheetName val="Table 19"/>
      <sheetName val="Table 20"/>
      <sheetName val="Table 21"/>
    </sheetNames>
    <sheetDataSet>
      <sheetData sheetId="0" refreshError="1"/>
      <sheetData sheetId="1"/>
      <sheetData sheetId="2"/>
      <sheetData sheetId="3"/>
      <sheetData sheetId="4"/>
      <sheetData sheetId="5"/>
      <sheetData sheetId="6"/>
      <sheetData sheetId="7"/>
      <sheetData sheetId="8"/>
      <sheetData sheetId="9"/>
      <sheetData sheetId="10"/>
      <sheetData sheetId="11">
        <row r="3">
          <cell r="B3" t="str">
            <v>North East</v>
          </cell>
          <cell r="D3">
            <v>14623</v>
          </cell>
          <cell r="E3">
            <v>85.5</v>
          </cell>
          <cell r="F3">
            <v>54.7</v>
          </cell>
          <cell r="G3">
            <v>94.3</v>
          </cell>
          <cell r="H3">
            <v>92.4</v>
          </cell>
          <cell r="I3">
            <v>99</v>
          </cell>
          <cell r="J3">
            <v>334.9</v>
          </cell>
          <cell r="K3">
            <v>471.9</v>
          </cell>
          <cell r="L3">
            <v>94.9</v>
          </cell>
          <cell r="M3">
            <v>55.1</v>
          </cell>
          <cell r="O3">
            <v>14171</v>
          </cell>
          <cell r="P3">
            <v>90.4</v>
          </cell>
          <cell r="Q3">
            <v>64.099999999999994</v>
          </cell>
          <cell r="R3">
            <v>96.7</v>
          </cell>
          <cell r="S3">
            <v>95.1</v>
          </cell>
          <cell r="T3">
            <v>99.4</v>
          </cell>
          <cell r="U3">
            <v>358.4</v>
          </cell>
          <cell r="V3">
            <v>516.20000000000005</v>
          </cell>
          <cell r="W3">
            <v>97.4</v>
          </cell>
          <cell r="X3">
            <v>64.400000000000006</v>
          </cell>
          <cell r="Z3">
            <v>28794</v>
          </cell>
          <cell r="AA3">
            <v>87.9</v>
          </cell>
          <cell r="AB3">
            <v>59.3</v>
          </cell>
          <cell r="AC3">
            <v>95.5</v>
          </cell>
          <cell r="AD3">
            <v>93.7</v>
          </cell>
          <cell r="AE3">
            <v>99.2</v>
          </cell>
          <cell r="AF3">
            <v>346.5</v>
          </cell>
          <cell r="AG3">
            <v>493.7</v>
          </cell>
          <cell r="AH3">
            <v>96.2</v>
          </cell>
          <cell r="AI3">
            <v>59.7</v>
          </cell>
        </row>
        <row r="4">
          <cell r="B4" t="str">
            <v>County Durham</v>
          </cell>
          <cell r="D4">
            <v>2785</v>
          </cell>
          <cell r="E4">
            <v>89.1</v>
          </cell>
          <cell r="F4">
            <v>57.7</v>
          </cell>
          <cell r="G4">
            <v>95.4</v>
          </cell>
          <cell r="H4">
            <v>94.1</v>
          </cell>
          <cell r="I4">
            <v>99.5</v>
          </cell>
          <cell r="J4">
            <v>343.8</v>
          </cell>
          <cell r="K4">
            <v>490.4</v>
          </cell>
          <cell r="L4">
            <v>95.6</v>
          </cell>
          <cell r="M4">
            <v>58</v>
          </cell>
          <cell r="O4">
            <v>2684</v>
          </cell>
          <cell r="P4">
            <v>93.7</v>
          </cell>
          <cell r="Q4">
            <v>68.599999999999994</v>
          </cell>
          <cell r="R4">
            <v>97.7</v>
          </cell>
          <cell r="S4">
            <v>96.6</v>
          </cell>
          <cell r="T4">
            <v>99.9</v>
          </cell>
          <cell r="U4">
            <v>369.8</v>
          </cell>
          <cell r="V4">
            <v>543.1</v>
          </cell>
          <cell r="W4">
            <v>98</v>
          </cell>
          <cell r="X4">
            <v>68.8</v>
          </cell>
          <cell r="Z4">
            <v>5469</v>
          </cell>
          <cell r="AA4">
            <v>91.4</v>
          </cell>
          <cell r="AB4">
            <v>63.1</v>
          </cell>
          <cell r="AC4">
            <v>96.6</v>
          </cell>
          <cell r="AD4">
            <v>95.4</v>
          </cell>
          <cell r="AE4">
            <v>99.7</v>
          </cell>
          <cell r="AF4">
            <v>356.5</v>
          </cell>
          <cell r="AG4">
            <v>516.29999999999995</v>
          </cell>
          <cell r="AH4">
            <v>96.8</v>
          </cell>
          <cell r="AI4">
            <v>63.3</v>
          </cell>
        </row>
        <row r="5">
          <cell r="B5" t="str">
            <v>Darlington</v>
          </cell>
          <cell r="D5">
            <v>600</v>
          </cell>
          <cell r="E5">
            <v>88</v>
          </cell>
          <cell r="F5">
            <v>59.8</v>
          </cell>
          <cell r="G5">
            <v>94.7</v>
          </cell>
          <cell r="H5">
            <v>93.5</v>
          </cell>
          <cell r="I5">
            <v>99.7</v>
          </cell>
          <cell r="J5">
            <v>343</v>
          </cell>
          <cell r="K5">
            <v>486.4</v>
          </cell>
          <cell r="L5">
            <v>96.2</v>
          </cell>
          <cell r="M5">
            <v>60</v>
          </cell>
          <cell r="O5">
            <v>558</v>
          </cell>
          <cell r="P5">
            <v>92.7</v>
          </cell>
          <cell r="Q5">
            <v>70.099999999999994</v>
          </cell>
          <cell r="R5">
            <v>96.8</v>
          </cell>
          <cell r="S5">
            <v>95.5</v>
          </cell>
          <cell r="T5">
            <v>99.6</v>
          </cell>
          <cell r="U5">
            <v>364.6</v>
          </cell>
          <cell r="V5">
            <v>516.1</v>
          </cell>
          <cell r="W5">
            <v>97.8</v>
          </cell>
          <cell r="X5">
            <v>70.3</v>
          </cell>
          <cell r="Z5">
            <v>1158</v>
          </cell>
          <cell r="AA5">
            <v>90.2</v>
          </cell>
          <cell r="AB5">
            <v>64.8</v>
          </cell>
          <cell r="AC5">
            <v>95.7</v>
          </cell>
          <cell r="AD5">
            <v>94.5</v>
          </cell>
          <cell r="AE5">
            <v>99.7</v>
          </cell>
          <cell r="AF5">
            <v>353.4</v>
          </cell>
          <cell r="AG5">
            <v>500.7</v>
          </cell>
          <cell r="AH5">
            <v>97</v>
          </cell>
          <cell r="AI5">
            <v>64.900000000000006</v>
          </cell>
        </row>
        <row r="6">
          <cell r="B6" t="str">
            <v>Gateshead</v>
          </cell>
          <cell r="D6">
            <v>1099</v>
          </cell>
          <cell r="E6">
            <v>87.9</v>
          </cell>
          <cell r="F6">
            <v>56.9</v>
          </cell>
          <cell r="G6">
            <v>93.4</v>
          </cell>
          <cell r="H6">
            <v>92.5</v>
          </cell>
          <cell r="I6">
            <v>98.9</v>
          </cell>
          <cell r="J6">
            <v>337.5</v>
          </cell>
          <cell r="K6">
            <v>476.2</v>
          </cell>
          <cell r="L6">
            <v>95.6</v>
          </cell>
          <cell r="M6">
            <v>57.1</v>
          </cell>
          <cell r="O6">
            <v>1076</v>
          </cell>
          <cell r="P6">
            <v>92.8</v>
          </cell>
          <cell r="Q6">
            <v>66.7</v>
          </cell>
          <cell r="R6">
            <v>96.3</v>
          </cell>
          <cell r="S6">
            <v>95.2</v>
          </cell>
          <cell r="T6">
            <v>99.4</v>
          </cell>
          <cell r="U6">
            <v>361.9</v>
          </cell>
          <cell r="V6">
            <v>521.20000000000005</v>
          </cell>
          <cell r="W6">
            <v>97.3</v>
          </cell>
          <cell r="X6">
            <v>67</v>
          </cell>
          <cell r="Z6">
            <v>2175</v>
          </cell>
          <cell r="AA6">
            <v>90.3</v>
          </cell>
          <cell r="AB6">
            <v>61.7</v>
          </cell>
          <cell r="AC6">
            <v>94.9</v>
          </cell>
          <cell r="AD6">
            <v>93.8</v>
          </cell>
          <cell r="AE6">
            <v>99.2</v>
          </cell>
          <cell r="AF6">
            <v>349.6</v>
          </cell>
          <cell r="AG6">
            <v>498.4</v>
          </cell>
          <cell r="AH6">
            <v>96.5</v>
          </cell>
          <cell r="AI6">
            <v>62</v>
          </cell>
        </row>
        <row r="7">
          <cell r="B7" t="str">
            <v>Hartlepool</v>
          </cell>
          <cell r="D7">
            <v>582</v>
          </cell>
          <cell r="E7">
            <v>74.400000000000006</v>
          </cell>
          <cell r="F7">
            <v>53.4</v>
          </cell>
          <cell r="G7">
            <v>93.5</v>
          </cell>
          <cell r="H7">
            <v>91.6</v>
          </cell>
          <cell r="I7">
            <v>99.7</v>
          </cell>
          <cell r="J7">
            <v>316.39999999999998</v>
          </cell>
          <cell r="K7">
            <v>412.7</v>
          </cell>
          <cell r="L7">
            <v>95.5</v>
          </cell>
          <cell r="M7">
            <v>54.5</v>
          </cell>
          <cell r="O7">
            <v>585</v>
          </cell>
          <cell r="P7">
            <v>86.5</v>
          </cell>
          <cell r="Q7">
            <v>64.400000000000006</v>
          </cell>
          <cell r="R7">
            <v>97.4</v>
          </cell>
          <cell r="S7">
            <v>96.9</v>
          </cell>
          <cell r="T7">
            <v>100</v>
          </cell>
          <cell r="U7">
            <v>352.5</v>
          </cell>
          <cell r="V7">
            <v>473.4</v>
          </cell>
          <cell r="W7">
            <v>98.3</v>
          </cell>
          <cell r="X7">
            <v>65.5</v>
          </cell>
          <cell r="Z7">
            <v>1167</v>
          </cell>
          <cell r="AA7">
            <v>80.5</v>
          </cell>
          <cell r="AB7">
            <v>59</v>
          </cell>
          <cell r="AC7">
            <v>95.5</v>
          </cell>
          <cell r="AD7">
            <v>94.3</v>
          </cell>
          <cell r="AE7">
            <v>99.8</v>
          </cell>
          <cell r="AF7">
            <v>334.5</v>
          </cell>
          <cell r="AG7">
            <v>443.1</v>
          </cell>
          <cell r="AH7">
            <v>96.9</v>
          </cell>
          <cell r="AI7">
            <v>60</v>
          </cell>
        </row>
        <row r="8">
          <cell r="B8" t="str">
            <v>Middlesbrough</v>
          </cell>
          <cell r="D8">
            <v>758</v>
          </cell>
          <cell r="E8">
            <v>83.1</v>
          </cell>
          <cell r="F8">
            <v>47.9</v>
          </cell>
          <cell r="G8">
            <v>94.3</v>
          </cell>
          <cell r="H8">
            <v>90.1</v>
          </cell>
          <cell r="I8">
            <v>98</v>
          </cell>
          <cell r="J8">
            <v>325.39999999999998</v>
          </cell>
          <cell r="K8">
            <v>450.5</v>
          </cell>
          <cell r="L8">
            <v>93.5</v>
          </cell>
          <cell r="M8">
            <v>48.2</v>
          </cell>
          <cell r="O8">
            <v>752</v>
          </cell>
          <cell r="P8">
            <v>84</v>
          </cell>
          <cell r="Q8">
            <v>52.7</v>
          </cell>
          <cell r="R8">
            <v>94.4</v>
          </cell>
          <cell r="S8">
            <v>90.7</v>
          </cell>
          <cell r="T8">
            <v>98.9</v>
          </cell>
          <cell r="U8">
            <v>339.6</v>
          </cell>
          <cell r="V8">
            <v>473.5</v>
          </cell>
          <cell r="W8">
            <v>95.9</v>
          </cell>
          <cell r="X8">
            <v>52.9</v>
          </cell>
          <cell r="Z8">
            <v>1510</v>
          </cell>
          <cell r="AA8">
            <v>83.6</v>
          </cell>
          <cell r="AB8">
            <v>50.3</v>
          </cell>
          <cell r="AC8">
            <v>94.4</v>
          </cell>
          <cell r="AD8">
            <v>90.4</v>
          </cell>
          <cell r="AE8">
            <v>98.5</v>
          </cell>
          <cell r="AF8">
            <v>332.5</v>
          </cell>
          <cell r="AG8">
            <v>462</v>
          </cell>
          <cell r="AH8">
            <v>94.7</v>
          </cell>
          <cell r="AI8">
            <v>50.5</v>
          </cell>
        </row>
        <row r="9">
          <cell r="B9" t="str">
            <v>Newcastle upon Tyne</v>
          </cell>
          <cell r="D9">
            <v>1319</v>
          </cell>
          <cell r="E9">
            <v>88.6</v>
          </cell>
          <cell r="F9">
            <v>52.8</v>
          </cell>
          <cell r="G9">
            <v>93.6</v>
          </cell>
          <cell r="H9">
            <v>91.4</v>
          </cell>
          <cell r="I9">
            <v>99.2</v>
          </cell>
          <cell r="J9">
            <v>331.6</v>
          </cell>
          <cell r="K9">
            <v>464.8</v>
          </cell>
          <cell r="L9">
            <v>94</v>
          </cell>
          <cell r="M9">
            <v>52.9</v>
          </cell>
          <cell r="O9">
            <v>1259</v>
          </cell>
          <cell r="P9">
            <v>92.1</v>
          </cell>
          <cell r="Q9">
            <v>62.1</v>
          </cell>
          <cell r="R9">
            <v>95.6</v>
          </cell>
          <cell r="S9">
            <v>93.8</v>
          </cell>
          <cell r="T9">
            <v>99.2</v>
          </cell>
          <cell r="U9">
            <v>353.2</v>
          </cell>
          <cell r="V9">
            <v>512.79999999999995</v>
          </cell>
          <cell r="W9">
            <v>96.7</v>
          </cell>
          <cell r="X9">
            <v>62.6</v>
          </cell>
          <cell r="Z9">
            <v>2578</v>
          </cell>
          <cell r="AA9">
            <v>90.3</v>
          </cell>
          <cell r="AB9">
            <v>57.3</v>
          </cell>
          <cell r="AC9">
            <v>94.5</v>
          </cell>
          <cell r="AD9">
            <v>92.6</v>
          </cell>
          <cell r="AE9">
            <v>99.2</v>
          </cell>
          <cell r="AF9">
            <v>342.1</v>
          </cell>
          <cell r="AG9">
            <v>488.3</v>
          </cell>
          <cell r="AH9">
            <v>95.3</v>
          </cell>
          <cell r="AI9">
            <v>57.6</v>
          </cell>
        </row>
        <row r="10">
          <cell r="B10" t="str">
            <v>North Tyneside</v>
          </cell>
          <cell r="D10">
            <v>1110</v>
          </cell>
          <cell r="E10">
            <v>87.7</v>
          </cell>
          <cell r="F10">
            <v>61.4</v>
          </cell>
          <cell r="G10">
            <v>95.4</v>
          </cell>
          <cell r="H10">
            <v>93.7</v>
          </cell>
          <cell r="I10">
            <v>99.4</v>
          </cell>
          <cell r="J10">
            <v>340</v>
          </cell>
          <cell r="K10">
            <v>480.1</v>
          </cell>
          <cell r="L10">
            <v>94.8</v>
          </cell>
          <cell r="M10">
            <v>61.6</v>
          </cell>
          <cell r="O10">
            <v>1041</v>
          </cell>
          <cell r="P10">
            <v>92.6</v>
          </cell>
          <cell r="Q10">
            <v>68.5</v>
          </cell>
          <cell r="R10">
            <v>97.3</v>
          </cell>
          <cell r="S10">
            <v>95.7</v>
          </cell>
          <cell r="T10">
            <v>99.2</v>
          </cell>
          <cell r="U10">
            <v>362.2</v>
          </cell>
          <cell r="V10">
            <v>524.5</v>
          </cell>
          <cell r="W10">
            <v>97.2</v>
          </cell>
          <cell r="X10">
            <v>68.8</v>
          </cell>
          <cell r="Z10">
            <v>2151</v>
          </cell>
          <cell r="AA10">
            <v>90.1</v>
          </cell>
          <cell r="AB10">
            <v>64.8</v>
          </cell>
          <cell r="AC10">
            <v>96.3</v>
          </cell>
          <cell r="AD10">
            <v>94.7</v>
          </cell>
          <cell r="AE10">
            <v>99.3</v>
          </cell>
          <cell r="AF10">
            <v>350.8</v>
          </cell>
          <cell r="AG10">
            <v>501.6</v>
          </cell>
          <cell r="AH10">
            <v>96</v>
          </cell>
          <cell r="AI10">
            <v>65.099999999999994</v>
          </cell>
        </row>
        <row r="11">
          <cell r="B11" t="str">
            <v>Northumberland</v>
          </cell>
          <cell r="D11">
            <v>1814</v>
          </cell>
          <cell r="E11">
            <v>80.400000000000006</v>
          </cell>
          <cell r="F11">
            <v>49.8</v>
          </cell>
          <cell r="G11">
            <v>92.6</v>
          </cell>
          <cell r="H11">
            <v>91.8</v>
          </cell>
          <cell r="I11">
            <v>98.1</v>
          </cell>
          <cell r="J11">
            <v>330.9</v>
          </cell>
          <cell r="K11">
            <v>459.2</v>
          </cell>
          <cell r="L11">
            <v>94.4</v>
          </cell>
          <cell r="M11">
            <v>50.1</v>
          </cell>
          <cell r="O11">
            <v>1774</v>
          </cell>
          <cell r="P11">
            <v>87.9</v>
          </cell>
          <cell r="Q11">
            <v>60.7</v>
          </cell>
          <cell r="R11">
            <v>95.9</v>
          </cell>
          <cell r="S11">
            <v>95</v>
          </cell>
          <cell r="T11">
            <v>99</v>
          </cell>
          <cell r="U11">
            <v>355.6</v>
          </cell>
          <cell r="V11">
            <v>498.7</v>
          </cell>
          <cell r="W11">
            <v>97.2</v>
          </cell>
          <cell r="X11">
            <v>60.9</v>
          </cell>
          <cell r="Z11">
            <v>3588</v>
          </cell>
          <cell r="AA11">
            <v>84.1</v>
          </cell>
          <cell r="AB11">
            <v>55.2</v>
          </cell>
          <cell r="AC11">
            <v>94.3</v>
          </cell>
          <cell r="AD11">
            <v>93.4</v>
          </cell>
          <cell r="AE11">
            <v>98.6</v>
          </cell>
          <cell r="AF11">
            <v>343.1</v>
          </cell>
          <cell r="AG11">
            <v>478.7</v>
          </cell>
          <cell r="AH11">
            <v>95.8</v>
          </cell>
          <cell r="AI11">
            <v>55.5</v>
          </cell>
        </row>
        <row r="12">
          <cell r="B12" t="str">
            <v>Redcar and Cleveland</v>
          </cell>
          <cell r="D12">
            <v>931</v>
          </cell>
          <cell r="E12">
            <v>79.900000000000006</v>
          </cell>
          <cell r="F12">
            <v>51.3</v>
          </cell>
          <cell r="G12">
            <v>92.7</v>
          </cell>
          <cell r="H12">
            <v>90.7</v>
          </cell>
          <cell r="I12">
            <v>97.9</v>
          </cell>
          <cell r="J12">
            <v>320.7</v>
          </cell>
          <cell r="K12">
            <v>444</v>
          </cell>
          <cell r="L12">
            <v>94.7</v>
          </cell>
          <cell r="M12">
            <v>51.7</v>
          </cell>
          <cell r="O12">
            <v>915</v>
          </cell>
          <cell r="P12">
            <v>86.7</v>
          </cell>
          <cell r="Q12">
            <v>59</v>
          </cell>
          <cell r="R12">
            <v>97</v>
          </cell>
          <cell r="S12">
            <v>96.1</v>
          </cell>
          <cell r="T12">
            <v>99.1</v>
          </cell>
          <cell r="U12">
            <v>352</v>
          </cell>
          <cell r="V12">
            <v>502.4</v>
          </cell>
          <cell r="W12">
            <v>98.3</v>
          </cell>
          <cell r="X12">
            <v>59.2</v>
          </cell>
          <cell r="Z12">
            <v>1846</v>
          </cell>
          <cell r="AA12">
            <v>83.3</v>
          </cell>
          <cell r="AB12">
            <v>55.1</v>
          </cell>
          <cell r="AC12">
            <v>94.9</v>
          </cell>
          <cell r="AD12">
            <v>93.3</v>
          </cell>
          <cell r="AE12">
            <v>98.5</v>
          </cell>
          <cell r="AF12">
            <v>336.2</v>
          </cell>
          <cell r="AG12">
            <v>472.9</v>
          </cell>
          <cell r="AH12">
            <v>96.5</v>
          </cell>
          <cell r="AI12">
            <v>55.4</v>
          </cell>
        </row>
        <row r="13">
          <cell r="B13" t="str">
            <v>South Tyneside</v>
          </cell>
          <cell r="D13">
            <v>886</v>
          </cell>
          <cell r="E13">
            <v>90.4</v>
          </cell>
          <cell r="F13">
            <v>54</v>
          </cell>
          <cell r="G13">
            <v>96.4</v>
          </cell>
          <cell r="H13">
            <v>94.1</v>
          </cell>
          <cell r="I13">
            <v>99.4</v>
          </cell>
          <cell r="J13">
            <v>348</v>
          </cell>
          <cell r="K13">
            <v>502</v>
          </cell>
          <cell r="L13">
            <v>96</v>
          </cell>
          <cell r="M13">
            <v>54.4</v>
          </cell>
          <cell r="O13">
            <v>850</v>
          </cell>
          <cell r="P13">
            <v>95.6</v>
          </cell>
          <cell r="Q13">
            <v>64.7</v>
          </cell>
          <cell r="R13">
            <v>98.7</v>
          </cell>
          <cell r="S13">
            <v>96.4</v>
          </cell>
          <cell r="T13">
            <v>99.4</v>
          </cell>
          <cell r="U13">
            <v>375.1</v>
          </cell>
          <cell r="V13">
            <v>552.79999999999995</v>
          </cell>
          <cell r="W13">
            <v>98</v>
          </cell>
          <cell r="X13">
            <v>64.7</v>
          </cell>
          <cell r="Z13">
            <v>1736</v>
          </cell>
          <cell r="AA13">
            <v>93</v>
          </cell>
          <cell r="AB13">
            <v>59.2</v>
          </cell>
          <cell r="AC13">
            <v>97.5</v>
          </cell>
          <cell r="AD13">
            <v>95.2</v>
          </cell>
          <cell r="AE13">
            <v>99.4</v>
          </cell>
          <cell r="AF13">
            <v>361.2</v>
          </cell>
          <cell r="AG13">
            <v>526.9</v>
          </cell>
          <cell r="AH13">
            <v>97</v>
          </cell>
          <cell r="AI13">
            <v>59.4</v>
          </cell>
        </row>
        <row r="14">
          <cell r="B14" t="str">
            <v>Stockton-on-Tees</v>
          </cell>
          <cell r="D14">
            <v>1130</v>
          </cell>
          <cell r="E14">
            <v>79</v>
          </cell>
          <cell r="F14">
            <v>54.1</v>
          </cell>
          <cell r="G14">
            <v>93.9</v>
          </cell>
          <cell r="H14">
            <v>91.5</v>
          </cell>
          <cell r="I14">
            <v>99.7</v>
          </cell>
          <cell r="J14">
            <v>330.7</v>
          </cell>
          <cell r="K14">
            <v>465.1</v>
          </cell>
          <cell r="L14">
            <v>93.2</v>
          </cell>
          <cell r="M14">
            <v>55</v>
          </cell>
          <cell r="O14">
            <v>1052</v>
          </cell>
          <cell r="P14">
            <v>83.7</v>
          </cell>
          <cell r="Q14">
            <v>61</v>
          </cell>
          <cell r="R14">
            <v>96</v>
          </cell>
          <cell r="S14">
            <v>93.2</v>
          </cell>
          <cell r="T14">
            <v>99.8</v>
          </cell>
          <cell r="U14">
            <v>345.7</v>
          </cell>
          <cell r="V14">
            <v>494.5</v>
          </cell>
          <cell r="W14">
            <v>96.5</v>
          </cell>
          <cell r="X14">
            <v>61.6</v>
          </cell>
          <cell r="Z14">
            <v>2182</v>
          </cell>
          <cell r="AA14">
            <v>81.3</v>
          </cell>
          <cell r="AB14">
            <v>57.4</v>
          </cell>
          <cell r="AC14">
            <v>94.9</v>
          </cell>
          <cell r="AD14">
            <v>92.3</v>
          </cell>
          <cell r="AE14">
            <v>99.8</v>
          </cell>
          <cell r="AF14">
            <v>337.9</v>
          </cell>
          <cell r="AG14">
            <v>479.3</v>
          </cell>
          <cell r="AH14">
            <v>94.8</v>
          </cell>
          <cell r="AI14">
            <v>58.2</v>
          </cell>
        </row>
        <row r="15">
          <cell r="B15" t="str">
            <v>Sunderland</v>
          </cell>
          <cell r="D15">
            <v>1609</v>
          </cell>
          <cell r="E15">
            <v>88.3</v>
          </cell>
          <cell r="F15">
            <v>55.2</v>
          </cell>
          <cell r="G15">
            <v>94.5</v>
          </cell>
          <cell r="H15">
            <v>91.9</v>
          </cell>
          <cell r="I15">
            <v>98.9</v>
          </cell>
          <cell r="J15">
            <v>334</v>
          </cell>
          <cell r="K15">
            <v>481.7</v>
          </cell>
          <cell r="L15">
            <v>95.6</v>
          </cell>
          <cell r="M15">
            <v>55.6</v>
          </cell>
          <cell r="O15">
            <v>1625</v>
          </cell>
          <cell r="P15">
            <v>90.6</v>
          </cell>
          <cell r="Q15">
            <v>65</v>
          </cell>
          <cell r="R15">
            <v>96.6</v>
          </cell>
          <cell r="S15">
            <v>94.3</v>
          </cell>
          <cell r="T15">
            <v>99.4</v>
          </cell>
          <cell r="U15">
            <v>354</v>
          </cell>
          <cell r="V15">
            <v>523.1</v>
          </cell>
          <cell r="W15">
            <v>97.6</v>
          </cell>
          <cell r="X15">
            <v>65.599999999999994</v>
          </cell>
          <cell r="Z15">
            <v>3234</v>
          </cell>
          <cell r="AA15">
            <v>89.5</v>
          </cell>
          <cell r="AB15">
            <v>60.1</v>
          </cell>
          <cell r="AC15">
            <v>95.5</v>
          </cell>
          <cell r="AD15">
            <v>93.1</v>
          </cell>
          <cell r="AE15">
            <v>99.1</v>
          </cell>
          <cell r="AF15">
            <v>344</v>
          </cell>
          <cell r="AG15">
            <v>502.5</v>
          </cell>
          <cell r="AH15">
            <v>96.6</v>
          </cell>
          <cell r="AI15">
            <v>60.6</v>
          </cell>
        </row>
        <row r="16">
          <cell r="B16" t="str">
            <v>North West</v>
          </cell>
          <cell r="D16">
            <v>40913</v>
          </cell>
          <cell r="E16">
            <v>80</v>
          </cell>
          <cell r="F16">
            <v>54.5</v>
          </cell>
          <cell r="G16">
            <v>94.9</v>
          </cell>
          <cell r="H16">
            <v>93.1</v>
          </cell>
          <cell r="I16">
            <v>99.2</v>
          </cell>
          <cell r="J16">
            <v>328.5</v>
          </cell>
          <cell r="K16">
            <v>437.8</v>
          </cell>
          <cell r="L16">
            <v>96.1</v>
          </cell>
          <cell r="M16">
            <v>55.4</v>
          </cell>
          <cell r="O16">
            <v>39332</v>
          </cell>
          <cell r="P16">
            <v>87</v>
          </cell>
          <cell r="Q16">
            <v>65.5</v>
          </cell>
          <cell r="R16">
            <v>96.7</v>
          </cell>
          <cell r="S16">
            <v>95.3</v>
          </cell>
          <cell r="T16">
            <v>99.4</v>
          </cell>
          <cell r="U16">
            <v>352.4</v>
          </cell>
          <cell r="V16">
            <v>481.1</v>
          </cell>
          <cell r="W16">
            <v>97.7</v>
          </cell>
          <cell r="X16">
            <v>66.099999999999994</v>
          </cell>
          <cell r="Z16">
            <v>80245</v>
          </cell>
          <cell r="AA16">
            <v>83.5</v>
          </cell>
          <cell r="AB16">
            <v>59.9</v>
          </cell>
          <cell r="AC16">
            <v>95.8</v>
          </cell>
          <cell r="AD16">
            <v>94.2</v>
          </cell>
          <cell r="AE16">
            <v>99.3</v>
          </cell>
          <cell r="AF16">
            <v>340.2</v>
          </cell>
          <cell r="AG16">
            <v>459</v>
          </cell>
          <cell r="AH16">
            <v>96.9</v>
          </cell>
          <cell r="AI16">
            <v>60.7</v>
          </cell>
        </row>
        <row r="17">
          <cell r="B17" t="str">
            <v>Blackburn with Darwen</v>
          </cell>
          <cell r="D17">
            <v>904</v>
          </cell>
          <cell r="E17">
            <v>74.099999999999994</v>
          </cell>
          <cell r="F17">
            <v>52.5</v>
          </cell>
          <cell r="G17">
            <v>95.5</v>
          </cell>
          <cell r="H17">
            <v>93.5</v>
          </cell>
          <cell r="I17">
            <v>99.1</v>
          </cell>
          <cell r="J17">
            <v>319.2</v>
          </cell>
          <cell r="K17">
            <v>392.1</v>
          </cell>
          <cell r="L17">
            <v>95.5</v>
          </cell>
          <cell r="M17">
            <v>54.9</v>
          </cell>
          <cell r="O17">
            <v>877</v>
          </cell>
          <cell r="P17">
            <v>82.9</v>
          </cell>
          <cell r="Q17">
            <v>66.7</v>
          </cell>
          <cell r="R17">
            <v>96.8</v>
          </cell>
          <cell r="S17">
            <v>95.4</v>
          </cell>
          <cell r="T17">
            <v>99.2</v>
          </cell>
          <cell r="U17">
            <v>345.8</v>
          </cell>
          <cell r="V17">
            <v>441.6</v>
          </cell>
          <cell r="W17">
            <v>96.8</v>
          </cell>
          <cell r="X17">
            <v>67.7</v>
          </cell>
          <cell r="Z17">
            <v>1781</v>
          </cell>
          <cell r="AA17">
            <v>78.400000000000006</v>
          </cell>
          <cell r="AB17">
            <v>59.5</v>
          </cell>
          <cell r="AC17">
            <v>96.1</v>
          </cell>
          <cell r="AD17">
            <v>94.4</v>
          </cell>
          <cell r="AE17">
            <v>99.2</v>
          </cell>
          <cell r="AF17">
            <v>332.3</v>
          </cell>
          <cell r="AG17">
            <v>416.4</v>
          </cell>
          <cell r="AH17">
            <v>96.1</v>
          </cell>
          <cell r="AI17">
            <v>61.2</v>
          </cell>
        </row>
        <row r="18">
          <cell r="B18" t="str">
            <v>Blackpool</v>
          </cell>
          <cell r="D18">
            <v>825</v>
          </cell>
          <cell r="E18">
            <v>73.599999999999994</v>
          </cell>
          <cell r="F18">
            <v>41.3</v>
          </cell>
          <cell r="G18">
            <v>93.7</v>
          </cell>
          <cell r="H18">
            <v>90.8</v>
          </cell>
          <cell r="I18">
            <v>98.7</v>
          </cell>
          <cell r="J18">
            <v>315.10000000000002</v>
          </cell>
          <cell r="K18">
            <v>413.2</v>
          </cell>
          <cell r="L18">
            <v>93.5</v>
          </cell>
          <cell r="M18">
            <v>41.7</v>
          </cell>
          <cell r="O18">
            <v>828</v>
          </cell>
          <cell r="P18">
            <v>84.9</v>
          </cell>
          <cell r="Q18">
            <v>50.8</v>
          </cell>
          <cell r="R18">
            <v>96.4</v>
          </cell>
          <cell r="S18">
            <v>93.4</v>
          </cell>
          <cell r="T18">
            <v>99.2</v>
          </cell>
          <cell r="U18">
            <v>346</v>
          </cell>
          <cell r="V18">
            <v>482.5</v>
          </cell>
          <cell r="W18">
            <v>96.3</v>
          </cell>
          <cell r="X18">
            <v>51.2</v>
          </cell>
          <cell r="Z18">
            <v>1653</v>
          </cell>
          <cell r="AA18">
            <v>79.2</v>
          </cell>
          <cell r="AB18">
            <v>46.1</v>
          </cell>
          <cell r="AC18">
            <v>95</v>
          </cell>
          <cell r="AD18">
            <v>92.1</v>
          </cell>
          <cell r="AE18">
            <v>98.9</v>
          </cell>
          <cell r="AF18">
            <v>330.6</v>
          </cell>
          <cell r="AG18">
            <v>447.9</v>
          </cell>
          <cell r="AH18">
            <v>94.9</v>
          </cell>
          <cell r="AI18">
            <v>46.5</v>
          </cell>
        </row>
        <row r="19">
          <cell r="B19" t="str">
            <v>Bolton</v>
          </cell>
          <cell r="D19">
            <v>1808</v>
          </cell>
          <cell r="E19">
            <v>81.900000000000006</v>
          </cell>
          <cell r="F19">
            <v>53.9</v>
          </cell>
          <cell r="G19">
            <v>95.1</v>
          </cell>
          <cell r="H19">
            <v>93.2</v>
          </cell>
          <cell r="I19">
            <v>99.6</v>
          </cell>
          <cell r="J19">
            <v>326</v>
          </cell>
          <cell r="K19">
            <v>428.7</v>
          </cell>
          <cell r="L19">
            <v>97.3</v>
          </cell>
          <cell r="M19">
            <v>55</v>
          </cell>
          <cell r="O19">
            <v>1714</v>
          </cell>
          <cell r="P19">
            <v>89.9</v>
          </cell>
          <cell r="Q19">
            <v>67.900000000000006</v>
          </cell>
          <cell r="R19">
            <v>97.5</v>
          </cell>
          <cell r="S19">
            <v>95.9</v>
          </cell>
          <cell r="T19">
            <v>99.7</v>
          </cell>
          <cell r="U19">
            <v>356.1</v>
          </cell>
          <cell r="V19">
            <v>489.2</v>
          </cell>
          <cell r="W19">
            <v>98</v>
          </cell>
          <cell r="X19">
            <v>68.400000000000006</v>
          </cell>
          <cell r="Z19">
            <v>3522</v>
          </cell>
          <cell r="AA19">
            <v>85.8</v>
          </cell>
          <cell r="AB19">
            <v>60.7</v>
          </cell>
          <cell r="AC19">
            <v>96.3</v>
          </cell>
          <cell r="AD19">
            <v>94.5</v>
          </cell>
          <cell r="AE19">
            <v>99.6</v>
          </cell>
          <cell r="AF19">
            <v>340.7</v>
          </cell>
          <cell r="AG19">
            <v>458.1</v>
          </cell>
          <cell r="AH19">
            <v>97.6</v>
          </cell>
          <cell r="AI19">
            <v>61.5</v>
          </cell>
        </row>
        <row r="20">
          <cell r="B20" t="str">
            <v>Bury</v>
          </cell>
          <cell r="D20">
            <v>1115</v>
          </cell>
          <cell r="E20">
            <v>79.900000000000006</v>
          </cell>
          <cell r="F20">
            <v>57.5</v>
          </cell>
          <cell r="G20">
            <v>96.8</v>
          </cell>
          <cell r="H20">
            <v>96.1</v>
          </cell>
          <cell r="I20">
            <v>99.9</v>
          </cell>
          <cell r="J20">
            <v>334.2</v>
          </cell>
          <cell r="K20">
            <v>450.4</v>
          </cell>
          <cell r="L20">
            <v>96.8</v>
          </cell>
          <cell r="M20">
            <v>57.9</v>
          </cell>
          <cell r="O20">
            <v>1084</v>
          </cell>
          <cell r="P20">
            <v>86.7</v>
          </cell>
          <cell r="Q20">
            <v>67.2</v>
          </cell>
          <cell r="R20">
            <v>98.6</v>
          </cell>
          <cell r="S20">
            <v>97.8</v>
          </cell>
          <cell r="T20">
            <v>99.9</v>
          </cell>
          <cell r="U20">
            <v>355.8</v>
          </cell>
          <cell r="V20">
            <v>487.6</v>
          </cell>
          <cell r="W20">
            <v>98.5</v>
          </cell>
          <cell r="X20">
            <v>67.5</v>
          </cell>
          <cell r="Z20">
            <v>2199</v>
          </cell>
          <cell r="AA20">
            <v>83.3</v>
          </cell>
          <cell r="AB20">
            <v>62.3</v>
          </cell>
          <cell r="AC20">
            <v>97.7</v>
          </cell>
          <cell r="AD20">
            <v>96.9</v>
          </cell>
          <cell r="AE20">
            <v>99.9</v>
          </cell>
          <cell r="AF20">
            <v>344.8</v>
          </cell>
          <cell r="AG20">
            <v>468.8</v>
          </cell>
          <cell r="AH20">
            <v>97.6</v>
          </cell>
          <cell r="AI20">
            <v>62.7</v>
          </cell>
        </row>
        <row r="21">
          <cell r="B21" t="str">
            <v>Cheshire East</v>
          </cell>
          <cell r="D21">
            <v>2114</v>
          </cell>
          <cell r="E21">
            <v>79.3</v>
          </cell>
          <cell r="F21">
            <v>56.1</v>
          </cell>
          <cell r="G21">
            <v>96.8</v>
          </cell>
          <cell r="H21">
            <v>94</v>
          </cell>
          <cell r="I21">
            <v>99.4</v>
          </cell>
          <cell r="J21">
            <v>338.6</v>
          </cell>
          <cell r="K21">
            <v>464.4</v>
          </cell>
          <cell r="L21">
            <v>98.2</v>
          </cell>
          <cell r="M21">
            <v>56.6</v>
          </cell>
          <cell r="O21">
            <v>1994</v>
          </cell>
          <cell r="P21">
            <v>89.3</v>
          </cell>
          <cell r="Q21">
            <v>69</v>
          </cell>
          <cell r="R21">
            <v>98.1</v>
          </cell>
          <cell r="S21">
            <v>97.3</v>
          </cell>
          <cell r="T21">
            <v>99.8</v>
          </cell>
          <cell r="U21">
            <v>364</v>
          </cell>
          <cell r="V21">
            <v>520.70000000000005</v>
          </cell>
          <cell r="W21">
            <v>99.4</v>
          </cell>
          <cell r="X21">
            <v>69.5</v>
          </cell>
          <cell r="Z21">
            <v>4108</v>
          </cell>
          <cell r="AA21">
            <v>84.2</v>
          </cell>
          <cell r="AB21">
            <v>62.4</v>
          </cell>
          <cell r="AC21">
            <v>97.5</v>
          </cell>
          <cell r="AD21">
            <v>95.6</v>
          </cell>
          <cell r="AE21">
            <v>99.6</v>
          </cell>
          <cell r="AF21">
            <v>350.9</v>
          </cell>
          <cell r="AG21">
            <v>491.7</v>
          </cell>
          <cell r="AH21">
            <v>98.8</v>
          </cell>
          <cell r="AI21">
            <v>62.9</v>
          </cell>
        </row>
        <row r="22">
          <cell r="B22" t="str">
            <v>Cheshire West and Chester</v>
          </cell>
          <cell r="D22">
            <v>1998</v>
          </cell>
          <cell r="E22">
            <v>78.8</v>
          </cell>
          <cell r="F22">
            <v>58.5</v>
          </cell>
          <cell r="G22">
            <v>94.9</v>
          </cell>
          <cell r="H22">
            <v>93.4</v>
          </cell>
          <cell r="I22">
            <v>98.6</v>
          </cell>
          <cell r="J22">
            <v>328.9</v>
          </cell>
          <cell r="K22">
            <v>437.4</v>
          </cell>
          <cell r="L22">
            <v>96.7</v>
          </cell>
          <cell r="M22">
            <v>59.4</v>
          </cell>
          <cell r="O22">
            <v>1837</v>
          </cell>
          <cell r="P22">
            <v>86.8</v>
          </cell>
          <cell r="Q22">
            <v>67.900000000000006</v>
          </cell>
          <cell r="R22">
            <v>96.8</v>
          </cell>
          <cell r="S22">
            <v>95.8</v>
          </cell>
          <cell r="T22">
            <v>99.1</v>
          </cell>
          <cell r="U22">
            <v>356.5</v>
          </cell>
          <cell r="V22">
            <v>487.2</v>
          </cell>
          <cell r="W22">
            <v>97.8</v>
          </cell>
          <cell r="X22">
            <v>68.400000000000006</v>
          </cell>
          <cell r="Z22">
            <v>3835</v>
          </cell>
          <cell r="AA22">
            <v>82.6</v>
          </cell>
          <cell r="AB22">
            <v>63</v>
          </cell>
          <cell r="AC22">
            <v>95.9</v>
          </cell>
          <cell r="AD22">
            <v>94.6</v>
          </cell>
          <cell r="AE22">
            <v>98.9</v>
          </cell>
          <cell r="AF22">
            <v>342.1</v>
          </cell>
          <cell r="AG22">
            <v>461.3</v>
          </cell>
          <cell r="AH22">
            <v>97.2</v>
          </cell>
          <cell r="AI22">
            <v>63.7</v>
          </cell>
        </row>
        <row r="23">
          <cell r="B23" t="str">
            <v>Cumbria</v>
          </cell>
          <cell r="D23">
            <v>2926</v>
          </cell>
          <cell r="E23">
            <v>76.400000000000006</v>
          </cell>
          <cell r="F23">
            <v>49.6</v>
          </cell>
          <cell r="G23">
            <v>95.1</v>
          </cell>
          <cell r="H23">
            <v>93.3</v>
          </cell>
          <cell r="I23">
            <v>99.2</v>
          </cell>
          <cell r="J23">
            <v>326.8</v>
          </cell>
          <cell r="K23">
            <v>423.8</v>
          </cell>
          <cell r="L23">
            <v>95.6</v>
          </cell>
          <cell r="M23">
            <v>50.6</v>
          </cell>
          <cell r="O23">
            <v>2810</v>
          </cell>
          <cell r="P23">
            <v>85.3</v>
          </cell>
          <cell r="Q23">
            <v>63.7</v>
          </cell>
          <cell r="R23">
            <v>96.9</v>
          </cell>
          <cell r="S23">
            <v>95.4</v>
          </cell>
          <cell r="T23">
            <v>99.4</v>
          </cell>
          <cell r="U23">
            <v>352</v>
          </cell>
          <cell r="V23">
            <v>468.4</v>
          </cell>
          <cell r="W23">
            <v>97.4</v>
          </cell>
          <cell r="X23">
            <v>64.2</v>
          </cell>
          <cell r="Z23">
            <v>5736</v>
          </cell>
          <cell r="AA23">
            <v>80.7</v>
          </cell>
          <cell r="AB23">
            <v>56.5</v>
          </cell>
          <cell r="AC23">
            <v>96</v>
          </cell>
          <cell r="AD23">
            <v>94.3</v>
          </cell>
          <cell r="AE23">
            <v>99.3</v>
          </cell>
          <cell r="AF23">
            <v>339.1</v>
          </cell>
          <cell r="AG23">
            <v>445.6</v>
          </cell>
          <cell r="AH23">
            <v>96.5</v>
          </cell>
          <cell r="AI23">
            <v>57.2</v>
          </cell>
        </row>
        <row r="24">
          <cell r="B24" t="str">
            <v>Halton</v>
          </cell>
          <cell r="D24">
            <v>720</v>
          </cell>
          <cell r="E24">
            <v>82.6</v>
          </cell>
          <cell r="F24">
            <v>55.4</v>
          </cell>
          <cell r="G24">
            <v>94.2</v>
          </cell>
          <cell r="H24">
            <v>92.2</v>
          </cell>
          <cell r="I24">
            <v>99.2</v>
          </cell>
          <cell r="J24">
            <v>325.60000000000002</v>
          </cell>
          <cell r="K24">
            <v>447.7</v>
          </cell>
          <cell r="L24">
            <v>94.7</v>
          </cell>
          <cell r="M24">
            <v>56.3</v>
          </cell>
          <cell r="O24">
            <v>708</v>
          </cell>
          <cell r="P24">
            <v>90.4</v>
          </cell>
          <cell r="Q24">
            <v>69.599999999999994</v>
          </cell>
          <cell r="R24">
            <v>96.8</v>
          </cell>
          <cell r="S24">
            <v>95.8</v>
          </cell>
          <cell r="T24">
            <v>99.2</v>
          </cell>
          <cell r="U24">
            <v>352.1</v>
          </cell>
          <cell r="V24">
            <v>508.2</v>
          </cell>
          <cell r="W24">
            <v>97.6</v>
          </cell>
          <cell r="X24">
            <v>70.099999999999994</v>
          </cell>
          <cell r="Z24">
            <v>1428</v>
          </cell>
          <cell r="AA24">
            <v>86.5</v>
          </cell>
          <cell r="AB24">
            <v>62.5</v>
          </cell>
          <cell r="AC24">
            <v>95.4</v>
          </cell>
          <cell r="AD24">
            <v>94</v>
          </cell>
          <cell r="AE24">
            <v>99.2</v>
          </cell>
          <cell r="AF24">
            <v>338.7</v>
          </cell>
          <cell r="AG24">
            <v>477.7</v>
          </cell>
          <cell r="AH24">
            <v>96.1</v>
          </cell>
          <cell r="AI24">
            <v>63.1</v>
          </cell>
        </row>
        <row r="25">
          <cell r="B25" t="str">
            <v>Knowsley</v>
          </cell>
          <cell r="D25">
            <v>695</v>
          </cell>
          <cell r="E25">
            <v>70.2</v>
          </cell>
          <cell r="F25">
            <v>39.6</v>
          </cell>
          <cell r="G25">
            <v>88.3</v>
          </cell>
          <cell r="H25">
            <v>86.2</v>
          </cell>
          <cell r="I25">
            <v>98.1</v>
          </cell>
          <cell r="J25">
            <v>289.5</v>
          </cell>
          <cell r="K25">
            <v>361.8</v>
          </cell>
          <cell r="L25">
            <v>91.8</v>
          </cell>
          <cell r="M25">
            <v>40.1</v>
          </cell>
          <cell r="O25">
            <v>696</v>
          </cell>
          <cell r="P25">
            <v>79.599999999999994</v>
          </cell>
          <cell r="Q25">
            <v>47.8</v>
          </cell>
          <cell r="R25">
            <v>92.4</v>
          </cell>
          <cell r="S25">
            <v>90.5</v>
          </cell>
          <cell r="T25">
            <v>98.6</v>
          </cell>
          <cell r="U25">
            <v>316</v>
          </cell>
          <cell r="V25">
            <v>407</v>
          </cell>
          <cell r="W25">
            <v>95.1</v>
          </cell>
          <cell r="X25">
            <v>48.7</v>
          </cell>
          <cell r="Z25">
            <v>1391</v>
          </cell>
          <cell r="AA25">
            <v>74.900000000000006</v>
          </cell>
          <cell r="AB25">
            <v>43.7</v>
          </cell>
          <cell r="AC25">
            <v>90.4</v>
          </cell>
          <cell r="AD25">
            <v>88.4</v>
          </cell>
          <cell r="AE25">
            <v>98.3</v>
          </cell>
          <cell r="AF25">
            <v>302.8</v>
          </cell>
          <cell r="AG25">
            <v>384.4</v>
          </cell>
          <cell r="AH25">
            <v>93.5</v>
          </cell>
          <cell r="AI25">
            <v>44.4</v>
          </cell>
        </row>
        <row r="26">
          <cell r="B26" t="str">
            <v>Lancashire</v>
          </cell>
          <cell r="D26">
            <v>6825</v>
          </cell>
          <cell r="E26">
            <v>79.099999999999994</v>
          </cell>
          <cell r="F26">
            <v>55.6</v>
          </cell>
          <cell r="G26">
            <v>94.9</v>
          </cell>
          <cell r="H26">
            <v>93.4</v>
          </cell>
          <cell r="I26">
            <v>99.2</v>
          </cell>
          <cell r="J26">
            <v>330.2</v>
          </cell>
          <cell r="K26">
            <v>444.5</v>
          </cell>
          <cell r="L26">
            <v>95.7</v>
          </cell>
          <cell r="M26">
            <v>56.4</v>
          </cell>
          <cell r="O26">
            <v>6406</v>
          </cell>
          <cell r="P26">
            <v>86.8</v>
          </cell>
          <cell r="Q26">
            <v>67.2</v>
          </cell>
          <cell r="R26">
            <v>96.9</v>
          </cell>
          <cell r="S26">
            <v>95.6</v>
          </cell>
          <cell r="T26">
            <v>99.4</v>
          </cell>
          <cell r="U26">
            <v>354.9</v>
          </cell>
          <cell r="V26">
            <v>484.7</v>
          </cell>
          <cell r="W26">
            <v>97.6</v>
          </cell>
          <cell r="X26">
            <v>67.8</v>
          </cell>
          <cell r="Z26">
            <v>13231</v>
          </cell>
          <cell r="AA26">
            <v>82.8</v>
          </cell>
          <cell r="AB26">
            <v>61.2</v>
          </cell>
          <cell r="AC26">
            <v>95.8</v>
          </cell>
          <cell r="AD26">
            <v>94.4</v>
          </cell>
          <cell r="AE26">
            <v>99.3</v>
          </cell>
          <cell r="AF26">
            <v>342.1</v>
          </cell>
          <cell r="AG26">
            <v>464</v>
          </cell>
          <cell r="AH26">
            <v>96.6</v>
          </cell>
          <cell r="AI26">
            <v>61.9</v>
          </cell>
        </row>
        <row r="27">
          <cell r="B27" t="str">
            <v>Liverpool</v>
          </cell>
          <cell r="D27">
            <v>2501</v>
          </cell>
          <cell r="E27">
            <v>82.4</v>
          </cell>
          <cell r="F27">
            <v>52.2</v>
          </cell>
          <cell r="G27">
            <v>94.4</v>
          </cell>
          <cell r="H27">
            <v>92.6</v>
          </cell>
          <cell r="I27">
            <v>99</v>
          </cell>
          <cell r="J27">
            <v>331</v>
          </cell>
          <cell r="K27">
            <v>446.9</v>
          </cell>
          <cell r="L27">
            <v>95.6</v>
          </cell>
          <cell r="M27">
            <v>53.1</v>
          </cell>
          <cell r="O27">
            <v>2601</v>
          </cell>
          <cell r="P27">
            <v>86.4</v>
          </cell>
          <cell r="Q27">
            <v>59.7</v>
          </cell>
          <cell r="R27">
            <v>94.7</v>
          </cell>
          <cell r="S27">
            <v>92.9</v>
          </cell>
          <cell r="T27">
            <v>99.2</v>
          </cell>
          <cell r="U27">
            <v>342.9</v>
          </cell>
          <cell r="V27">
            <v>467</v>
          </cell>
          <cell r="W27">
            <v>96.6</v>
          </cell>
          <cell r="X27">
            <v>60.6</v>
          </cell>
          <cell r="Z27">
            <v>5102</v>
          </cell>
          <cell r="AA27">
            <v>84.4</v>
          </cell>
          <cell r="AB27">
            <v>56</v>
          </cell>
          <cell r="AC27">
            <v>94.6</v>
          </cell>
          <cell r="AD27">
            <v>92.7</v>
          </cell>
          <cell r="AE27">
            <v>99.1</v>
          </cell>
          <cell r="AF27">
            <v>337.1</v>
          </cell>
          <cell r="AG27">
            <v>457.2</v>
          </cell>
          <cell r="AH27">
            <v>96.1</v>
          </cell>
          <cell r="AI27">
            <v>56.9</v>
          </cell>
        </row>
        <row r="28">
          <cell r="B28" t="str">
            <v>Manchester</v>
          </cell>
          <cell r="D28">
            <v>2273</v>
          </cell>
          <cell r="E28">
            <v>78</v>
          </cell>
          <cell r="F28">
            <v>48.7</v>
          </cell>
          <cell r="G28">
            <v>90.6</v>
          </cell>
          <cell r="H28">
            <v>87.9</v>
          </cell>
          <cell r="I28">
            <v>98.5</v>
          </cell>
          <cell r="J28">
            <v>311.89999999999998</v>
          </cell>
          <cell r="K28">
            <v>417.5</v>
          </cell>
          <cell r="L28">
            <v>93.9</v>
          </cell>
          <cell r="M28">
            <v>49.1</v>
          </cell>
          <cell r="O28">
            <v>2237</v>
          </cell>
          <cell r="P28">
            <v>84.7</v>
          </cell>
          <cell r="Q28">
            <v>57.7</v>
          </cell>
          <cell r="R28">
            <v>94.6</v>
          </cell>
          <cell r="S28">
            <v>91.5</v>
          </cell>
          <cell r="T28">
            <v>99.1</v>
          </cell>
          <cell r="U28">
            <v>338.6</v>
          </cell>
          <cell r="V28">
            <v>473.2</v>
          </cell>
          <cell r="W28">
            <v>96.6</v>
          </cell>
          <cell r="X28">
            <v>58.4</v>
          </cell>
          <cell r="Z28">
            <v>4510</v>
          </cell>
          <cell r="AA28">
            <v>81.3</v>
          </cell>
          <cell r="AB28">
            <v>53.1</v>
          </cell>
          <cell r="AC28">
            <v>92.6</v>
          </cell>
          <cell r="AD28">
            <v>89.7</v>
          </cell>
          <cell r="AE28">
            <v>98.8</v>
          </cell>
          <cell r="AF28">
            <v>325.10000000000002</v>
          </cell>
          <cell r="AG28">
            <v>445.1</v>
          </cell>
          <cell r="AH28">
            <v>95.3</v>
          </cell>
          <cell r="AI28">
            <v>53.7</v>
          </cell>
        </row>
        <row r="29">
          <cell r="B29" t="str">
            <v>Oldham</v>
          </cell>
          <cell r="D29">
            <v>1623</v>
          </cell>
          <cell r="E29">
            <v>80.7</v>
          </cell>
          <cell r="F29">
            <v>50.2</v>
          </cell>
          <cell r="G29">
            <v>95.3</v>
          </cell>
          <cell r="H29">
            <v>93</v>
          </cell>
          <cell r="I29">
            <v>99.3</v>
          </cell>
          <cell r="J29">
            <v>324.89999999999998</v>
          </cell>
          <cell r="K29">
            <v>445.4</v>
          </cell>
          <cell r="L29">
            <v>96.2</v>
          </cell>
          <cell r="M29">
            <v>51.6</v>
          </cell>
          <cell r="O29">
            <v>1478</v>
          </cell>
          <cell r="P29">
            <v>87.7</v>
          </cell>
          <cell r="Q29">
            <v>64.5</v>
          </cell>
          <cell r="R29">
            <v>96.3</v>
          </cell>
          <cell r="S29">
            <v>94.3</v>
          </cell>
          <cell r="T29">
            <v>99.4</v>
          </cell>
          <cell r="U29">
            <v>350.6</v>
          </cell>
          <cell r="V29">
            <v>496</v>
          </cell>
          <cell r="W29">
            <v>97.4</v>
          </cell>
          <cell r="X29">
            <v>65</v>
          </cell>
          <cell r="Z29">
            <v>3101</v>
          </cell>
          <cell r="AA29">
            <v>84</v>
          </cell>
          <cell r="AB29">
            <v>57</v>
          </cell>
          <cell r="AC29">
            <v>95.8</v>
          </cell>
          <cell r="AD29">
            <v>93.6</v>
          </cell>
          <cell r="AE29">
            <v>99.4</v>
          </cell>
          <cell r="AF29">
            <v>337.1</v>
          </cell>
          <cell r="AG29">
            <v>469.5</v>
          </cell>
          <cell r="AH29">
            <v>96.8</v>
          </cell>
          <cell r="AI29">
            <v>57.9</v>
          </cell>
        </row>
        <row r="30">
          <cell r="B30" t="str">
            <v>Rochdale</v>
          </cell>
          <cell r="D30">
            <v>1183</v>
          </cell>
          <cell r="E30">
            <v>78.3</v>
          </cell>
          <cell r="F30">
            <v>52.7</v>
          </cell>
          <cell r="G30">
            <v>94</v>
          </cell>
          <cell r="H30">
            <v>91.1</v>
          </cell>
          <cell r="I30">
            <v>99.4</v>
          </cell>
          <cell r="J30">
            <v>319.3</v>
          </cell>
          <cell r="K30">
            <v>421.8</v>
          </cell>
          <cell r="L30">
            <v>96.2</v>
          </cell>
          <cell r="M30">
            <v>54.1</v>
          </cell>
          <cell r="O30">
            <v>1252</v>
          </cell>
          <cell r="P30">
            <v>84.4</v>
          </cell>
          <cell r="Q30">
            <v>59.6</v>
          </cell>
          <cell r="R30">
            <v>95.9</v>
          </cell>
          <cell r="S30">
            <v>93.9</v>
          </cell>
          <cell r="T30">
            <v>99.4</v>
          </cell>
          <cell r="U30">
            <v>340.5</v>
          </cell>
          <cell r="V30">
            <v>456.8</v>
          </cell>
          <cell r="W30">
            <v>97.9</v>
          </cell>
          <cell r="X30">
            <v>60.2</v>
          </cell>
          <cell r="Z30">
            <v>2435</v>
          </cell>
          <cell r="AA30">
            <v>81.400000000000006</v>
          </cell>
          <cell r="AB30">
            <v>56.2</v>
          </cell>
          <cell r="AC30">
            <v>95</v>
          </cell>
          <cell r="AD30">
            <v>92.6</v>
          </cell>
          <cell r="AE30">
            <v>99.4</v>
          </cell>
          <cell r="AF30">
            <v>330.2</v>
          </cell>
          <cell r="AG30">
            <v>439.8</v>
          </cell>
          <cell r="AH30">
            <v>97.1</v>
          </cell>
          <cell r="AI30">
            <v>57.2</v>
          </cell>
        </row>
        <row r="31">
          <cell r="B31" t="str">
            <v>Salford</v>
          </cell>
          <cell r="D31">
            <v>1156</v>
          </cell>
          <cell r="E31">
            <v>82.2</v>
          </cell>
          <cell r="F31">
            <v>50.5</v>
          </cell>
          <cell r="G31">
            <v>95.4</v>
          </cell>
          <cell r="H31">
            <v>92</v>
          </cell>
          <cell r="I31">
            <v>99.3</v>
          </cell>
          <cell r="J31">
            <v>322.89999999999998</v>
          </cell>
          <cell r="K31">
            <v>429.1</v>
          </cell>
          <cell r="L31">
            <v>95.6</v>
          </cell>
          <cell r="M31">
            <v>50.9</v>
          </cell>
          <cell r="O31">
            <v>1082</v>
          </cell>
          <cell r="P31">
            <v>89.1</v>
          </cell>
          <cell r="Q31">
            <v>59.3</v>
          </cell>
          <cell r="R31">
            <v>97</v>
          </cell>
          <cell r="S31">
            <v>94.5</v>
          </cell>
          <cell r="T31">
            <v>99.1</v>
          </cell>
          <cell r="U31">
            <v>347.7</v>
          </cell>
          <cell r="V31">
            <v>477.5</v>
          </cell>
          <cell r="W31">
            <v>97.1</v>
          </cell>
          <cell r="X31">
            <v>59.5</v>
          </cell>
          <cell r="Z31">
            <v>2238</v>
          </cell>
          <cell r="AA31">
            <v>85.5</v>
          </cell>
          <cell r="AB31">
            <v>54.8</v>
          </cell>
          <cell r="AC31">
            <v>96.2</v>
          </cell>
          <cell r="AD31">
            <v>93.2</v>
          </cell>
          <cell r="AE31">
            <v>99.2</v>
          </cell>
          <cell r="AF31">
            <v>334.9</v>
          </cell>
          <cell r="AG31">
            <v>452.5</v>
          </cell>
          <cell r="AH31">
            <v>96.3</v>
          </cell>
          <cell r="AI31">
            <v>55</v>
          </cell>
        </row>
        <row r="32">
          <cell r="B32" t="str">
            <v>Sefton</v>
          </cell>
          <cell r="D32">
            <v>1788</v>
          </cell>
          <cell r="E32">
            <v>85</v>
          </cell>
          <cell r="F32">
            <v>57.3</v>
          </cell>
          <cell r="G32">
            <v>94.9</v>
          </cell>
          <cell r="H32">
            <v>94.1</v>
          </cell>
          <cell r="I32">
            <v>99.1</v>
          </cell>
          <cell r="J32">
            <v>333.5</v>
          </cell>
          <cell r="K32">
            <v>435.6</v>
          </cell>
          <cell r="L32">
            <v>96.8</v>
          </cell>
          <cell r="M32">
            <v>57.8</v>
          </cell>
          <cell r="O32">
            <v>1693</v>
          </cell>
          <cell r="P32">
            <v>89.4</v>
          </cell>
          <cell r="Q32">
            <v>64.7</v>
          </cell>
          <cell r="R32">
            <v>97.6</v>
          </cell>
          <cell r="S32">
            <v>96.8</v>
          </cell>
          <cell r="T32">
            <v>99.7</v>
          </cell>
          <cell r="U32">
            <v>357.1</v>
          </cell>
          <cell r="V32">
            <v>470.1</v>
          </cell>
          <cell r="W32">
            <v>98.8</v>
          </cell>
          <cell r="X32">
            <v>65.099999999999994</v>
          </cell>
          <cell r="Z32">
            <v>3481</v>
          </cell>
          <cell r="AA32">
            <v>87.1</v>
          </cell>
          <cell r="AB32">
            <v>60.9</v>
          </cell>
          <cell r="AC32">
            <v>96.2</v>
          </cell>
          <cell r="AD32">
            <v>95.4</v>
          </cell>
          <cell r="AE32">
            <v>99.4</v>
          </cell>
          <cell r="AF32">
            <v>345</v>
          </cell>
          <cell r="AG32">
            <v>452.4</v>
          </cell>
          <cell r="AH32">
            <v>97.8</v>
          </cell>
          <cell r="AI32">
            <v>61.3</v>
          </cell>
        </row>
        <row r="33">
          <cell r="B33" t="str">
            <v>St. Helens</v>
          </cell>
          <cell r="D33">
            <v>987</v>
          </cell>
          <cell r="E33">
            <v>83.9</v>
          </cell>
          <cell r="F33">
            <v>49.1</v>
          </cell>
          <cell r="G33">
            <v>95.3</v>
          </cell>
          <cell r="H33">
            <v>92.7</v>
          </cell>
          <cell r="I33">
            <v>99.4</v>
          </cell>
          <cell r="J33">
            <v>330.7</v>
          </cell>
          <cell r="K33">
            <v>434.6</v>
          </cell>
          <cell r="L33">
            <v>95.6</v>
          </cell>
          <cell r="M33">
            <v>49.8</v>
          </cell>
          <cell r="O33">
            <v>955</v>
          </cell>
          <cell r="P33">
            <v>89.9</v>
          </cell>
          <cell r="Q33">
            <v>62.1</v>
          </cell>
          <cell r="R33">
            <v>98.2</v>
          </cell>
          <cell r="S33">
            <v>96.1</v>
          </cell>
          <cell r="T33">
            <v>99.7</v>
          </cell>
          <cell r="U33">
            <v>356.7</v>
          </cell>
          <cell r="V33">
            <v>492.8</v>
          </cell>
          <cell r="W33">
            <v>98.7</v>
          </cell>
          <cell r="X33">
            <v>62.3</v>
          </cell>
          <cell r="Z33">
            <v>1942</v>
          </cell>
          <cell r="AA33">
            <v>86.9</v>
          </cell>
          <cell r="AB33">
            <v>55.5</v>
          </cell>
          <cell r="AC33">
            <v>96.8</v>
          </cell>
          <cell r="AD33">
            <v>94.4</v>
          </cell>
          <cell r="AE33">
            <v>99.5</v>
          </cell>
          <cell r="AF33">
            <v>343.5</v>
          </cell>
          <cell r="AG33">
            <v>463.2</v>
          </cell>
          <cell r="AH33">
            <v>97.2</v>
          </cell>
          <cell r="AI33">
            <v>56</v>
          </cell>
        </row>
        <row r="34">
          <cell r="B34" t="str">
            <v>Stockport</v>
          </cell>
          <cell r="D34">
            <v>1540</v>
          </cell>
          <cell r="E34">
            <v>81.400000000000006</v>
          </cell>
          <cell r="F34">
            <v>60.3</v>
          </cell>
          <cell r="G34">
            <v>94.9</v>
          </cell>
          <cell r="H34">
            <v>94.2</v>
          </cell>
          <cell r="I34">
            <v>99.2</v>
          </cell>
          <cell r="J34">
            <v>333</v>
          </cell>
          <cell r="K34">
            <v>449.6</v>
          </cell>
          <cell r="L34">
            <v>96.6</v>
          </cell>
          <cell r="M34">
            <v>61.7</v>
          </cell>
          <cell r="O34">
            <v>1444</v>
          </cell>
          <cell r="P34">
            <v>88.3</v>
          </cell>
          <cell r="Q34">
            <v>71.599999999999994</v>
          </cell>
          <cell r="R34">
            <v>96.5</v>
          </cell>
          <cell r="S34">
            <v>95.6</v>
          </cell>
          <cell r="T34">
            <v>99.2</v>
          </cell>
          <cell r="U34">
            <v>357.1</v>
          </cell>
          <cell r="V34">
            <v>500.1</v>
          </cell>
          <cell r="W34">
            <v>97.6</v>
          </cell>
          <cell r="X34">
            <v>72.2</v>
          </cell>
          <cell r="Z34">
            <v>2984</v>
          </cell>
          <cell r="AA34">
            <v>84.7</v>
          </cell>
          <cell r="AB34">
            <v>65.8</v>
          </cell>
          <cell r="AC34">
            <v>95.6</v>
          </cell>
          <cell r="AD34">
            <v>94.9</v>
          </cell>
          <cell r="AE34">
            <v>99.2</v>
          </cell>
          <cell r="AF34">
            <v>344.7</v>
          </cell>
          <cell r="AG34">
            <v>474.1</v>
          </cell>
          <cell r="AH34">
            <v>97.1</v>
          </cell>
          <cell r="AI34">
            <v>66.8</v>
          </cell>
        </row>
        <row r="35">
          <cell r="B35" t="str">
            <v>Tameside</v>
          </cell>
          <cell r="D35">
            <v>1347</v>
          </cell>
          <cell r="E35">
            <v>80.7</v>
          </cell>
          <cell r="F35">
            <v>54.6</v>
          </cell>
          <cell r="G35">
            <v>95.2</v>
          </cell>
          <cell r="H35">
            <v>93</v>
          </cell>
          <cell r="I35">
            <v>99.1</v>
          </cell>
          <cell r="J35">
            <v>326.60000000000002</v>
          </cell>
          <cell r="K35">
            <v>432</v>
          </cell>
          <cell r="L35">
            <v>95.6</v>
          </cell>
          <cell r="M35">
            <v>55.6</v>
          </cell>
          <cell r="O35">
            <v>1361</v>
          </cell>
          <cell r="P35">
            <v>85.5</v>
          </cell>
          <cell r="Q35">
            <v>64.099999999999994</v>
          </cell>
          <cell r="R35">
            <v>95.8</v>
          </cell>
          <cell r="S35">
            <v>94.8</v>
          </cell>
          <cell r="T35">
            <v>99.4</v>
          </cell>
          <cell r="U35">
            <v>346.3</v>
          </cell>
          <cell r="V35">
            <v>474.6</v>
          </cell>
          <cell r="W35">
            <v>97.2</v>
          </cell>
          <cell r="X35">
            <v>64.900000000000006</v>
          </cell>
          <cell r="Z35">
            <v>2708</v>
          </cell>
          <cell r="AA35">
            <v>83.1</v>
          </cell>
          <cell r="AB35">
            <v>59.4</v>
          </cell>
          <cell r="AC35">
            <v>95.5</v>
          </cell>
          <cell r="AD35">
            <v>93.9</v>
          </cell>
          <cell r="AE35">
            <v>99.3</v>
          </cell>
          <cell r="AF35">
            <v>336.5</v>
          </cell>
          <cell r="AG35">
            <v>453.4</v>
          </cell>
          <cell r="AH35">
            <v>96.4</v>
          </cell>
          <cell r="AI35">
            <v>60.3</v>
          </cell>
        </row>
        <row r="36">
          <cell r="B36" t="str">
            <v>Trafford</v>
          </cell>
          <cell r="D36">
            <v>1533</v>
          </cell>
          <cell r="E36">
            <v>86.5</v>
          </cell>
          <cell r="F36">
            <v>64.3</v>
          </cell>
          <cell r="G36">
            <v>97</v>
          </cell>
          <cell r="H36">
            <v>96.5</v>
          </cell>
          <cell r="I36">
            <v>99.6</v>
          </cell>
          <cell r="J36">
            <v>351</v>
          </cell>
          <cell r="K36">
            <v>498.7</v>
          </cell>
          <cell r="L36">
            <v>97.7</v>
          </cell>
          <cell r="M36">
            <v>65</v>
          </cell>
          <cell r="O36">
            <v>1380</v>
          </cell>
          <cell r="P36">
            <v>90.7</v>
          </cell>
          <cell r="Q36">
            <v>77.5</v>
          </cell>
          <cell r="R36">
            <v>97.9</v>
          </cell>
          <cell r="S36">
            <v>97.6</v>
          </cell>
          <cell r="T36">
            <v>99.9</v>
          </cell>
          <cell r="U36">
            <v>376.1</v>
          </cell>
          <cell r="V36">
            <v>503.6</v>
          </cell>
          <cell r="W36">
            <v>98.5</v>
          </cell>
          <cell r="X36">
            <v>78</v>
          </cell>
          <cell r="Z36">
            <v>2913</v>
          </cell>
          <cell r="AA36">
            <v>88.5</v>
          </cell>
          <cell r="AB36">
            <v>70.5</v>
          </cell>
          <cell r="AC36">
            <v>97.4</v>
          </cell>
          <cell r="AD36">
            <v>97</v>
          </cell>
          <cell r="AE36">
            <v>99.7</v>
          </cell>
          <cell r="AF36">
            <v>362.9</v>
          </cell>
          <cell r="AG36">
            <v>501</v>
          </cell>
          <cell r="AH36">
            <v>98</v>
          </cell>
          <cell r="AI36">
            <v>71.099999999999994</v>
          </cell>
        </row>
        <row r="37">
          <cell r="B37" t="str">
            <v>Warrington</v>
          </cell>
          <cell r="D37">
            <v>1260</v>
          </cell>
          <cell r="E37">
            <v>80</v>
          </cell>
          <cell r="F37">
            <v>60.2</v>
          </cell>
          <cell r="G37">
            <v>96.2</v>
          </cell>
          <cell r="H37">
            <v>95.2</v>
          </cell>
          <cell r="I37">
            <v>99.4</v>
          </cell>
          <cell r="J37">
            <v>332.7</v>
          </cell>
          <cell r="K37">
            <v>435.1</v>
          </cell>
          <cell r="L37">
            <v>97.6</v>
          </cell>
          <cell r="M37">
            <v>61.8</v>
          </cell>
          <cell r="O37">
            <v>1195</v>
          </cell>
          <cell r="P37">
            <v>86.9</v>
          </cell>
          <cell r="Q37">
            <v>71.5</v>
          </cell>
          <cell r="R37">
            <v>97.2</v>
          </cell>
          <cell r="S37">
            <v>96.5</v>
          </cell>
          <cell r="T37">
            <v>99.4</v>
          </cell>
          <cell r="U37">
            <v>353.8</v>
          </cell>
          <cell r="V37">
            <v>468.1</v>
          </cell>
          <cell r="W37">
            <v>98.3</v>
          </cell>
          <cell r="X37">
            <v>72.5</v>
          </cell>
          <cell r="Z37">
            <v>2455</v>
          </cell>
          <cell r="AA37">
            <v>83.4</v>
          </cell>
          <cell r="AB37">
            <v>65.7</v>
          </cell>
          <cell r="AC37">
            <v>96.7</v>
          </cell>
          <cell r="AD37">
            <v>95.8</v>
          </cell>
          <cell r="AE37">
            <v>99.4</v>
          </cell>
          <cell r="AF37">
            <v>342.9</v>
          </cell>
          <cell r="AG37">
            <v>451.1</v>
          </cell>
          <cell r="AH37">
            <v>98</v>
          </cell>
          <cell r="AI37">
            <v>67</v>
          </cell>
        </row>
        <row r="38">
          <cell r="B38" t="str">
            <v>Wigan</v>
          </cell>
          <cell r="D38">
            <v>1895</v>
          </cell>
          <cell r="E38">
            <v>79</v>
          </cell>
          <cell r="F38">
            <v>58</v>
          </cell>
          <cell r="G38">
            <v>95.9</v>
          </cell>
          <cell r="H38">
            <v>94.8</v>
          </cell>
          <cell r="I38">
            <v>99.5</v>
          </cell>
          <cell r="J38">
            <v>328.7</v>
          </cell>
          <cell r="K38">
            <v>434.6</v>
          </cell>
          <cell r="L38">
            <v>97.5</v>
          </cell>
          <cell r="M38">
            <v>59.5</v>
          </cell>
          <cell r="O38">
            <v>1868</v>
          </cell>
          <cell r="P38">
            <v>84.4</v>
          </cell>
          <cell r="Q38">
            <v>69.5</v>
          </cell>
          <cell r="R38">
            <v>97.2</v>
          </cell>
          <cell r="S38">
            <v>96</v>
          </cell>
          <cell r="T38">
            <v>99.6</v>
          </cell>
          <cell r="U38">
            <v>348.8</v>
          </cell>
          <cell r="V38">
            <v>473.3</v>
          </cell>
          <cell r="W38">
            <v>98.3</v>
          </cell>
          <cell r="X38">
            <v>70.3</v>
          </cell>
          <cell r="Z38">
            <v>3763</v>
          </cell>
          <cell r="AA38">
            <v>81.7</v>
          </cell>
          <cell r="AB38">
            <v>63.8</v>
          </cell>
          <cell r="AC38">
            <v>96.5</v>
          </cell>
          <cell r="AD38">
            <v>95.4</v>
          </cell>
          <cell r="AE38">
            <v>99.5</v>
          </cell>
          <cell r="AF38">
            <v>338.7</v>
          </cell>
          <cell r="AG38">
            <v>453.8</v>
          </cell>
          <cell r="AH38">
            <v>97.9</v>
          </cell>
          <cell r="AI38">
            <v>64.900000000000006</v>
          </cell>
        </row>
        <row r="39">
          <cell r="B39" t="str">
            <v>Wirral</v>
          </cell>
          <cell r="D39">
            <v>1897</v>
          </cell>
          <cell r="E39">
            <v>83.3</v>
          </cell>
          <cell r="F39">
            <v>60.5</v>
          </cell>
          <cell r="G39">
            <v>95.2</v>
          </cell>
          <cell r="H39">
            <v>94.4</v>
          </cell>
          <cell r="I39">
            <v>99.7</v>
          </cell>
          <cell r="J39">
            <v>336.5</v>
          </cell>
          <cell r="K39">
            <v>438.9</v>
          </cell>
          <cell r="L39">
            <v>96.4</v>
          </cell>
          <cell r="M39">
            <v>61.8</v>
          </cell>
          <cell r="O39">
            <v>1832</v>
          </cell>
          <cell r="P39">
            <v>90.5</v>
          </cell>
          <cell r="Q39">
            <v>72.099999999999994</v>
          </cell>
          <cell r="R39">
            <v>97.3</v>
          </cell>
          <cell r="S39">
            <v>96.6</v>
          </cell>
          <cell r="T39">
            <v>99.6</v>
          </cell>
          <cell r="U39">
            <v>364.4</v>
          </cell>
          <cell r="V39">
            <v>493.4</v>
          </cell>
          <cell r="W39">
            <v>97.8</v>
          </cell>
          <cell r="X39">
            <v>72.400000000000006</v>
          </cell>
          <cell r="Z39">
            <v>3729</v>
          </cell>
          <cell r="AA39">
            <v>86.9</v>
          </cell>
          <cell r="AB39">
            <v>66.2</v>
          </cell>
          <cell r="AC39">
            <v>96.2</v>
          </cell>
          <cell r="AD39">
            <v>95.5</v>
          </cell>
          <cell r="AE39">
            <v>99.6</v>
          </cell>
          <cell r="AF39">
            <v>350.2</v>
          </cell>
          <cell r="AG39">
            <v>465.6</v>
          </cell>
          <cell r="AH39">
            <v>97.1</v>
          </cell>
          <cell r="AI39">
            <v>67</v>
          </cell>
        </row>
        <row r="40">
          <cell r="B40" t="str">
            <v>Yorkshire and the Humber</v>
          </cell>
          <cell r="D40">
            <v>29721</v>
          </cell>
          <cell r="E40">
            <v>81</v>
          </cell>
          <cell r="F40">
            <v>54.7</v>
          </cell>
          <cell r="G40">
            <v>95.1</v>
          </cell>
          <cell r="H40">
            <v>93.2</v>
          </cell>
          <cell r="I40">
            <v>99.3</v>
          </cell>
          <cell r="J40">
            <v>329.8</v>
          </cell>
          <cell r="K40">
            <v>459.4</v>
          </cell>
          <cell r="L40">
            <v>96.4</v>
          </cell>
          <cell r="M40">
            <v>55.4</v>
          </cell>
          <cell r="O40">
            <v>28540</v>
          </cell>
          <cell r="P40">
            <v>88.5</v>
          </cell>
          <cell r="Q40">
            <v>64.599999999999994</v>
          </cell>
          <cell r="R40">
            <v>97.2</v>
          </cell>
          <cell r="S40">
            <v>95.5</v>
          </cell>
          <cell r="T40">
            <v>99.5</v>
          </cell>
          <cell r="U40">
            <v>356.3</v>
          </cell>
          <cell r="V40">
            <v>511.9</v>
          </cell>
          <cell r="W40">
            <v>98.1</v>
          </cell>
          <cell r="X40">
            <v>65</v>
          </cell>
          <cell r="Z40">
            <v>58261</v>
          </cell>
          <cell r="AA40">
            <v>84.7</v>
          </cell>
          <cell r="AB40">
            <v>59.5</v>
          </cell>
          <cell r="AC40">
            <v>96.1</v>
          </cell>
          <cell r="AD40">
            <v>94.3</v>
          </cell>
          <cell r="AE40">
            <v>99.4</v>
          </cell>
          <cell r="AF40">
            <v>342.7</v>
          </cell>
          <cell r="AG40">
            <v>485.1</v>
          </cell>
          <cell r="AH40">
            <v>97.2</v>
          </cell>
          <cell r="AI40">
            <v>60.1</v>
          </cell>
        </row>
        <row r="41">
          <cell r="B41" t="str">
            <v>Barnsley</v>
          </cell>
          <cell r="D41">
            <v>1285</v>
          </cell>
          <cell r="E41">
            <v>71.8</v>
          </cell>
          <cell r="F41">
            <v>45.1</v>
          </cell>
          <cell r="G41">
            <v>94.2</v>
          </cell>
          <cell r="H41">
            <v>91.4</v>
          </cell>
          <cell r="I41">
            <v>99.9</v>
          </cell>
          <cell r="J41">
            <v>307.3</v>
          </cell>
          <cell r="K41">
            <v>401.6</v>
          </cell>
          <cell r="L41">
            <v>97</v>
          </cell>
          <cell r="M41">
            <v>46</v>
          </cell>
          <cell r="O41">
            <v>1271</v>
          </cell>
          <cell r="P41">
            <v>84.2</v>
          </cell>
          <cell r="Q41">
            <v>55.6</v>
          </cell>
          <cell r="R41">
            <v>97.2</v>
          </cell>
          <cell r="S41">
            <v>95.6</v>
          </cell>
          <cell r="T41">
            <v>100</v>
          </cell>
          <cell r="U41">
            <v>337.2</v>
          </cell>
          <cell r="V41">
            <v>456.8</v>
          </cell>
          <cell r="W41">
            <v>99.1</v>
          </cell>
          <cell r="X41">
            <v>56.1</v>
          </cell>
          <cell r="Z41">
            <v>2556</v>
          </cell>
          <cell r="AA41">
            <v>77.900000000000006</v>
          </cell>
          <cell r="AB41">
            <v>50.3</v>
          </cell>
          <cell r="AC41">
            <v>95.7</v>
          </cell>
          <cell r="AD41">
            <v>93.5</v>
          </cell>
          <cell r="AE41">
            <v>100</v>
          </cell>
          <cell r="AF41">
            <v>322.2</v>
          </cell>
          <cell r="AG41">
            <v>429.1</v>
          </cell>
          <cell r="AH41">
            <v>98</v>
          </cell>
          <cell r="AI41">
            <v>51</v>
          </cell>
        </row>
        <row r="42">
          <cell r="B42" t="str">
            <v>Bradford</v>
          </cell>
          <cell r="D42">
            <v>2810</v>
          </cell>
          <cell r="E42">
            <v>80.3</v>
          </cell>
          <cell r="F42">
            <v>49.4</v>
          </cell>
          <cell r="G42">
            <v>94.3</v>
          </cell>
          <cell r="H42">
            <v>91.5</v>
          </cell>
          <cell r="I42">
            <v>98.8</v>
          </cell>
          <cell r="J42">
            <v>326.39999999999998</v>
          </cell>
          <cell r="K42">
            <v>438.6</v>
          </cell>
          <cell r="L42">
            <v>96.2</v>
          </cell>
          <cell r="M42">
            <v>50.3</v>
          </cell>
          <cell r="O42">
            <v>2810</v>
          </cell>
          <cell r="P42">
            <v>86.5</v>
          </cell>
          <cell r="Q42">
            <v>56.6</v>
          </cell>
          <cell r="R42">
            <v>96.1</v>
          </cell>
          <cell r="S42">
            <v>93.5</v>
          </cell>
          <cell r="T42">
            <v>99.3</v>
          </cell>
          <cell r="U42">
            <v>347.7</v>
          </cell>
          <cell r="V42">
            <v>484.9</v>
          </cell>
          <cell r="W42">
            <v>97.4</v>
          </cell>
          <cell r="X42">
            <v>56.9</v>
          </cell>
          <cell r="Z42">
            <v>5620</v>
          </cell>
          <cell r="AA42">
            <v>83.4</v>
          </cell>
          <cell r="AB42">
            <v>53</v>
          </cell>
          <cell r="AC42">
            <v>95.2</v>
          </cell>
          <cell r="AD42">
            <v>92.5</v>
          </cell>
          <cell r="AE42">
            <v>99</v>
          </cell>
          <cell r="AF42">
            <v>337.1</v>
          </cell>
          <cell r="AG42">
            <v>461.8</v>
          </cell>
          <cell r="AH42">
            <v>96.8</v>
          </cell>
          <cell r="AI42">
            <v>53.6</v>
          </cell>
        </row>
        <row r="43">
          <cell r="B43" t="str">
            <v>Calderdale</v>
          </cell>
          <cell r="D43">
            <v>1354</v>
          </cell>
          <cell r="E43">
            <v>88.3</v>
          </cell>
          <cell r="F43">
            <v>60.9</v>
          </cell>
          <cell r="G43">
            <v>97.3</v>
          </cell>
          <cell r="H43">
            <v>95.6</v>
          </cell>
          <cell r="I43">
            <v>99</v>
          </cell>
          <cell r="J43">
            <v>345.2</v>
          </cell>
          <cell r="K43">
            <v>489.8</v>
          </cell>
          <cell r="L43">
            <v>97.3</v>
          </cell>
          <cell r="M43">
            <v>61</v>
          </cell>
          <cell r="O43">
            <v>1252</v>
          </cell>
          <cell r="P43">
            <v>93.7</v>
          </cell>
          <cell r="Q43">
            <v>70.8</v>
          </cell>
          <cell r="R43">
            <v>98.7</v>
          </cell>
          <cell r="S43">
            <v>96.8</v>
          </cell>
          <cell r="T43">
            <v>99.8</v>
          </cell>
          <cell r="U43">
            <v>374.7</v>
          </cell>
          <cell r="V43">
            <v>545.9</v>
          </cell>
          <cell r="W43">
            <v>99.1</v>
          </cell>
          <cell r="X43">
            <v>71</v>
          </cell>
          <cell r="Z43">
            <v>2606</v>
          </cell>
          <cell r="AA43">
            <v>90.9</v>
          </cell>
          <cell r="AB43">
            <v>65.7</v>
          </cell>
          <cell r="AC43">
            <v>98</v>
          </cell>
          <cell r="AD43">
            <v>96.2</v>
          </cell>
          <cell r="AE43">
            <v>99.4</v>
          </cell>
          <cell r="AF43">
            <v>359.4</v>
          </cell>
          <cell r="AG43">
            <v>516.79999999999995</v>
          </cell>
          <cell r="AH43">
            <v>98.2</v>
          </cell>
          <cell r="AI43">
            <v>65.8</v>
          </cell>
        </row>
        <row r="44">
          <cell r="B44" t="str">
            <v>Doncaster</v>
          </cell>
          <cell r="D44">
            <v>1731</v>
          </cell>
          <cell r="E44">
            <v>83.4</v>
          </cell>
          <cell r="F44">
            <v>51.5</v>
          </cell>
          <cell r="G44">
            <v>93.9</v>
          </cell>
          <cell r="H44">
            <v>91.5</v>
          </cell>
          <cell r="I44">
            <v>99.4</v>
          </cell>
          <cell r="J44">
            <v>323.8</v>
          </cell>
          <cell r="K44">
            <v>455.7</v>
          </cell>
          <cell r="L44">
            <v>95.3</v>
          </cell>
          <cell r="M44">
            <v>52.2</v>
          </cell>
          <cell r="O44">
            <v>1706</v>
          </cell>
          <cell r="P44">
            <v>89.7</v>
          </cell>
          <cell r="Q44">
            <v>61.7</v>
          </cell>
          <cell r="R44">
            <v>97.7</v>
          </cell>
          <cell r="S44">
            <v>95.3</v>
          </cell>
          <cell r="T44">
            <v>99.8</v>
          </cell>
          <cell r="U44">
            <v>356.3</v>
          </cell>
          <cell r="V44">
            <v>519.79999999999995</v>
          </cell>
          <cell r="W44">
            <v>98.5</v>
          </cell>
          <cell r="X44">
            <v>62</v>
          </cell>
          <cell r="Z44">
            <v>3437</v>
          </cell>
          <cell r="AA44">
            <v>86.5</v>
          </cell>
          <cell r="AB44">
            <v>56.6</v>
          </cell>
          <cell r="AC44">
            <v>95.8</v>
          </cell>
          <cell r="AD44">
            <v>93.4</v>
          </cell>
          <cell r="AE44">
            <v>99.6</v>
          </cell>
          <cell r="AF44">
            <v>340</v>
          </cell>
          <cell r="AG44">
            <v>487.6</v>
          </cell>
          <cell r="AH44">
            <v>96.9</v>
          </cell>
          <cell r="AI44">
            <v>57.1</v>
          </cell>
        </row>
        <row r="45">
          <cell r="B45" t="str">
            <v>East Riding of Yorkshire</v>
          </cell>
          <cell r="D45">
            <v>1976</v>
          </cell>
          <cell r="E45">
            <v>80</v>
          </cell>
          <cell r="F45">
            <v>55</v>
          </cell>
          <cell r="G45">
            <v>97.1</v>
          </cell>
          <cell r="H45">
            <v>95.7</v>
          </cell>
          <cell r="I45">
            <v>99.5</v>
          </cell>
          <cell r="J45">
            <v>332.8</v>
          </cell>
          <cell r="K45">
            <v>452.7</v>
          </cell>
          <cell r="L45">
            <v>97.9</v>
          </cell>
          <cell r="M45">
            <v>55.9</v>
          </cell>
          <cell r="O45">
            <v>1905</v>
          </cell>
          <cell r="P45">
            <v>86.6</v>
          </cell>
          <cell r="Q45">
            <v>67.2</v>
          </cell>
          <cell r="R45">
            <v>98.2</v>
          </cell>
          <cell r="S45">
            <v>97.3</v>
          </cell>
          <cell r="T45">
            <v>99.6</v>
          </cell>
          <cell r="U45">
            <v>355.6</v>
          </cell>
          <cell r="V45">
            <v>489.2</v>
          </cell>
          <cell r="W45">
            <v>98.5</v>
          </cell>
          <cell r="X45">
            <v>67.7</v>
          </cell>
          <cell r="Z45">
            <v>3881</v>
          </cell>
          <cell r="AA45">
            <v>83.2</v>
          </cell>
          <cell r="AB45">
            <v>61</v>
          </cell>
          <cell r="AC45">
            <v>97.6</v>
          </cell>
          <cell r="AD45">
            <v>96.5</v>
          </cell>
          <cell r="AE45">
            <v>99.6</v>
          </cell>
          <cell r="AF45">
            <v>344</v>
          </cell>
          <cell r="AG45">
            <v>470.6</v>
          </cell>
          <cell r="AH45">
            <v>98.2</v>
          </cell>
          <cell r="AI45">
            <v>61.7</v>
          </cell>
        </row>
        <row r="46">
          <cell r="B46" t="str">
            <v>Kingston upon Hull, City of</v>
          </cell>
          <cell r="D46">
            <v>1276</v>
          </cell>
          <cell r="E46">
            <v>86.4</v>
          </cell>
          <cell r="F46">
            <v>47.6</v>
          </cell>
          <cell r="G46">
            <v>94.4</v>
          </cell>
          <cell r="H46">
            <v>92.4</v>
          </cell>
          <cell r="I46">
            <v>99.4</v>
          </cell>
          <cell r="J46">
            <v>329.5</v>
          </cell>
          <cell r="K46">
            <v>480.2</v>
          </cell>
          <cell r="L46">
            <v>95.5</v>
          </cell>
          <cell r="M46">
            <v>47.9</v>
          </cell>
          <cell r="O46">
            <v>1182</v>
          </cell>
          <cell r="P46">
            <v>89.8</v>
          </cell>
          <cell r="Q46">
            <v>52.6</v>
          </cell>
          <cell r="R46">
            <v>97.6</v>
          </cell>
          <cell r="S46">
            <v>94</v>
          </cell>
          <cell r="T46">
            <v>99.6</v>
          </cell>
          <cell r="U46">
            <v>350.1</v>
          </cell>
          <cell r="V46">
            <v>522.29999999999995</v>
          </cell>
          <cell r="W46">
            <v>97.3</v>
          </cell>
          <cell r="X46">
            <v>52.8</v>
          </cell>
          <cell r="Z46">
            <v>2458</v>
          </cell>
          <cell r="AA46">
            <v>88</v>
          </cell>
          <cell r="AB46">
            <v>50</v>
          </cell>
          <cell r="AC46">
            <v>96</v>
          </cell>
          <cell r="AD46">
            <v>93.2</v>
          </cell>
          <cell r="AE46">
            <v>99.5</v>
          </cell>
          <cell r="AF46">
            <v>339.4</v>
          </cell>
          <cell r="AG46">
            <v>500.4</v>
          </cell>
          <cell r="AH46">
            <v>96.4</v>
          </cell>
          <cell r="AI46">
            <v>50.2</v>
          </cell>
        </row>
        <row r="47">
          <cell r="B47" t="str">
            <v>Kirklees</v>
          </cell>
          <cell r="D47">
            <v>2416</v>
          </cell>
          <cell r="E47">
            <v>80.599999999999994</v>
          </cell>
          <cell r="F47">
            <v>58.6</v>
          </cell>
          <cell r="G47">
            <v>96.2</v>
          </cell>
          <cell r="H47">
            <v>95.6</v>
          </cell>
          <cell r="I47">
            <v>99.7</v>
          </cell>
          <cell r="J47">
            <v>334.7</v>
          </cell>
          <cell r="K47">
            <v>466.7</v>
          </cell>
          <cell r="L47">
            <v>97.2</v>
          </cell>
          <cell r="M47">
            <v>60</v>
          </cell>
          <cell r="O47">
            <v>2221</v>
          </cell>
          <cell r="P47">
            <v>88.7</v>
          </cell>
          <cell r="Q47">
            <v>67</v>
          </cell>
          <cell r="R47">
            <v>98.7</v>
          </cell>
          <cell r="S47">
            <v>97.7</v>
          </cell>
          <cell r="T47">
            <v>99.9</v>
          </cell>
          <cell r="U47">
            <v>359.2</v>
          </cell>
          <cell r="V47">
            <v>515.4</v>
          </cell>
          <cell r="W47">
            <v>99.2</v>
          </cell>
          <cell r="X47">
            <v>67.400000000000006</v>
          </cell>
          <cell r="Z47">
            <v>4637</v>
          </cell>
          <cell r="AA47">
            <v>84.5</v>
          </cell>
          <cell r="AB47">
            <v>62.6</v>
          </cell>
          <cell r="AC47">
            <v>97.4</v>
          </cell>
          <cell r="AD47">
            <v>96.6</v>
          </cell>
          <cell r="AE47">
            <v>99.8</v>
          </cell>
          <cell r="AF47">
            <v>346.4</v>
          </cell>
          <cell r="AG47">
            <v>490</v>
          </cell>
          <cell r="AH47">
            <v>98.1</v>
          </cell>
          <cell r="AI47">
            <v>63.5</v>
          </cell>
        </row>
        <row r="48">
          <cell r="B48" t="str">
            <v>Leeds</v>
          </cell>
          <cell r="D48">
            <v>4035</v>
          </cell>
          <cell r="E48">
            <v>82.1</v>
          </cell>
          <cell r="F48">
            <v>52.4</v>
          </cell>
          <cell r="G48">
            <v>94.5</v>
          </cell>
          <cell r="H48">
            <v>91.7</v>
          </cell>
          <cell r="I48">
            <v>98.7</v>
          </cell>
          <cell r="J48">
            <v>327.8</v>
          </cell>
          <cell r="K48">
            <v>460.9</v>
          </cell>
          <cell r="L48">
            <v>96.1</v>
          </cell>
          <cell r="M48">
            <v>53</v>
          </cell>
          <cell r="O48">
            <v>3788</v>
          </cell>
          <cell r="P48">
            <v>90.4</v>
          </cell>
          <cell r="Q48">
            <v>62.5</v>
          </cell>
          <cell r="R48">
            <v>97</v>
          </cell>
          <cell r="S48">
            <v>95.1</v>
          </cell>
          <cell r="T48">
            <v>99.2</v>
          </cell>
          <cell r="U48">
            <v>357</v>
          </cell>
          <cell r="V48">
            <v>518.9</v>
          </cell>
          <cell r="W48">
            <v>98.1</v>
          </cell>
          <cell r="X48">
            <v>62.8</v>
          </cell>
          <cell r="Z48">
            <v>7823</v>
          </cell>
          <cell r="AA48">
            <v>86.1</v>
          </cell>
          <cell r="AB48">
            <v>57.3</v>
          </cell>
          <cell r="AC48">
            <v>95.7</v>
          </cell>
          <cell r="AD48">
            <v>93.4</v>
          </cell>
          <cell r="AE48">
            <v>98.9</v>
          </cell>
          <cell r="AF48">
            <v>341.9</v>
          </cell>
          <cell r="AG48">
            <v>489</v>
          </cell>
          <cell r="AH48">
            <v>97</v>
          </cell>
          <cell r="AI48">
            <v>57.7</v>
          </cell>
        </row>
        <row r="49">
          <cell r="B49" t="str">
            <v>North East Lincolnshire</v>
          </cell>
          <cell r="D49">
            <v>898</v>
          </cell>
          <cell r="E49">
            <v>83.9</v>
          </cell>
          <cell r="F49">
            <v>53.9</v>
          </cell>
          <cell r="G49">
            <v>93.3</v>
          </cell>
          <cell r="H49">
            <v>92</v>
          </cell>
          <cell r="I49">
            <v>99.4</v>
          </cell>
          <cell r="J49">
            <v>327.10000000000002</v>
          </cell>
          <cell r="K49">
            <v>478.8</v>
          </cell>
          <cell r="L49">
            <v>95.1</v>
          </cell>
          <cell r="M49">
            <v>54.1</v>
          </cell>
          <cell r="O49">
            <v>947</v>
          </cell>
          <cell r="P49">
            <v>90.2</v>
          </cell>
          <cell r="Q49">
            <v>62.8</v>
          </cell>
          <cell r="R49">
            <v>95.7</v>
          </cell>
          <cell r="S49">
            <v>93.5</v>
          </cell>
          <cell r="T49">
            <v>99.3</v>
          </cell>
          <cell r="U49">
            <v>351</v>
          </cell>
          <cell r="V49">
            <v>528.70000000000005</v>
          </cell>
          <cell r="W49">
            <v>97.3</v>
          </cell>
          <cell r="X49">
            <v>62.9</v>
          </cell>
          <cell r="Z49">
            <v>1845</v>
          </cell>
          <cell r="AA49">
            <v>87.1</v>
          </cell>
          <cell r="AB49">
            <v>58.5</v>
          </cell>
          <cell r="AC49">
            <v>94.5</v>
          </cell>
          <cell r="AD49">
            <v>92.7</v>
          </cell>
          <cell r="AE49">
            <v>99.3</v>
          </cell>
          <cell r="AF49">
            <v>339.3</v>
          </cell>
          <cell r="AG49">
            <v>504.4</v>
          </cell>
          <cell r="AH49">
            <v>96.2</v>
          </cell>
          <cell r="AI49">
            <v>58.6</v>
          </cell>
        </row>
        <row r="50">
          <cell r="B50" t="str">
            <v>North Lincolnshire</v>
          </cell>
          <cell r="D50">
            <v>987</v>
          </cell>
          <cell r="E50">
            <v>85.3</v>
          </cell>
          <cell r="F50">
            <v>49</v>
          </cell>
          <cell r="G50">
            <v>96.5</v>
          </cell>
          <cell r="H50">
            <v>94.7</v>
          </cell>
          <cell r="I50">
            <v>99.7</v>
          </cell>
          <cell r="J50">
            <v>341.5</v>
          </cell>
          <cell r="K50">
            <v>470.4</v>
          </cell>
          <cell r="L50">
            <v>97.3</v>
          </cell>
          <cell r="M50">
            <v>49.4</v>
          </cell>
          <cell r="O50">
            <v>958</v>
          </cell>
          <cell r="P50">
            <v>93.5</v>
          </cell>
          <cell r="Q50">
            <v>64.7</v>
          </cell>
          <cell r="R50">
            <v>98.4</v>
          </cell>
          <cell r="S50">
            <v>97.1</v>
          </cell>
          <cell r="T50">
            <v>100</v>
          </cell>
          <cell r="U50">
            <v>369.4</v>
          </cell>
          <cell r="V50">
            <v>530.79999999999995</v>
          </cell>
          <cell r="W50">
            <v>98.5</v>
          </cell>
          <cell r="X50">
            <v>64.900000000000006</v>
          </cell>
          <cell r="Z50">
            <v>1945</v>
          </cell>
          <cell r="AA50">
            <v>89.4</v>
          </cell>
          <cell r="AB50">
            <v>56.8</v>
          </cell>
          <cell r="AC50">
            <v>97.4</v>
          </cell>
          <cell r="AD50">
            <v>95.9</v>
          </cell>
          <cell r="AE50">
            <v>99.8</v>
          </cell>
          <cell r="AF50">
            <v>355.2</v>
          </cell>
          <cell r="AG50">
            <v>500.2</v>
          </cell>
          <cell r="AH50">
            <v>97.9</v>
          </cell>
          <cell r="AI50">
            <v>57.1</v>
          </cell>
        </row>
        <row r="51">
          <cell r="B51" t="str">
            <v>North Yorkshire</v>
          </cell>
          <cell r="D51">
            <v>3448</v>
          </cell>
          <cell r="E51">
            <v>80.900000000000006</v>
          </cell>
          <cell r="F51">
            <v>59.3</v>
          </cell>
          <cell r="G51">
            <v>96.9</v>
          </cell>
          <cell r="H51">
            <v>94.9</v>
          </cell>
          <cell r="I51">
            <v>99.2</v>
          </cell>
          <cell r="J51">
            <v>340.4</v>
          </cell>
          <cell r="K51">
            <v>468.6</v>
          </cell>
          <cell r="L51">
            <v>97.2</v>
          </cell>
          <cell r="M51">
            <v>60</v>
          </cell>
          <cell r="O51">
            <v>3332</v>
          </cell>
          <cell r="P51">
            <v>88</v>
          </cell>
          <cell r="Q51">
            <v>71.7</v>
          </cell>
          <cell r="R51">
            <v>98.2</v>
          </cell>
          <cell r="S51">
            <v>97</v>
          </cell>
          <cell r="T51">
            <v>99.6</v>
          </cell>
          <cell r="U51">
            <v>363.8</v>
          </cell>
          <cell r="V51">
            <v>518.29999999999995</v>
          </cell>
          <cell r="W51">
            <v>98.4</v>
          </cell>
          <cell r="X51">
            <v>72.3</v>
          </cell>
          <cell r="Z51">
            <v>6780</v>
          </cell>
          <cell r="AA51">
            <v>84.4</v>
          </cell>
          <cell r="AB51">
            <v>65.400000000000006</v>
          </cell>
          <cell r="AC51">
            <v>97.5</v>
          </cell>
          <cell r="AD51">
            <v>95.9</v>
          </cell>
          <cell r="AE51">
            <v>99.4</v>
          </cell>
          <cell r="AF51">
            <v>351.9</v>
          </cell>
          <cell r="AG51">
            <v>493</v>
          </cell>
          <cell r="AH51">
            <v>97.8</v>
          </cell>
          <cell r="AI51">
            <v>66</v>
          </cell>
        </row>
        <row r="52">
          <cell r="B52" t="str">
            <v>Rotherham</v>
          </cell>
          <cell r="D52">
            <v>1827</v>
          </cell>
          <cell r="E52">
            <v>80.3</v>
          </cell>
          <cell r="F52">
            <v>58.8</v>
          </cell>
          <cell r="G52">
            <v>94.3</v>
          </cell>
          <cell r="H52">
            <v>92.5</v>
          </cell>
          <cell r="I52">
            <v>99.2</v>
          </cell>
          <cell r="J52">
            <v>323.89999999999998</v>
          </cell>
          <cell r="K52">
            <v>447.5</v>
          </cell>
          <cell r="L52">
            <v>95.3</v>
          </cell>
          <cell r="M52">
            <v>59.4</v>
          </cell>
          <cell r="O52">
            <v>1669</v>
          </cell>
          <cell r="P52">
            <v>89.7</v>
          </cell>
          <cell r="Q52">
            <v>68.900000000000006</v>
          </cell>
          <cell r="R52">
            <v>96.9</v>
          </cell>
          <cell r="S52">
            <v>95.1</v>
          </cell>
          <cell r="T52">
            <v>99.5</v>
          </cell>
          <cell r="U52">
            <v>356.5</v>
          </cell>
          <cell r="V52">
            <v>509.9</v>
          </cell>
          <cell r="W52">
            <v>97.7</v>
          </cell>
          <cell r="X52">
            <v>69.2</v>
          </cell>
          <cell r="Z52">
            <v>3496</v>
          </cell>
          <cell r="AA52">
            <v>84.8</v>
          </cell>
          <cell r="AB52">
            <v>63.6</v>
          </cell>
          <cell r="AC52">
            <v>95.5</v>
          </cell>
          <cell r="AD52">
            <v>93.7</v>
          </cell>
          <cell r="AE52">
            <v>99.4</v>
          </cell>
          <cell r="AF52">
            <v>339.5</v>
          </cell>
          <cell r="AG52">
            <v>477.3</v>
          </cell>
          <cell r="AH52">
            <v>96.5</v>
          </cell>
          <cell r="AI52">
            <v>64.099999999999994</v>
          </cell>
        </row>
        <row r="53">
          <cell r="B53" t="str">
            <v>Sheffield</v>
          </cell>
          <cell r="D53">
            <v>2794</v>
          </cell>
          <cell r="E53">
            <v>70.7</v>
          </cell>
          <cell r="F53">
            <v>51.8</v>
          </cell>
          <cell r="G53">
            <v>92.4</v>
          </cell>
          <cell r="H53">
            <v>90.6</v>
          </cell>
          <cell r="I53">
            <v>99.2</v>
          </cell>
          <cell r="J53">
            <v>311.7</v>
          </cell>
          <cell r="K53">
            <v>424.1</v>
          </cell>
          <cell r="L53">
            <v>94.3</v>
          </cell>
          <cell r="M53">
            <v>53.7</v>
          </cell>
          <cell r="O53">
            <v>2735</v>
          </cell>
          <cell r="P53">
            <v>82</v>
          </cell>
          <cell r="Q53">
            <v>62.9</v>
          </cell>
          <cell r="R53">
            <v>94.6</v>
          </cell>
          <cell r="S53">
            <v>92.4</v>
          </cell>
          <cell r="T53">
            <v>98.8</v>
          </cell>
          <cell r="U53">
            <v>342.3</v>
          </cell>
          <cell r="V53">
            <v>481.4</v>
          </cell>
          <cell r="W53">
            <v>96.5</v>
          </cell>
          <cell r="X53">
            <v>63.9</v>
          </cell>
          <cell r="Z53">
            <v>5529</v>
          </cell>
          <cell r="AA53">
            <v>76.3</v>
          </cell>
          <cell r="AB53">
            <v>57.3</v>
          </cell>
          <cell r="AC53">
            <v>93.5</v>
          </cell>
          <cell r="AD53">
            <v>91.5</v>
          </cell>
          <cell r="AE53">
            <v>99</v>
          </cell>
          <cell r="AF53">
            <v>326.89999999999998</v>
          </cell>
          <cell r="AG53">
            <v>452.4</v>
          </cell>
          <cell r="AH53">
            <v>95.4</v>
          </cell>
          <cell r="AI53">
            <v>58.7</v>
          </cell>
        </row>
        <row r="54">
          <cell r="B54" t="str">
            <v>Wakefield</v>
          </cell>
          <cell r="D54">
            <v>2005</v>
          </cell>
          <cell r="E54">
            <v>86.4</v>
          </cell>
          <cell r="F54">
            <v>62.4</v>
          </cell>
          <cell r="G54">
            <v>95.1</v>
          </cell>
          <cell r="H54">
            <v>93.8</v>
          </cell>
          <cell r="I54">
            <v>99.6</v>
          </cell>
          <cell r="J54">
            <v>339</v>
          </cell>
          <cell r="K54">
            <v>513.1</v>
          </cell>
          <cell r="L54">
            <v>96.8</v>
          </cell>
          <cell r="M54">
            <v>62.5</v>
          </cell>
          <cell r="O54">
            <v>1917</v>
          </cell>
          <cell r="P54">
            <v>91.7</v>
          </cell>
          <cell r="Q54">
            <v>70.400000000000006</v>
          </cell>
          <cell r="R54">
            <v>97.1</v>
          </cell>
          <cell r="S54">
            <v>96.3</v>
          </cell>
          <cell r="T54">
            <v>99.4</v>
          </cell>
          <cell r="U54">
            <v>367.4</v>
          </cell>
          <cell r="V54">
            <v>572.4</v>
          </cell>
          <cell r="W54">
            <v>98.4</v>
          </cell>
          <cell r="X54">
            <v>70.599999999999994</v>
          </cell>
          <cell r="Z54">
            <v>3922</v>
          </cell>
          <cell r="AA54">
            <v>89</v>
          </cell>
          <cell r="AB54">
            <v>66.3</v>
          </cell>
          <cell r="AC54">
            <v>96.1</v>
          </cell>
          <cell r="AD54">
            <v>95</v>
          </cell>
          <cell r="AE54">
            <v>99.5</v>
          </cell>
          <cell r="AF54">
            <v>352.9</v>
          </cell>
          <cell r="AG54">
            <v>542.1</v>
          </cell>
          <cell r="AH54">
            <v>97.6</v>
          </cell>
          <cell r="AI54">
            <v>66.5</v>
          </cell>
        </row>
        <row r="55">
          <cell r="B55" t="str">
            <v>York</v>
          </cell>
          <cell r="D55">
            <v>879</v>
          </cell>
          <cell r="E55">
            <v>85</v>
          </cell>
          <cell r="F55">
            <v>63.4</v>
          </cell>
          <cell r="G55">
            <v>97.6</v>
          </cell>
          <cell r="H55">
            <v>96.8</v>
          </cell>
          <cell r="I55">
            <v>99.5</v>
          </cell>
          <cell r="J55">
            <v>346.5</v>
          </cell>
          <cell r="K55">
            <v>474.8</v>
          </cell>
          <cell r="L55">
            <v>98</v>
          </cell>
          <cell r="M55">
            <v>63.6</v>
          </cell>
          <cell r="O55">
            <v>847</v>
          </cell>
          <cell r="P55">
            <v>90</v>
          </cell>
          <cell r="Q55">
            <v>71.7</v>
          </cell>
          <cell r="R55">
            <v>98.6</v>
          </cell>
          <cell r="S55">
            <v>97.6</v>
          </cell>
          <cell r="T55">
            <v>99.8</v>
          </cell>
          <cell r="U55">
            <v>365.5</v>
          </cell>
          <cell r="V55">
            <v>514.70000000000005</v>
          </cell>
          <cell r="W55">
            <v>98.8</v>
          </cell>
          <cell r="X55">
            <v>72</v>
          </cell>
          <cell r="Z55">
            <v>1726</v>
          </cell>
          <cell r="AA55">
            <v>87.4</v>
          </cell>
          <cell r="AB55">
            <v>67.400000000000006</v>
          </cell>
          <cell r="AC55">
            <v>98.1</v>
          </cell>
          <cell r="AD55">
            <v>97.2</v>
          </cell>
          <cell r="AE55">
            <v>99.7</v>
          </cell>
          <cell r="AF55">
            <v>355.8</v>
          </cell>
          <cell r="AG55">
            <v>494.4</v>
          </cell>
          <cell r="AH55">
            <v>98.4</v>
          </cell>
          <cell r="AI55">
            <v>67.7</v>
          </cell>
        </row>
        <row r="56">
          <cell r="B56" t="str">
            <v>East Midlands</v>
          </cell>
          <cell r="D56">
            <v>25559</v>
          </cell>
          <cell r="E56">
            <v>79.2</v>
          </cell>
          <cell r="F56">
            <v>53.8</v>
          </cell>
          <cell r="G56">
            <v>94.7</v>
          </cell>
          <cell r="H56">
            <v>93.1</v>
          </cell>
          <cell r="I56">
            <v>99.1</v>
          </cell>
          <cell r="J56">
            <v>328.4</v>
          </cell>
          <cell r="K56">
            <v>443.3</v>
          </cell>
          <cell r="L56">
            <v>95.7</v>
          </cell>
          <cell r="M56">
            <v>54.6</v>
          </cell>
          <cell r="O56">
            <v>24627</v>
          </cell>
          <cell r="P56">
            <v>86.4</v>
          </cell>
          <cell r="Q56">
            <v>65</v>
          </cell>
          <cell r="R56">
            <v>97</v>
          </cell>
          <cell r="S56">
            <v>95.7</v>
          </cell>
          <cell r="T56">
            <v>99.5</v>
          </cell>
          <cell r="U56">
            <v>353.6</v>
          </cell>
          <cell r="V56">
            <v>485.6</v>
          </cell>
          <cell r="W56">
            <v>97.9</v>
          </cell>
          <cell r="X56">
            <v>65.599999999999994</v>
          </cell>
          <cell r="Z56">
            <v>50186</v>
          </cell>
          <cell r="AA56">
            <v>82.8</v>
          </cell>
          <cell r="AB56">
            <v>59.3</v>
          </cell>
          <cell r="AC56">
            <v>95.8</v>
          </cell>
          <cell r="AD56">
            <v>94.3</v>
          </cell>
          <cell r="AE56">
            <v>99.3</v>
          </cell>
          <cell r="AF56">
            <v>340.8</v>
          </cell>
          <cell r="AG56">
            <v>464.1</v>
          </cell>
          <cell r="AH56">
            <v>96.8</v>
          </cell>
          <cell r="AI56">
            <v>60</v>
          </cell>
        </row>
        <row r="57">
          <cell r="B57" t="str">
            <v>Derby</v>
          </cell>
          <cell r="D57">
            <v>1464</v>
          </cell>
          <cell r="E57">
            <v>77.400000000000006</v>
          </cell>
          <cell r="F57">
            <v>49.2</v>
          </cell>
          <cell r="G57">
            <v>94.5</v>
          </cell>
          <cell r="H57">
            <v>93.6</v>
          </cell>
          <cell r="I57">
            <v>98.9</v>
          </cell>
          <cell r="J57">
            <v>329.7</v>
          </cell>
          <cell r="K57">
            <v>443</v>
          </cell>
          <cell r="L57">
            <v>95.1</v>
          </cell>
          <cell r="M57">
            <v>50.5</v>
          </cell>
          <cell r="O57">
            <v>1478</v>
          </cell>
          <cell r="P57">
            <v>86.1</v>
          </cell>
          <cell r="Q57">
            <v>62</v>
          </cell>
          <cell r="R57">
            <v>96.7</v>
          </cell>
          <cell r="S57">
            <v>94.7</v>
          </cell>
          <cell r="T57">
            <v>98.8</v>
          </cell>
          <cell r="U57">
            <v>354</v>
          </cell>
          <cell r="V57">
            <v>493.7</v>
          </cell>
          <cell r="W57">
            <v>97.5</v>
          </cell>
          <cell r="X57">
            <v>62.9</v>
          </cell>
          <cell r="Z57">
            <v>2942</v>
          </cell>
          <cell r="AA57">
            <v>81.8</v>
          </cell>
          <cell r="AB57">
            <v>55.6</v>
          </cell>
          <cell r="AC57">
            <v>95.6</v>
          </cell>
          <cell r="AD57">
            <v>94.2</v>
          </cell>
          <cell r="AE57">
            <v>98.9</v>
          </cell>
          <cell r="AF57">
            <v>341.9</v>
          </cell>
          <cell r="AG57">
            <v>468.5</v>
          </cell>
          <cell r="AH57">
            <v>96.3</v>
          </cell>
          <cell r="AI57">
            <v>56.7</v>
          </cell>
        </row>
        <row r="58">
          <cell r="B58" t="str">
            <v>Derbyshire</v>
          </cell>
          <cell r="D58">
            <v>4216</v>
          </cell>
          <cell r="E58">
            <v>78</v>
          </cell>
          <cell r="F58">
            <v>52.7</v>
          </cell>
          <cell r="G58">
            <v>95.5</v>
          </cell>
          <cell r="H58">
            <v>94</v>
          </cell>
          <cell r="I58">
            <v>99.2</v>
          </cell>
          <cell r="J58">
            <v>326.3</v>
          </cell>
          <cell r="K58">
            <v>431.4</v>
          </cell>
          <cell r="L58">
            <v>96.3</v>
          </cell>
          <cell r="M58">
            <v>53.4</v>
          </cell>
          <cell r="O58">
            <v>4168</v>
          </cell>
          <cell r="P58">
            <v>85.3</v>
          </cell>
          <cell r="Q58">
            <v>65.7</v>
          </cell>
          <cell r="R58">
            <v>97.3</v>
          </cell>
          <cell r="S58">
            <v>96.4</v>
          </cell>
          <cell r="T58">
            <v>99.7</v>
          </cell>
          <cell r="U58">
            <v>351.7</v>
          </cell>
          <cell r="V58">
            <v>471.8</v>
          </cell>
          <cell r="W58">
            <v>98.4</v>
          </cell>
          <cell r="X58">
            <v>66.3</v>
          </cell>
          <cell r="Z58">
            <v>8384</v>
          </cell>
          <cell r="AA58">
            <v>81.599999999999994</v>
          </cell>
          <cell r="AB58">
            <v>59.1</v>
          </cell>
          <cell r="AC58">
            <v>96.4</v>
          </cell>
          <cell r="AD58">
            <v>95.2</v>
          </cell>
          <cell r="AE58">
            <v>99.5</v>
          </cell>
          <cell r="AF58">
            <v>338.9</v>
          </cell>
          <cell r="AG58">
            <v>451.5</v>
          </cell>
          <cell r="AH58">
            <v>97.4</v>
          </cell>
          <cell r="AI58">
            <v>59.8</v>
          </cell>
        </row>
        <row r="59">
          <cell r="B59" t="str">
            <v>Leicester</v>
          </cell>
          <cell r="D59">
            <v>1811</v>
          </cell>
          <cell r="E59">
            <v>75.5</v>
          </cell>
          <cell r="F59">
            <v>50.4</v>
          </cell>
          <cell r="G59">
            <v>91.7</v>
          </cell>
          <cell r="H59">
            <v>89.8</v>
          </cell>
          <cell r="I59">
            <v>98.1</v>
          </cell>
          <cell r="J59">
            <v>317.89999999999998</v>
          </cell>
          <cell r="K59">
            <v>430</v>
          </cell>
          <cell r="L59">
            <v>92.9</v>
          </cell>
          <cell r="M59">
            <v>50.6</v>
          </cell>
          <cell r="O59">
            <v>1667</v>
          </cell>
          <cell r="P59">
            <v>84.2</v>
          </cell>
          <cell r="Q59">
            <v>59.6</v>
          </cell>
          <cell r="R59">
            <v>95.4</v>
          </cell>
          <cell r="S59">
            <v>92.8</v>
          </cell>
          <cell r="T59">
            <v>99.3</v>
          </cell>
          <cell r="U59">
            <v>344.1</v>
          </cell>
          <cell r="V59">
            <v>475.3</v>
          </cell>
          <cell r="W59">
            <v>96.2</v>
          </cell>
          <cell r="X59">
            <v>60.1</v>
          </cell>
          <cell r="Z59">
            <v>3478</v>
          </cell>
          <cell r="AA59">
            <v>79.599999999999994</v>
          </cell>
          <cell r="AB59">
            <v>54.8</v>
          </cell>
          <cell r="AC59">
            <v>93.4</v>
          </cell>
          <cell r="AD59">
            <v>91.3</v>
          </cell>
          <cell r="AE59">
            <v>98.6</v>
          </cell>
          <cell r="AF59">
            <v>330.4</v>
          </cell>
          <cell r="AG59">
            <v>451.7</v>
          </cell>
          <cell r="AH59">
            <v>94.5</v>
          </cell>
          <cell r="AI59">
            <v>55.2</v>
          </cell>
        </row>
        <row r="60">
          <cell r="B60" t="str">
            <v>Leicestershire</v>
          </cell>
          <cell r="D60">
            <v>3729</v>
          </cell>
          <cell r="E60">
            <v>78.7</v>
          </cell>
          <cell r="F60">
            <v>55.3</v>
          </cell>
          <cell r="G60">
            <v>95.8</v>
          </cell>
          <cell r="H60">
            <v>94.7</v>
          </cell>
          <cell r="I60">
            <v>99.4</v>
          </cell>
          <cell r="J60">
            <v>332.2</v>
          </cell>
          <cell r="K60">
            <v>441.1</v>
          </cell>
          <cell r="L60">
            <v>96.8</v>
          </cell>
          <cell r="M60">
            <v>56.1</v>
          </cell>
          <cell r="O60">
            <v>3546</v>
          </cell>
          <cell r="P60">
            <v>85.5</v>
          </cell>
          <cell r="Q60">
            <v>63.9</v>
          </cell>
          <cell r="R60">
            <v>96.8</v>
          </cell>
          <cell r="S60">
            <v>96</v>
          </cell>
          <cell r="T60">
            <v>99.4</v>
          </cell>
          <cell r="U60">
            <v>352.5</v>
          </cell>
          <cell r="V60">
            <v>469.4</v>
          </cell>
          <cell r="W60">
            <v>97.9</v>
          </cell>
          <cell r="X60">
            <v>64.400000000000006</v>
          </cell>
          <cell r="Z60">
            <v>7275</v>
          </cell>
          <cell r="AA60">
            <v>82</v>
          </cell>
          <cell r="AB60">
            <v>59.5</v>
          </cell>
          <cell r="AC60">
            <v>96.3</v>
          </cell>
          <cell r="AD60">
            <v>95.3</v>
          </cell>
          <cell r="AE60">
            <v>99.4</v>
          </cell>
          <cell r="AF60">
            <v>342.1</v>
          </cell>
          <cell r="AG60">
            <v>454.9</v>
          </cell>
          <cell r="AH60">
            <v>97.3</v>
          </cell>
          <cell r="AI60">
            <v>60.2</v>
          </cell>
        </row>
        <row r="61">
          <cell r="B61" t="str">
            <v>Lincolnshire</v>
          </cell>
          <cell r="D61">
            <v>4239</v>
          </cell>
          <cell r="E61">
            <v>81.099999999999994</v>
          </cell>
          <cell r="F61">
            <v>55.7</v>
          </cell>
          <cell r="G61">
            <v>95.4</v>
          </cell>
          <cell r="H61">
            <v>93.7</v>
          </cell>
          <cell r="I61">
            <v>99.5</v>
          </cell>
          <cell r="J61">
            <v>334.2</v>
          </cell>
          <cell r="K61">
            <v>456.1</v>
          </cell>
          <cell r="L61">
            <v>96.3</v>
          </cell>
          <cell r="M61">
            <v>56.7</v>
          </cell>
          <cell r="O61">
            <v>4035</v>
          </cell>
          <cell r="P61">
            <v>88.2</v>
          </cell>
          <cell r="Q61">
            <v>68.099999999999994</v>
          </cell>
          <cell r="R61">
            <v>98</v>
          </cell>
          <cell r="S61">
            <v>96.9</v>
          </cell>
          <cell r="T61">
            <v>99.7</v>
          </cell>
          <cell r="U61">
            <v>359.6</v>
          </cell>
          <cell r="V61">
            <v>492.8</v>
          </cell>
          <cell r="W61">
            <v>98.5</v>
          </cell>
          <cell r="X61">
            <v>68.599999999999994</v>
          </cell>
          <cell r="Z61">
            <v>8274</v>
          </cell>
          <cell r="AA61">
            <v>84.5</v>
          </cell>
          <cell r="AB61">
            <v>61.8</v>
          </cell>
          <cell r="AC61">
            <v>96.7</v>
          </cell>
          <cell r="AD61">
            <v>95.3</v>
          </cell>
          <cell r="AE61">
            <v>99.6</v>
          </cell>
          <cell r="AF61">
            <v>346.6</v>
          </cell>
          <cell r="AG61">
            <v>474</v>
          </cell>
          <cell r="AH61">
            <v>97.4</v>
          </cell>
          <cell r="AI61">
            <v>62.5</v>
          </cell>
        </row>
        <row r="62">
          <cell r="B62" t="str">
            <v>Northamptonshire</v>
          </cell>
          <cell r="D62">
            <v>4047</v>
          </cell>
          <cell r="E62">
            <v>76.2</v>
          </cell>
          <cell r="F62">
            <v>53.3</v>
          </cell>
          <cell r="G62">
            <v>94.4</v>
          </cell>
          <cell r="H62">
            <v>92.8</v>
          </cell>
          <cell r="I62">
            <v>99</v>
          </cell>
          <cell r="J62">
            <v>324.3</v>
          </cell>
          <cell r="K62">
            <v>435.4</v>
          </cell>
          <cell r="L62">
            <v>95.5</v>
          </cell>
          <cell r="M62">
            <v>54.4</v>
          </cell>
          <cell r="O62">
            <v>3925</v>
          </cell>
          <cell r="P62">
            <v>84</v>
          </cell>
          <cell r="Q62">
            <v>63</v>
          </cell>
          <cell r="R62">
            <v>96.6</v>
          </cell>
          <cell r="S62">
            <v>95.4</v>
          </cell>
          <cell r="T62">
            <v>99.5</v>
          </cell>
          <cell r="U62">
            <v>349.4</v>
          </cell>
          <cell r="V62">
            <v>481.2</v>
          </cell>
          <cell r="W62">
            <v>97.3</v>
          </cell>
          <cell r="X62">
            <v>63.9</v>
          </cell>
          <cell r="Z62">
            <v>7972</v>
          </cell>
          <cell r="AA62">
            <v>80</v>
          </cell>
          <cell r="AB62">
            <v>58.1</v>
          </cell>
          <cell r="AC62">
            <v>95.5</v>
          </cell>
          <cell r="AD62">
            <v>94.1</v>
          </cell>
          <cell r="AE62">
            <v>99.2</v>
          </cell>
          <cell r="AF62">
            <v>336.7</v>
          </cell>
          <cell r="AG62">
            <v>457.9</v>
          </cell>
          <cell r="AH62">
            <v>96.4</v>
          </cell>
          <cell r="AI62">
            <v>59.1</v>
          </cell>
        </row>
        <row r="63">
          <cell r="B63" t="str">
            <v>Nottingham</v>
          </cell>
          <cell r="D63">
            <v>1414</v>
          </cell>
          <cell r="E63">
            <v>72.3</v>
          </cell>
          <cell r="F63">
            <v>45.1</v>
          </cell>
          <cell r="G63">
            <v>87.3</v>
          </cell>
          <cell r="H63">
            <v>84</v>
          </cell>
          <cell r="I63">
            <v>97.9</v>
          </cell>
          <cell r="J63">
            <v>297</v>
          </cell>
          <cell r="K63">
            <v>384.1</v>
          </cell>
          <cell r="L63">
            <v>91.1</v>
          </cell>
          <cell r="M63">
            <v>45.9</v>
          </cell>
          <cell r="O63">
            <v>1305</v>
          </cell>
          <cell r="P63">
            <v>83.9</v>
          </cell>
          <cell r="Q63">
            <v>55.9</v>
          </cell>
          <cell r="R63">
            <v>94.3</v>
          </cell>
          <cell r="S63">
            <v>91.3</v>
          </cell>
          <cell r="T63">
            <v>99.2</v>
          </cell>
          <cell r="U63">
            <v>340.5</v>
          </cell>
          <cell r="V63">
            <v>467.8</v>
          </cell>
          <cell r="W63">
            <v>96.8</v>
          </cell>
          <cell r="X63">
            <v>56.4</v>
          </cell>
          <cell r="Z63">
            <v>2719</v>
          </cell>
          <cell r="AA63">
            <v>77.900000000000006</v>
          </cell>
          <cell r="AB63">
            <v>50.3</v>
          </cell>
          <cell r="AC63">
            <v>90.7</v>
          </cell>
          <cell r="AD63">
            <v>87.5</v>
          </cell>
          <cell r="AE63">
            <v>98.5</v>
          </cell>
          <cell r="AF63">
            <v>317.89999999999998</v>
          </cell>
          <cell r="AG63">
            <v>424.3</v>
          </cell>
          <cell r="AH63">
            <v>93.8</v>
          </cell>
          <cell r="AI63">
            <v>50.9</v>
          </cell>
        </row>
        <row r="64">
          <cell r="B64" t="str">
            <v>Nottinghamshire</v>
          </cell>
          <cell r="D64">
            <v>4389</v>
          </cell>
          <cell r="E64">
            <v>86.2</v>
          </cell>
          <cell r="F64">
            <v>57.4</v>
          </cell>
          <cell r="G64">
            <v>95.8</v>
          </cell>
          <cell r="H64">
            <v>94.2</v>
          </cell>
          <cell r="I64">
            <v>99.4</v>
          </cell>
          <cell r="J64">
            <v>338.9</v>
          </cell>
          <cell r="K64">
            <v>476.4</v>
          </cell>
          <cell r="L64">
            <v>96.7</v>
          </cell>
          <cell r="M64">
            <v>57.8</v>
          </cell>
          <cell r="O64">
            <v>4280</v>
          </cell>
          <cell r="P64">
            <v>90.6</v>
          </cell>
          <cell r="Q64">
            <v>69.400000000000006</v>
          </cell>
          <cell r="R64">
            <v>97.8</v>
          </cell>
          <cell r="S64">
            <v>96.3</v>
          </cell>
          <cell r="T64">
            <v>99.6</v>
          </cell>
          <cell r="U64">
            <v>361.5</v>
          </cell>
          <cell r="V64">
            <v>516.29999999999995</v>
          </cell>
          <cell r="W64">
            <v>98.4</v>
          </cell>
          <cell r="X64">
            <v>69.8</v>
          </cell>
          <cell r="Z64">
            <v>8669</v>
          </cell>
          <cell r="AA64">
            <v>88.4</v>
          </cell>
          <cell r="AB64">
            <v>63.4</v>
          </cell>
          <cell r="AC64">
            <v>96.7</v>
          </cell>
          <cell r="AD64">
            <v>95.2</v>
          </cell>
          <cell r="AE64">
            <v>99.5</v>
          </cell>
          <cell r="AF64">
            <v>350</v>
          </cell>
          <cell r="AG64">
            <v>496.1</v>
          </cell>
          <cell r="AH64">
            <v>97.5</v>
          </cell>
          <cell r="AI64">
            <v>63.7</v>
          </cell>
        </row>
        <row r="65">
          <cell r="B65" t="str">
            <v>Rutland</v>
          </cell>
          <cell r="D65">
            <v>250</v>
          </cell>
          <cell r="E65">
            <v>81.599999999999994</v>
          </cell>
          <cell r="F65">
            <v>58.4</v>
          </cell>
          <cell r="G65">
            <v>98.8</v>
          </cell>
          <cell r="H65">
            <v>98.8</v>
          </cell>
          <cell r="I65">
            <v>100</v>
          </cell>
          <cell r="J65">
            <v>337.3</v>
          </cell>
          <cell r="K65">
            <v>439</v>
          </cell>
          <cell r="L65">
            <v>98.8</v>
          </cell>
          <cell r="M65">
            <v>60</v>
          </cell>
          <cell r="O65">
            <v>223</v>
          </cell>
          <cell r="P65">
            <v>87.4</v>
          </cell>
          <cell r="Q65">
            <v>77.099999999999994</v>
          </cell>
          <cell r="R65">
            <v>100</v>
          </cell>
          <cell r="S65">
            <v>100</v>
          </cell>
          <cell r="T65">
            <v>100</v>
          </cell>
          <cell r="U65">
            <v>367.6</v>
          </cell>
          <cell r="V65">
            <v>492.4</v>
          </cell>
          <cell r="W65">
            <v>100</v>
          </cell>
          <cell r="X65">
            <v>77.599999999999994</v>
          </cell>
          <cell r="Z65">
            <v>473</v>
          </cell>
          <cell r="AA65">
            <v>84.4</v>
          </cell>
          <cell r="AB65">
            <v>67.2</v>
          </cell>
          <cell r="AC65">
            <v>99.4</v>
          </cell>
          <cell r="AD65">
            <v>99.4</v>
          </cell>
          <cell r="AE65">
            <v>100</v>
          </cell>
          <cell r="AF65">
            <v>351.5</v>
          </cell>
          <cell r="AG65">
            <v>464.2</v>
          </cell>
          <cell r="AH65">
            <v>99.4</v>
          </cell>
          <cell r="AI65">
            <v>68.3</v>
          </cell>
        </row>
        <row r="66">
          <cell r="B66" t="str">
            <v>West Midlands</v>
          </cell>
          <cell r="D66">
            <v>33086</v>
          </cell>
          <cell r="E66">
            <v>82.7</v>
          </cell>
          <cell r="F66">
            <v>55</v>
          </cell>
          <cell r="G66">
            <v>95.3</v>
          </cell>
          <cell r="H66">
            <v>93.1</v>
          </cell>
          <cell r="I66">
            <v>99.3</v>
          </cell>
          <cell r="J66">
            <v>333.4</v>
          </cell>
          <cell r="K66">
            <v>463.6</v>
          </cell>
          <cell r="L66">
            <v>95.7</v>
          </cell>
          <cell r="M66">
            <v>55.5</v>
          </cell>
          <cell r="O66">
            <v>31344</v>
          </cell>
          <cell r="P66">
            <v>88.6</v>
          </cell>
          <cell r="Q66">
            <v>65.099999999999994</v>
          </cell>
          <cell r="R66">
            <v>97.3</v>
          </cell>
          <cell r="S66">
            <v>95.7</v>
          </cell>
          <cell r="T66">
            <v>99.6</v>
          </cell>
          <cell r="U66">
            <v>357.5</v>
          </cell>
          <cell r="V66">
            <v>509.7</v>
          </cell>
          <cell r="W66">
            <v>97.8</v>
          </cell>
          <cell r="X66">
            <v>65.5</v>
          </cell>
          <cell r="Z66">
            <v>64430</v>
          </cell>
          <cell r="AA66">
            <v>85.6</v>
          </cell>
          <cell r="AB66">
            <v>59.9</v>
          </cell>
          <cell r="AC66">
            <v>96.3</v>
          </cell>
          <cell r="AD66">
            <v>94.4</v>
          </cell>
          <cell r="AE66">
            <v>99.4</v>
          </cell>
          <cell r="AF66">
            <v>345.1</v>
          </cell>
          <cell r="AG66">
            <v>486</v>
          </cell>
          <cell r="AH66">
            <v>96.7</v>
          </cell>
          <cell r="AI66">
            <v>60.4</v>
          </cell>
        </row>
        <row r="67">
          <cell r="B67" t="str">
            <v>Birmingham</v>
          </cell>
          <cell r="D67">
            <v>6309</v>
          </cell>
          <cell r="E67">
            <v>85.4</v>
          </cell>
          <cell r="F67">
            <v>55</v>
          </cell>
          <cell r="G67">
            <v>95.4</v>
          </cell>
          <cell r="H67">
            <v>91.6</v>
          </cell>
          <cell r="I67">
            <v>99.2</v>
          </cell>
          <cell r="J67">
            <v>338.2</v>
          </cell>
          <cell r="K67">
            <v>474</v>
          </cell>
          <cell r="L67">
            <v>94.1</v>
          </cell>
          <cell r="M67">
            <v>55.7</v>
          </cell>
          <cell r="O67">
            <v>6152</v>
          </cell>
          <cell r="P67">
            <v>89.8</v>
          </cell>
          <cell r="Q67">
            <v>64.8</v>
          </cell>
          <cell r="R67">
            <v>97.6</v>
          </cell>
          <cell r="S67">
            <v>95.7</v>
          </cell>
          <cell r="T67">
            <v>99.6</v>
          </cell>
          <cell r="U67">
            <v>361.5</v>
          </cell>
          <cell r="V67">
            <v>520.9</v>
          </cell>
          <cell r="W67">
            <v>97.9</v>
          </cell>
          <cell r="X67">
            <v>65.2</v>
          </cell>
          <cell r="Z67">
            <v>12461</v>
          </cell>
          <cell r="AA67">
            <v>87.6</v>
          </cell>
          <cell r="AB67">
            <v>59.8</v>
          </cell>
          <cell r="AC67">
            <v>96.5</v>
          </cell>
          <cell r="AD67">
            <v>93.6</v>
          </cell>
          <cell r="AE67">
            <v>99.4</v>
          </cell>
          <cell r="AF67">
            <v>349.7</v>
          </cell>
          <cell r="AG67">
            <v>497.2</v>
          </cell>
          <cell r="AH67">
            <v>95.9</v>
          </cell>
          <cell r="AI67">
            <v>60.4</v>
          </cell>
        </row>
        <row r="68">
          <cell r="B68" t="str">
            <v>Coventry</v>
          </cell>
          <cell r="D68">
            <v>1811</v>
          </cell>
          <cell r="E68">
            <v>86.2</v>
          </cell>
          <cell r="F68">
            <v>51.8</v>
          </cell>
          <cell r="G68">
            <v>95.9</v>
          </cell>
          <cell r="H68">
            <v>93.7</v>
          </cell>
          <cell r="I68">
            <v>99.1</v>
          </cell>
          <cell r="J68">
            <v>339.1</v>
          </cell>
          <cell r="K68">
            <v>503.1</v>
          </cell>
          <cell r="L68">
            <v>96.1</v>
          </cell>
          <cell r="M68">
            <v>52.1</v>
          </cell>
          <cell r="O68">
            <v>1777</v>
          </cell>
          <cell r="P68">
            <v>88.5</v>
          </cell>
          <cell r="Q68">
            <v>60.9</v>
          </cell>
          <cell r="R68">
            <v>96.5</v>
          </cell>
          <cell r="S68">
            <v>94.7</v>
          </cell>
          <cell r="T68">
            <v>99.2</v>
          </cell>
          <cell r="U68">
            <v>354.1</v>
          </cell>
          <cell r="V68">
            <v>516.4</v>
          </cell>
          <cell r="W68">
            <v>97.3</v>
          </cell>
          <cell r="X68">
            <v>61.4</v>
          </cell>
          <cell r="Z68">
            <v>3588</v>
          </cell>
          <cell r="AA68">
            <v>87.3</v>
          </cell>
          <cell r="AB68">
            <v>56.4</v>
          </cell>
          <cell r="AC68">
            <v>96.2</v>
          </cell>
          <cell r="AD68">
            <v>94.2</v>
          </cell>
          <cell r="AE68">
            <v>99.1</v>
          </cell>
          <cell r="AF68">
            <v>346.5</v>
          </cell>
          <cell r="AG68">
            <v>509.7</v>
          </cell>
          <cell r="AH68">
            <v>96.7</v>
          </cell>
          <cell r="AI68">
            <v>56.7</v>
          </cell>
        </row>
        <row r="69">
          <cell r="B69" t="str">
            <v>Dudley</v>
          </cell>
          <cell r="D69">
            <v>2073</v>
          </cell>
          <cell r="E69">
            <v>77.5</v>
          </cell>
          <cell r="F69">
            <v>55.6</v>
          </cell>
          <cell r="G69">
            <v>95.5</v>
          </cell>
          <cell r="H69">
            <v>93</v>
          </cell>
          <cell r="I69">
            <v>99.3</v>
          </cell>
          <cell r="J69">
            <v>328</v>
          </cell>
          <cell r="K69">
            <v>441.8</v>
          </cell>
          <cell r="L69">
            <v>96.1</v>
          </cell>
          <cell r="M69">
            <v>56.3</v>
          </cell>
          <cell r="O69">
            <v>1856</v>
          </cell>
          <cell r="P69">
            <v>85.5</v>
          </cell>
          <cell r="Q69">
            <v>64.3</v>
          </cell>
          <cell r="R69">
            <v>97.1</v>
          </cell>
          <cell r="S69">
            <v>95.5</v>
          </cell>
          <cell r="T69">
            <v>99.8</v>
          </cell>
          <cell r="U69">
            <v>350.6</v>
          </cell>
          <cell r="V69">
            <v>484.2</v>
          </cell>
          <cell r="W69">
            <v>98.3</v>
          </cell>
          <cell r="X69">
            <v>65</v>
          </cell>
          <cell r="Z69">
            <v>3929</v>
          </cell>
          <cell r="AA69">
            <v>81.2</v>
          </cell>
          <cell r="AB69">
            <v>59.7</v>
          </cell>
          <cell r="AC69">
            <v>96.3</v>
          </cell>
          <cell r="AD69">
            <v>94.1</v>
          </cell>
          <cell r="AE69">
            <v>99.5</v>
          </cell>
          <cell r="AF69">
            <v>338.7</v>
          </cell>
          <cell r="AG69">
            <v>461.8</v>
          </cell>
          <cell r="AH69">
            <v>97.1</v>
          </cell>
          <cell r="AI69">
            <v>60.4</v>
          </cell>
        </row>
        <row r="70">
          <cell r="B70" t="str">
            <v>Herefordshire, County of</v>
          </cell>
          <cell r="D70">
            <v>940</v>
          </cell>
          <cell r="E70">
            <v>80.5</v>
          </cell>
          <cell r="F70">
            <v>50.1</v>
          </cell>
          <cell r="G70">
            <v>95.3</v>
          </cell>
          <cell r="H70">
            <v>92.3</v>
          </cell>
          <cell r="I70">
            <v>98.6</v>
          </cell>
          <cell r="J70">
            <v>329.6</v>
          </cell>
          <cell r="K70">
            <v>447.8</v>
          </cell>
          <cell r="L70">
            <v>94.4</v>
          </cell>
          <cell r="M70">
            <v>50.6</v>
          </cell>
          <cell r="O70">
            <v>885</v>
          </cell>
          <cell r="P70">
            <v>88.7</v>
          </cell>
          <cell r="Q70">
            <v>62.5</v>
          </cell>
          <cell r="R70">
            <v>97.6</v>
          </cell>
          <cell r="S70">
            <v>95.5</v>
          </cell>
          <cell r="T70">
            <v>99.1</v>
          </cell>
          <cell r="U70">
            <v>359.1</v>
          </cell>
          <cell r="V70">
            <v>509.9</v>
          </cell>
          <cell r="W70">
            <v>96.7</v>
          </cell>
          <cell r="X70">
            <v>62.5</v>
          </cell>
          <cell r="Z70">
            <v>1825</v>
          </cell>
          <cell r="AA70">
            <v>84.5</v>
          </cell>
          <cell r="AB70">
            <v>56.1</v>
          </cell>
          <cell r="AC70">
            <v>96.4</v>
          </cell>
          <cell r="AD70">
            <v>93.9</v>
          </cell>
          <cell r="AE70">
            <v>98.8</v>
          </cell>
          <cell r="AF70">
            <v>343.9</v>
          </cell>
          <cell r="AG70">
            <v>477.9</v>
          </cell>
          <cell r="AH70">
            <v>95.5</v>
          </cell>
          <cell r="AI70">
            <v>56.4</v>
          </cell>
        </row>
        <row r="71">
          <cell r="B71" t="str">
            <v>Sandwell</v>
          </cell>
          <cell r="D71">
            <v>1977</v>
          </cell>
          <cell r="E71">
            <v>85.7</v>
          </cell>
          <cell r="F71">
            <v>48.9</v>
          </cell>
          <cell r="G71">
            <v>95.3</v>
          </cell>
          <cell r="H71">
            <v>92.9</v>
          </cell>
          <cell r="I71">
            <v>99.4</v>
          </cell>
          <cell r="J71">
            <v>326.89999999999998</v>
          </cell>
          <cell r="K71">
            <v>461.2</v>
          </cell>
          <cell r="L71">
            <v>96.4</v>
          </cell>
          <cell r="M71">
            <v>49.1</v>
          </cell>
          <cell r="O71">
            <v>1691</v>
          </cell>
          <cell r="P71">
            <v>90.1</v>
          </cell>
          <cell r="Q71">
            <v>60.3</v>
          </cell>
          <cell r="R71">
            <v>97.2</v>
          </cell>
          <cell r="S71">
            <v>94.9</v>
          </cell>
          <cell r="T71">
            <v>99.6</v>
          </cell>
          <cell r="U71">
            <v>352.7</v>
          </cell>
          <cell r="V71">
            <v>520.5</v>
          </cell>
          <cell r="W71">
            <v>97.8</v>
          </cell>
          <cell r="X71">
            <v>60.5</v>
          </cell>
          <cell r="Z71">
            <v>3668</v>
          </cell>
          <cell r="AA71">
            <v>87.7</v>
          </cell>
          <cell r="AB71">
            <v>54.1</v>
          </cell>
          <cell r="AC71">
            <v>96.2</v>
          </cell>
          <cell r="AD71">
            <v>93.8</v>
          </cell>
          <cell r="AE71">
            <v>99.5</v>
          </cell>
          <cell r="AF71">
            <v>338.8</v>
          </cell>
          <cell r="AG71">
            <v>488.5</v>
          </cell>
          <cell r="AH71">
            <v>97</v>
          </cell>
          <cell r="AI71">
            <v>54.4</v>
          </cell>
        </row>
        <row r="72">
          <cell r="B72" t="str">
            <v>Shropshire</v>
          </cell>
          <cell r="D72">
            <v>1650</v>
          </cell>
          <cell r="E72">
            <v>75.099999999999994</v>
          </cell>
          <cell r="F72">
            <v>54.7</v>
          </cell>
          <cell r="G72">
            <v>96.4</v>
          </cell>
          <cell r="H72">
            <v>94.7</v>
          </cell>
          <cell r="I72">
            <v>99.2</v>
          </cell>
          <cell r="J72">
            <v>325.10000000000002</v>
          </cell>
          <cell r="K72">
            <v>431</v>
          </cell>
          <cell r="L72">
            <v>96.9</v>
          </cell>
          <cell r="M72">
            <v>55.3</v>
          </cell>
          <cell r="O72">
            <v>1608</v>
          </cell>
          <cell r="P72">
            <v>83</v>
          </cell>
          <cell r="Q72">
            <v>66.2</v>
          </cell>
          <cell r="R72">
            <v>97.5</v>
          </cell>
          <cell r="S72">
            <v>96.5</v>
          </cell>
          <cell r="T72">
            <v>99.4</v>
          </cell>
          <cell r="U72">
            <v>349.4</v>
          </cell>
          <cell r="V72">
            <v>475.6</v>
          </cell>
          <cell r="W72">
            <v>98.1</v>
          </cell>
          <cell r="X72">
            <v>66.8</v>
          </cell>
          <cell r="Z72">
            <v>3258</v>
          </cell>
          <cell r="AA72">
            <v>79</v>
          </cell>
          <cell r="AB72">
            <v>60.4</v>
          </cell>
          <cell r="AC72">
            <v>96.9</v>
          </cell>
          <cell r="AD72">
            <v>95.6</v>
          </cell>
          <cell r="AE72">
            <v>99.3</v>
          </cell>
          <cell r="AF72">
            <v>337.1</v>
          </cell>
          <cell r="AG72">
            <v>453</v>
          </cell>
          <cell r="AH72">
            <v>97.5</v>
          </cell>
          <cell r="AI72">
            <v>61</v>
          </cell>
        </row>
        <row r="73">
          <cell r="B73" t="str">
            <v>Solihull</v>
          </cell>
          <cell r="D73">
            <v>1584</v>
          </cell>
          <cell r="E73">
            <v>87.4</v>
          </cell>
          <cell r="F73">
            <v>63.3</v>
          </cell>
          <cell r="G73">
            <v>97.2</v>
          </cell>
          <cell r="H73">
            <v>96</v>
          </cell>
          <cell r="I73">
            <v>99.6</v>
          </cell>
          <cell r="J73">
            <v>343.5</v>
          </cell>
          <cell r="K73">
            <v>484.8</v>
          </cell>
          <cell r="L73">
            <v>97.9</v>
          </cell>
          <cell r="M73">
            <v>63.9</v>
          </cell>
          <cell r="O73">
            <v>1446</v>
          </cell>
          <cell r="P73">
            <v>92</v>
          </cell>
          <cell r="Q73">
            <v>71.2</v>
          </cell>
          <cell r="R73">
            <v>98.3</v>
          </cell>
          <cell r="S73">
            <v>97.2</v>
          </cell>
          <cell r="T73">
            <v>99.7</v>
          </cell>
          <cell r="U73">
            <v>362.7</v>
          </cell>
          <cell r="V73">
            <v>529</v>
          </cell>
          <cell r="W73">
            <v>99</v>
          </cell>
          <cell r="X73">
            <v>71.400000000000006</v>
          </cell>
          <cell r="Z73">
            <v>3030</v>
          </cell>
          <cell r="AA73">
            <v>89.6</v>
          </cell>
          <cell r="AB73">
            <v>67.099999999999994</v>
          </cell>
          <cell r="AC73">
            <v>97.7</v>
          </cell>
          <cell r="AD73">
            <v>96.5</v>
          </cell>
          <cell r="AE73">
            <v>99.6</v>
          </cell>
          <cell r="AF73">
            <v>352.7</v>
          </cell>
          <cell r="AG73">
            <v>505.9</v>
          </cell>
          <cell r="AH73">
            <v>98.4</v>
          </cell>
          <cell r="AI73">
            <v>67.5</v>
          </cell>
        </row>
        <row r="74">
          <cell r="B74" t="str">
            <v>Staffordshire</v>
          </cell>
          <cell r="D74">
            <v>4922</v>
          </cell>
          <cell r="E74">
            <v>80</v>
          </cell>
          <cell r="F74">
            <v>54</v>
          </cell>
          <cell r="G74">
            <v>95.2</v>
          </cell>
          <cell r="H74">
            <v>93.4</v>
          </cell>
          <cell r="I74">
            <v>99.5</v>
          </cell>
          <cell r="J74">
            <v>330</v>
          </cell>
          <cell r="K74">
            <v>452.4</v>
          </cell>
          <cell r="L74">
            <v>96.1</v>
          </cell>
          <cell r="M74">
            <v>54.8</v>
          </cell>
          <cell r="O74">
            <v>4782</v>
          </cell>
          <cell r="P74">
            <v>87.9</v>
          </cell>
          <cell r="Q74">
            <v>65.900000000000006</v>
          </cell>
          <cell r="R74">
            <v>97.2</v>
          </cell>
          <cell r="S74">
            <v>95.6</v>
          </cell>
          <cell r="T74">
            <v>99.7</v>
          </cell>
          <cell r="U74">
            <v>355.4</v>
          </cell>
          <cell r="V74">
            <v>503.4</v>
          </cell>
          <cell r="W74">
            <v>97.7</v>
          </cell>
          <cell r="X74">
            <v>66.5</v>
          </cell>
          <cell r="Z74">
            <v>9704</v>
          </cell>
          <cell r="AA74">
            <v>83.9</v>
          </cell>
          <cell r="AB74">
            <v>59.9</v>
          </cell>
          <cell r="AC74">
            <v>96.2</v>
          </cell>
          <cell r="AD74">
            <v>94.5</v>
          </cell>
          <cell r="AE74">
            <v>99.6</v>
          </cell>
          <cell r="AF74">
            <v>342.5</v>
          </cell>
          <cell r="AG74">
            <v>477.5</v>
          </cell>
          <cell r="AH74">
            <v>96.9</v>
          </cell>
          <cell r="AI74">
            <v>60.6</v>
          </cell>
        </row>
        <row r="75">
          <cell r="B75" t="str">
            <v>Stoke-on-Trent</v>
          </cell>
          <cell r="D75">
            <v>1383</v>
          </cell>
          <cell r="E75">
            <v>78.3</v>
          </cell>
          <cell r="F75">
            <v>44.8</v>
          </cell>
          <cell r="G75">
            <v>92.8</v>
          </cell>
          <cell r="H75">
            <v>91.4</v>
          </cell>
          <cell r="I75">
            <v>98.9</v>
          </cell>
          <cell r="J75">
            <v>316.5</v>
          </cell>
          <cell r="K75">
            <v>433.4</v>
          </cell>
          <cell r="L75">
            <v>95.2</v>
          </cell>
          <cell r="M75">
            <v>45.2</v>
          </cell>
          <cell r="O75">
            <v>1255</v>
          </cell>
          <cell r="P75">
            <v>87.5</v>
          </cell>
          <cell r="Q75">
            <v>55.5</v>
          </cell>
          <cell r="R75">
            <v>96.9</v>
          </cell>
          <cell r="S75">
            <v>95</v>
          </cell>
          <cell r="T75">
            <v>99.4</v>
          </cell>
          <cell r="U75">
            <v>347.2</v>
          </cell>
          <cell r="V75">
            <v>487.8</v>
          </cell>
          <cell r="W75">
            <v>97.9</v>
          </cell>
          <cell r="X75">
            <v>55.8</v>
          </cell>
          <cell r="Z75">
            <v>2638</v>
          </cell>
          <cell r="AA75">
            <v>82.7</v>
          </cell>
          <cell r="AB75">
            <v>49.9</v>
          </cell>
          <cell r="AC75">
            <v>94.7</v>
          </cell>
          <cell r="AD75">
            <v>93.1</v>
          </cell>
          <cell r="AE75">
            <v>99.2</v>
          </cell>
          <cell r="AF75">
            <v>331.1</v>
          </cell>
          <cell r="AG75">
            <v>459.3</v>
          </cell>
          <cell r="AH75">
            <v>96.5</v>
          </cell>
          <cell r="AI75">
            <v>50.2</v>
          </cell>
        </row>
        <row r="76">
          <cell r="B76" t="str">
            <v>Telford and Wrekin</v>
          </cell>
          <cell r="D76">
            <v>1081</v>
          </cell>
          <cell r="E76">
            <v>85.4</v>
          </cell>
          <cell r="F76">
            <v>55</v>
          </cell>
          <cell r="G76">
            <v>94.6</v>
          </cell>
          <cell r="H76">
            <v>92.6</v>
          </cell>
          <cell r="I76">
            <v>99.6</v>
          </cell>
          <cell r="J76">
            <v>340</v>
          </cell>
          <cell r="K76">
            <v>483.2</v>
          </cell>
          <cell r="L76">
            <v>95.6</v>
          </cell>
          <cell r="M76">
            <v>55.3</v>
          </cell>
          <cell r="O76">
            <v>1017</v>
          </cell>
          <cell r="P76">
            <v>91.1</v>
          </cell>
          <cell r="Q76">
            <v>62.3</v>
          </cell>
          <cell r="R76">
            <v>97.2</v>
          </cell>
          <cell r="S76">
            <v>95.7</v>
          </cell>
          <cell r="T76">
            <v>99.9</v>
          </cell>
          <cell r="U76">
            <v>359.1</v>
          </cell>
          <cell r="V76">
            <v>528.29999999999995</v>
          </cell>
          <cell r="W76">
            <v>97.3</v>
          </cell>
          <cell r="X76">
            <v>62.3</v>
          </cell>
          <cell r="Z76">
            <v>2098</v>
          </cell>
          <cell r="AA76">
            <v>88.1</v>
          </cell>
          <cell r="AB76">
            <v>58.6</v>
          </cell>
          <cell r="AC76">
            <v>95.9</v>
          </cell>
          <cell r="AD76">
            <v>94.1</v>
          </cell>
          <cell r="AE76">
            <v>99.8</v>
          </cell>
          <cell r="AF76">
            <v>349.3</v>
          </cell>
          <cell r="AG76">
            <v>505.1</v>
          </cell>
          <cell r="AH76">
            <v>96.4</v>
          </cell>
          <cell r="AI76">
            <v>58.7</v>
          </cell>
        </row>
        <row r="77">
          <cell r="B77" t="str">
            <v>Walsall</v>
          </cell>
          <cell r="D77">
            <v>1789</v>
          </cell>
          <cell r="E77">
            <v>85.2</v>
          </cell>
          <cell r="F77">
            <v>53.2</v>
          </cell>
          <cell r="G77">
            <v>93.5</v>
          </cell>
          <cell r="H77">
            <v>91.6</v>
          </cell>
          <cell r="I77">
            <v>98.8</v>
          </cell>
          <cell r="J77">
            <v>331.8</v>
          </cell>
          <cell r="K77">
            <v>470.1</v>
          </cell>
          <cell r="L77">
            <v>95.8</v>
          </cell>
          <cell r="M77">
            <v>53.8</v>
          </cell>
          <cell r="O77">
            <v>1671</v>
          </cell>
          <cell r="P77">
            <v>89.2</v>
          </cell>
          <cell r="Q77">
            <v>64.5</v>
          </cell>
          <cell r="R77">
            <v>96.1</v>
          </cell>
          <cell r="S77">
            <v>94.3</v>
          </cell>
          <cell r="T77">
            <v>99.3</v>
          </cell>
          <cell r="U77">
            <v>357.2</v>
          </cell>
          <cell r="V77">
            <v>516.79999999999995</v>
          </cell>
          <cell r="W77">
            <v>97.3</v>
          </cell>
          <cell r="X77">
            <v>64.8</v>
          </cell>
          <cell r="Z77">
            <v>3460</v>
          </cell>
          <cell r="AA77">
            <v>87.1</v>
          </cell>
          <cell r="AB77">
            <v>58.7</v>
          </cell>
          <cell r="AC77">
            <v>94.7</v>
          </cell>
          <cell r="AD77">
            <v>92.9</v>
          </cell>
          <cell r="AE77">
            <v>99</v>
          </cell>
          <cell r="AF77">
            <v>344.1</v>
          </cell>
          <cell r="AG77">
            <v>492.7</v>
          </cell>
          <cell r="AH77">
            <v>96.5</v>
          </cell>
          <cell r="AI77">
            <v>59.1</v>
          </cell>
        </row>
        <row r="78">
          <cell r="B78" t="str">
            <v>Warwickshire</v>
          </cell>
          <cell r="D78">
            <v>3093</v>
          </cell>
          <cell r="E78">
            <v>82.9</v>
          </cell>
          <cell r="F78">
            <v>61.4</v>
          </cell>
          <cell r="G78">
            <v>96.2</v>
          </cell>
          <cell r="H78">
            <v>94.6</v>
          </cell>
          <cell r="I78">
            <v>99.4</v>
          </cell>
          <cell r="J78">
            <v>342</v>
          </cell>
          <cell r="K78">
            <v>484.6</v>
          </cell>
          <cell r="L78">
            <v>96.2</v>
          </cell>
          <cell r="M78">
            <v>61.8</v>
          </cell>
          <cell r="O78">
            <v>2969</v>
          </cell>
          <cell r="P78">
            <v>90.3</v>
          </cell>
          <cell r="Q78">
            <v>69.2</v>
          </cell>
          <cell r="R78">
            <v>97.7</v>
          </cell>
          <cell r="S78">
            <v>96.9</v>
          </cell>
          <cell r="T78">
            <v>99.7</v>
          </cell>
          <cell r="U78">
            <v>368.1</v>
          </cell>
          <cell r="V78">
            <v>531.29999999999995</v>
          </cell>
          <cell r="W78">
            <v>98</v>
          </cell>
          <cell r="X78">
            <v>69.5</v>
          </cell>
          <cell r="Z78">
            <v>6062</v>
          </cell>
          <cell r="AA78">
            <v>86.5</v>
          </cell>
          <cell r="AB78">
            <v>65.3</v>
          </cell>
          <cell r="AC78">
            <v>96.9</v>
          </cell>
          <cell r="AD78">
            <v>95.8</v>
          </cell>
          <cell r="AE78">
            <v>99.5</v>
          </cell>
          <cell r="AF78">
            <v>354.8</v>
          </cell>
          <cell r="AG78">
            <v>507.5</v>
          </cell>
          <cell r="AH78">
            <v>97.1</v>
          </cell>
          <cell r="AI78">
            <v>65.5</v>
          </cell>
        </row>
        <row r="79">
          <cell r="B79" t="str">
            <v>Wolverhampton</v>
          </cell>
          <cell r="D79">
            <v>1294</v>
          </cell>
          <cell r="E79">
            <v>85.2</v>
          </cell>
          <cell r="F79">
            <v>55.3</v>
          </cell>
          <cell r="G79">
            <v>93.7</v>
          </cell>
          <cell r="H79">
            <v>92.1</v>
          </cell>
          <cell r="I79">
            <v>99</v>
          </cell>
          <cell r="J79">
            <v>331.9</v>
          </cell>
          <cell r="K79">
            <v>468.2</v>
          </cell>
          <cell r="L79">
            <v>94</v>
          </cell>
          <cell r="M79">
            <v>55.6</v>
          </cell>
          <cell r="O79">
            <v>1358</v>
          </cell>
          <cell r="P79">
            <v>89.2</v>
          </cell>
          <cell r="Q79">
            <v>66.400000000000006</v>
          </cell>
          <cell r="R79">
            <v>96.2</v>
          </cell>
          <cell r="S79">
            <v>94.8</v>
          </cell>
          <cell r="T79">
            <v>99.3</v>
          </cell>
          <cell r="U79">
            <v>360.8</v>
          </cell>
          <cell r="V79">
            <v>516</v>
          </cell>
          <cell r="W79">
            <v>96.9</v>
          </cell>
          <cell r="X79">
            <v>66.599999999999994</v>
          </cell>
          <cell r="Z79">
            <v>2652</v>
          </cell>
          <cell r="AA79">
            <v>87.3</v>
          </cell>
          <cell r="AB79">
            <v>61</v>
          </cell>
          <cell r="AC79">
            <v>95</v>
          </cell>
          <cell r="AD79">
            <v>93.5</v>
          </cell>
          <cell r="AE79">
            <v>99.1</v>
          </cell>
          <cell r="AF79">
            <v>346.7</v>
          </cell>
          <cell r="AG79">
            <v>492.6</v>
          </cell>
          <cell r="AH79">
            <v>95.5</v>
          </cell>
          <cell r="AI79">
            <v>61.3</v>
          </cell>
        </row>
        <row r="80">
          <cell r="B80" t="str">
            <v>Worcestershire</v>
          </cell>
          <cell r="D80">
            <v>3180</v>
          </cell>
          <cell r="E80">
            <v>81.599999999999994</v>
          </cell>
          <cell r="F80">
            <v>57.8</v>
          </cell>
          <cell r="G80">
            <v>95.8</v>
          </cell>
          <cell r="H80">
            <v>94.6</v>
          </cell>
          <cell r="I80">
            <v>99.5</v>
          </cell>
          <cell r="J80">
            <v>331.9</v>
          </cell>
          <cell r="K80">
            <v>445.5</v>
          </cell>
          <cell r="L80">
            <v>96.7</v>
          </cell>
          <cell r="M80">
            <v>58.4</v>
          </cell>
          <cell r="O80">
            <v>2877</v>
          </cell>
          <cell r="P80">
            <v>87.1</v>
          </cell>
          <cell r="Q80">
            <v>68.5</v>
          </cell>
          <cell r="R80">
            <v>97.3</v>
          </cell>
          <cell r="S80">
            <v>96.4</v>
          </cell>
          <cell r="T80">
            <v>99.7</v>
          </cell>
          <cell r="U80">
            <v>354.6</v>
          </cell>
          <cell r="V80">
            <v>484.9</v>
          </cell>
          <cell r="W80">
            <v>98.1</v>
          </cell>
          <cell r="X80">
            <v>69.2</v>
          </cell>
          <cell r="Z80">
            <v>6057</v>
          </cell>
          <cell r="AA80">
            <v>84.2</v>
          </cell>
          <cell r="AB80">
            <v>62.9</v>
          </cell>
          <cell r="AC80">
            <v>96.5</v>
          </cell>
          <cell r="AD80">
            <v>95.4</v>
          </cell>
          <cell r="AE80">
            <v>99.6</v>
          </cell>
          <cell r="AF80">
            <v>342.7</v>
          </cell>
          <cell r="AG80">
            <v>464.2</v>
          </cell>
          <cell r="AH80">
            <v>97.3</v>
          </cell>
          <cell r="AI80">
            <v>63.5</v>
          </cell>
        </row>
        <row r="81">
          <cell r="B81" t="str">
            <v>East</v>
          </cell>
          <cell r="D81">
            <v>33186</v>
          </cell>
          <cell r="E81">
            <v>76.099999999999994</v>
          </cell>
          <cell r="F81">
            <v>54.8</v>
          </cell>
          <cell r="G81">
            <v>94.9</v>
          </cell>
          <cell r="H81">
            <v>93.2</v>
          </cell>
          <cell r="I81">
            <v>99.2</v>
          </cell>
          <cell r="J81">
            <v>327.39999999999998</v>
          </cell>
          <cell r="K81">
            <v>436.5</v>
          </cell>
          <cell r="L81">
            <v>96.1</v>
          </cell>
          <cell r="M81">
            <v>55.9</v>
          </cell>
          <cell r="O81">
            <v>31769</v>
          </cell>
          <cell r="P81">
            <v>83.2</v>
          </cell>
          <cell r="Q81">
            <v>65.099999999999994</v>
          </cell>
          <cell r="R81">
            <v>96.7</v>
          </cell>
          <cell r="S81">
            <v>95.5</v>
          </cell>
          <cell r="T81">
            <v>99.5</v>
          </cell>
          <cell r="U81">
            <v>350</v>
          </cell>
          <cell r="V81">
            <v>476.8</v>
          </cell>
          <cell r="W81">
            <v>97.6</v>
          </cell>
          <cell r="X81">
            <v>65.900000000000006</v>
          </cell>
          <cell r="Z81">
            <v>64955</v>
          </cell>
          <cell r="AA81">
            <v>79.599999999999994</v>
          </cell>
          <cell r="AB81">
            <v>59.8</v>
          </cell>
          <cell r="AC81">
            <v>95.8</v>
          </cell>
          <cell r="AD81">
            <v>94.3</v>
          </cell>
          <cell r="AE81">
            <v>99.3</v>
          </cell>
          <cell r="AF81">
            <v>338.5</v>
          </cell>
          <cell r="AG81">
            <v>456.2</v>
          </cell>
          <cell r="AH81">
            <v>96.8</v>
          </cell>
          <cell r="AI81">
            <v>60.8</v>
          </cell>
        </row>
        <row r="82">
          <cell r="B82" t="str">
            <v>Bedford</v>
          </cell>
          <cell r="D82">
            <v>989</v>
          </cell>
          <cell r="E82">
            <v>73.900000000000006</v>
          </cell>
          <cell r="F82">
            <v>54.2</v>
          </cell>
          <cell r="G82">
            <v>93.9</v>
          </cell>
          <cell r="H82">
            <v>93.2</v>
          </cell>
          <cell r="I82">
            <v>99.1</v>
          </cell>
          <cell r="J82">
            <v>320.10000000000002</v>
          </cell>
          <cell r="K82">
            <v>436.7</v>
          </cell>
          <cell r="L82">
            <v>97.1</v>
          </cell>
          <cell r="M82">
            <v>56</v>
          </cell>
          <cell r="O82">
            <v>902</v>
          </cell>
          <cell r="P82">
            <v>87.1</v>
          </cell>
          <cell r="Q82">
            <v>65.7</v>
          </cell>
          <cell r="R82">
            <v>97.8</v>
          </cell>
          <cell r="S82">
            <v>96.3</v>
          </cell>
          <cell r="T82">
            <v>99.9</v>
          </cell>
          <cell r="U82">
            <v>357.5</v>
          </cell>
          <cell r="V82">
            <v>499</v>
          </cell>
          <cell r="W82">
            <v>98.6</v>
          </cell>
          <cell r="X82">
            <v>66.3</v>
          </cell>
          <cell r="Z82">
            <v>1891</v>
          </cell>
          <cell r="AA82">
            <v>80.2</v>
          </cell>
          <cell r="AB82">
            <v>59.7</v>
          </cell>
          <cell r="AC82">
            <v>95.8</v>
          </cell>
          <cell r="AD82">
            <v>94.7</v>
          </cell>
          <cell r="AE82">
            <v>99.5</v>
          </cell>
          <cell r="AF82">
            <v>337.9</v>
          </cell>
          <cell r="AG82">
            <v>466.4</v>
          </cell>
          <cell r="AH82">
            <v>97.8</v>
          </cell>
          <cell r="AI82">
            <v>60.9</v>
          </cell>
        </row>
        <row r="83">
          <cell r="B83" t="str">
            <v>Cambridgeshire</v>
          </cell>
          <cell r="D83">
            <v>3094</v>
          </cell>
          <cell r="E83">
            <v>76</v>
          </cell>
          <cell r="F83">
            <v>55.8</v>
          </cell>
          <cell r="G83">
            <v>93.9</v>
          </cell>
          <cell r="H83">
            <v>92.7</v>
          </cell>
          <cell r="I83">
            <v>99.3</v>
          </cell>
          <cell r="J83">
            <v>327.2</v>
          </cell>
          <cell r="K83">
            <v>419.9</v>
          </cell>
          <cell r="L83">
            <v>95</v>
          </cell>
          <cell r="M83">
            <v>57.5</v>
          </cell>
          <cell r="O83">
            <v>2964</v>
          </cell>
          <cell r="P83">
            <v>82.1</v>
          </cell>
          <cell r="Q83">
            <v>66.400000000000006</v>
          </cell>
          <cell r="R83">
            <v>96.1</v>
          </cell>
          <cell r="S83">
            <v>95</v>
          </cell>
          <cell r="T83">
            <v>99.3</v>
          </cell>
          <cell r="U83">
            <v>347.4</v>
          </cell>
          <cell r="V83">
            <v>454.2</v>
          </cell>
          <cell r="W83">
            <v>97</v>
          </cell>
          <cell r="X83">
            <v>67.599999999999994</v>
          </cell>
          <cell r="Z83">
            <v>6058</v>
          </cell>
          <cell r="AA83">
            <v>79</v>
          </cell>
          <cell r="AB83">
            <v>61</v>
          </cell>
          <cell r="AC83">
            <v>95</v>
          </cell>
          <cell r="AD83">
            <v>93.8</v>
          </cell>
          <cell r="AE83">
            <v>99.3</v>
          </cell>
          <cell r="AF83">
            <v>337.1</v>
          </cell>
          <cell r="AG83">
            <v>436.7</v>
          </cell>
          <cell r="AH83">
            <v>95.9</v>
          </cell>
          <cell r="AI83">
            <v>62.4</v>
          </cell>
        </row>
        <row r="84">
          <cell r="B84" t="str">
            <v>Central Bedfordshire</v>
          </cell>
          <cell r="D84">
            <v>1502</v>
          </cell>
          <cell r="E84">
            <v>77.8</v>
          </cell>
          <cell r="F84">
            <v>52.1</v>
          </cell>
          <cell r="G84">
            <v>94.9</v>
          </cell>
          <cell r="H84">
            <v>93.3</v>
          </cell>
          <cell r="I84">
            <v>98.7</v>
          </cell>
          <cell r="J84">
            <v>327.10000000000002</v>
          </cell>
          <cell r="K84">
            <v>451.5</v>
          </cell>
          <cell r="L84">
            <v>95.6</v>
          </cell>
          <cell r="M84">
            <v>52.7</v>
          </cell>
          <cell r="O84">
            <v>1344</v>
          </cell>
          <cell r="P84">
            <v>86.5</v>
          </cell>
          <cell r="Q84">
            <v>64</v>
          </cell>
          <cell r="R84">
            <v>97.1</v>
          </cell>
          <cell r="S84">
            <v>96.3</v>
          </cell>
          <cell r="T84">
            <v>99.5</v>
          </cell>
          <cell r="U84">
            <v>353.4</v>
          </cell>
          <cell r="V84">
            <v>499</v>
          </cell>
          <cell r="W84">
            <v>97.1</v>
          </cell>
          <cell r="X84">
            <v>64.400000000000006</v>
          </cell>
          <cell r="Z84">
            <v>2846</v>
          </cell>
          <cell r="AA84">
            <v>81.900000000000006</v>
          </cell>
          <cell r="AB84">
            <v>57.7</v>
          </cell>
          <cell r="AC84">
            <v>96</v>
          </cell>
          <cell r="AD84">
            <v>94.7</v>
          </cell>
          <cell r="AE84">
            <v>99.1</v>
          </cell>
          <cell r="AF84">
            <v>339.5</v>
          </cell>
          <cell r="AG84">
            <v>473.9</v>
          </cell>
          <cell r="AH84">
            <v>96.3</v>
          </cell>
          <cell r="AI84">
            <v>58.2</v>
          </cell>
        </row>
        <row r="85">
          <cell r="B85" t="str">
            <v>Essex</v>
          </cell>
          <cell r="D85">
            <v>8079</v>
          </cell>
          <cell r="E85">
            <v>76.7</v>
          </cell>
          <cell r="F85">
            <v>55.4</v>
          </cell>
          <cell r="G85">
            <v>94.2</v>
          </cell>
          <cell r="H85">
            <v>92.6</v>
          </cell>
          <cell r="I85">
            <v>99.1</v>
          </cell>
          <cell r="J85">
            <v>326</v>
          </cell>
          <cell r="K85">
            <v>438.9</v>
          </cell>
          <cell r="L85">
            <v>96.1</v>
          </cell>
          <cell r="M85">
            <v>56.5</v>
          </cell>
          <cell r="O85">
            <v>7623</v>
          </cell>
          <cell r="P85">
            <v>83.7</v>
          </cell>
          <cell r="Q85">
            <v>65.8</v>
          </cell>
          <cell r="R85">
            <v>96.4</v>
          </cell>
          <cell r="S85">
            <v>95.1</v>
          </cell>
          <cell r="T85">
            <v>99.4</v>
          </cell>
          <cell r="U85">
            <v>350.1</v>
          </cell>
          <cell r="V85">
            <v>483.8</v>
          </cell>
          <cell r="W85">
            <v>97.7</v>
          </cell>
          <cell r="X85">
            <v>66.599999999999994</v>
          </cell>
          <cell r="Z85">
            <v>15702</v>
          </cell>
          <cell r="AA85">
            <v>80.099999999999994</v>
          </cell>
          <cell r="AB85">
            <v>60.5</v>
          </cell>
          <cell r="AC85">
            <v>95.3</v>
          </cell>
          <cell r="AD85">
            <v>93.8</v>
          </cell>
          <cell r="AE85">
            <v>99.2</v>
          </cell>
          <cell r="AF85">
            <v>337.7</v>
          </cell>
          <cell r="AG85">
            <v>460.7</v>
          </cell>
          <cell r="AH85">
            <v>96.9</v>
          </cell>
          <cell r="AI85">
            <v>61.4</v>
          </cell>
        </row>
        <row r="86">
          <cell r="B86" t="str">
            <v>Hertfordshire</v>
          </cell>
          <cell r="D86">
            <v>6599</v>
          </cell>
          <cell r="E86">
            <v>81</v>
          </cell>
          <cell r="F86">
            <v>61.1</v>
          </cell>
          <cell r="G86">
            <v>96.1</v>
          </cell>
          <cell r="H86">
            <v>94.7</v>
          </cell>
          <cell r="I86">
            <v>99.4</v>
          </cell>
          <cell r="J86">
            <v>342.3</v>
          </cell>
          <cell r="K86">
            <v>454.3</v>
          </cell>
          <cell r="L86">
            <v>96.5</v>
          </cell>
          <cell r="M86">
            <v>61.8</v>
          </cell>
          <cell r="O86">
            <v>6366</v>
          </cell>
          <cell r="P86">
            <v>86.9</v>
          </cell>
          <cell r="Q86">
            <v>71.7</v>
          </cell>
          <cell r="R86">
            <v>97.9</v>
          </cell>
          <cell r="S86">
            <v>97.1</v>
          </cell>
          <cell r="T86">
            <v>99.7</v>
          </cell>
          <cell r="U86">
            <v>363.4</v>
          </cell>
          <cell r="V86">
            <v>489.8</v>
          </cell>
          <cell r="W86">
            <v>98.2</v>
          </cell>
          <cell r="X86">
            <v>72.5</v>
          </cell>
          <cell r="Z86">
            <v>12965</v>
          </cell>
          <cell r="AA86">
            <v>83.9</v>
          </cell>
          <cell r="AB86">
            <v>66.3</v>
          </cell>
          <cell r="AC86">
            <v>97</v>
          </cell>
          <cell r="AD86">
            <v>95.9</v>
          </cell>
          <cell r="AE86">
            <v>99.5</v>
          </cell>
          <cell r="AF86">
            <v>352.6</v>
          </cell>
          <cell r="AG86">
            <v>471.7</v>
          </cell>
          <cell r="AH86">
            <v>97.4</v>
          </cell>
          <cell r="AI86">
            <v>67.099999999999994</v>
          </cell>
        </row>
        <row r="87">
          <cell r="B87" t="str">
            <v>Luton</v>
          </cell>
          <cell r="D87">
            <v>1245</v>
          </cell>
          <cell r="E87">
            <v>85</v>
          </cell>
          <cell r="F87">
            <v>53.2</v>
          </cell>
          <cell r="G87">
            <v>96.9</v>
          </cell>
          <cell r="H87">
            <v>94.6</v>
          </cell>
          <cell r="I87">
            <v>99</v>
          </cell>
          <cell r="J87">
            <v>338</v>
          </cell>
          <cell r="K87">
            <v>467.9</v>
          </cell>
          <cell r="L87">
            <v>96.8</v>
          </cell>
          <cell r="M87">
            <v>54</v>
          </cell>
          <cell r="O87">
            <v>1191</v>
          </cell>
          <cell r="P87">
            <v>85.6</v>
          </cell>
          <cell r="Q87">
            <v>64.400000000000006</v>
          </cell>
          <cell r="R87">
            <v>96.7</v>
          </cell>
          <cell r="S87">
            <v>95.3</v>
          </cell>
          <cell r="T87">
            <v>99.2</v>
          </cell>
          <cell r="U87">
            <v>350.9</v>
          </cell>
          <cell r="V87">
            <v>493.7</v>
          </cell>
          <cell r="W87">
            <v>97.8</v>
          </cell>
          <cell r="X87">
            <v>65.400000000000006</v>
          </cell>
          <cell r="Z87">
            <v>2436</v>
          </cell>
          <cell r="AA87">
            <v>85.3</v>
          </cell>
          <cell r="AB87">
            <v>58.7</v>
          </cell>
          <cell r="AC87">
            <v>96.8</v>
          </cell>
          <cell r="AD87">
            <v>95</v>
          </cell>
          <cell r="AE87">
            <v>99.1</v>
          </cell>
          <cell r="AF87">
            <v>344.3</v>
          </cell>
          <cell r="AG87">
            <v>480.5</v>
          </cell>
          <cell r="AH87">
            <v>97.3</v>
          </cell>
          <cell r="AI87">
            <v>59.6</v>
          </cell>
        </row>
        <row r="88">
          <cell r="B88" t="str">
            <v>Norfolk</v>
          </cell>
          <cell r="D88">
            <v>4565</v>
          </cell>
          <cell r="E88">
            <v>67.7</v>
          </cell>
          <cell r="F88">
            <v>49.5</v>
          </cell>
          <cell r="G88">
            <v>95</v>
          </cell>
          <cell r="H88">
            <v>92.6</v>
          </cell>
          <cell r="I88">
            <v>99</v>
          </cell>
          <cell r="J88">
            <v>314.5</v>
          </cell>
          <cell r="K88">
            <v>407.4</v>
          </cell>
          <cell r="L88">
            <v>96.1</v>
          </cell>
          <cell r="M88">
            <v>50.9</v>
          </cell>
          <cell r="O88">
            <v>4379</v>
          </cell>
          <cell r="P88">
            <v>75.2</v>
          </cell>
          <cell r="Q88">
            <v>59.4</v>
          </cell>
          <cell r="R88">
            <v>96.6</v>
          </cell>
          <cell r="S88">
            <v>94.8</v>
          </cell>
          <cell r="T88">
            <v>99.3</v>
          </cell>
          <cell r="U88">
            <v>335.5</v>
          </cell>
          <cell r="V88">
            <v>443.2</v>
          </cell>
          <cell r="W88">
            <v>97.2</v>
          </cell>
          <cell r="X88">
            <v>60.3</v>
          </cell>
          <cell r="Z88">
            <v>8944</v>
          </cell>
          <cell r="AA88">
            <v>71.400000000000006</v>
          </cell>
          <cell r="AB88">
            <v>54.4</v>
          </cell>
          <cell r="AC88">
            <v>95.8</v>
          </cell>
          <cell r="AD88">
            <v>93.6</v>
          </cell>
          <cell r="AE88">
            <v>99.2</v>
          </cell>
          <cell r="AF88">
            <v>324.8</v>
          </cell>
          <cell r="AG88">
            <v>424.9</v>
          </cell>
          <cell r="AH88">
            <v>96.7</v>
          </cell>
          <cell r="AI88">
            <v>55.5</v>
          </cell>
        </row>
        <row r="89">
          <cell r="B89" t="str">
            <v>Peterborough</v>
          </cell>
          <cell r="D89">
            <v>1118</v>
          </cell>
          <cell r="E89">
            <v>83.6</v>
          </cell>
          <cell r="F89">
            <v>50.5</v>
          </cell>
          <cell r="G89">
            <v>93.7</v>
          </cell>
          <cell r="H89">
            <v>92.1</v>
          </cell>
          <cell r="I89">
            <v>99.3</v>
          </cell>
          <cell r="J89">
            <v>326.3</v>
          </cell>
          <cell r="K89">
            <v>444.1</v>
          </cell>
          <cell r="L89">
            <v>95.9</v>
          </cell>
          <cell r="M89">
            <v>51.8</v>
          </cell>
          <cell r="O89">
            <v>1128</v>
          </cell>
          <cell r="P89">
            <v>88.7</v>
          </cell>
          <cell r="Q89">
            <v>61.8</v>
          </cell>
          <cell r="R89">
            <v>95.4</v>
          </cell>
          <cell r="S89">
            <v>93.4</v>
          </cell>
          <cell r="T89">
            <v>99.6</v>
          </cell>
          <cell r="U89">
            <v>347.7</v>
          </cell>
          <cell r="V89">
            <v>483.7</v>
          </cell>
          <cell r="W89">
            <v>96.9</v>
          </cell>
          <cell r="X89">
            <v>62.3</v>
          </cell>
          <cell r="Z89">
            <v>2246</v>
          </cell>
          <cell r="AA89">
            <v>86.2</v>
          </cell>
          <cell r="AB89">
            <v>56.2</v>
          </cell>
          <cell r="AC89">
            <v>94.6</v>
          </cell>
          <cell r="AD89">
            <v>92.8</v>
          </cell>
          <cell r="AE89">
            <v>99.4</v>
          </cell>
          <cell r="AF89">
            <v>337.1</v>
          </cell>
          <cell r="AG89">
            <v>464</v>
          </cell>
          <cell r="AH89">
            <v>96.4</v>
          </cell>
          <cell r="AI89">
            <v>57.1</v>
          </cell>
        </row>
        <row r="90">
          <cell r="B90" t="str">
            <v>Southend-on-Sea</v>
          </cell>
          <cell r="D90">
            <v>1159</v>
          </cell>
          <cell r="E90">
            <v>78.3</v>
          </cell>
          <cell r="F90">
            <v>58.1</v>
          </cell>
          <cell r="G90">
            <v>91.5</v>
          </cell>
          <cell r="H90">
            <v>90</v>
          </cell>
          <cell r="I90">
            <v>98.6</v>
          </cell>
          <cell r="J90">
            <v>330.9</v>
          </cell>
          <cell r="K90">
            <v>450.6</v>
          </cell>
          <cell r="L90">
            <v>93.4</v>
          </cell>
          <cell r="M90">
            <v>58.8</v>
          </cell>
          <cell r="O90">
            <v>1067</v>
          </cell>
          <cell r="P90">
            <v>86.5</v>
          </cell>
          <cell r="Q90">
            <v>66.099999999999994</v>
          </cell>
          <cell r="R90">
            <v>95</v>
          </cell>
          <cell r="S90">
            <v>93.5</v>
          </cell>
          <cell r="T90">
            <v>99.3</v>
          </cell>
          <cell r="U90">
            <v>358.9</v>
          </cell>
          <cell r="V90">
            <v>522.1</v>
          </cell>
          <cell r="W90">
            <v>96.3</v>
          </cell>
          <cell r="X90">
            <v>66.400000000000006</v>
          </cell>
          <cell r="Z90">
            <v>2226</v>
          </cell>
          <cell r="AA90">
            <v>82.2</v>
          </cell>
          <cell r="AB90">
            <v>61.9</v>
          </cell>
          <cell r="AC90">
            <v>93.2</v>
          </cell>
          <cell r="AD90">
            <v>91.7</v>
          </cell>
          <cell r="AE90">
            <v>99</v>
          </cell>
          <cell r="AF90">
            <v>344.3</v>
          </cell>
          <cell r="AG90">
            <v>484.9</v>
          </cell>
          <cell r="AH90">
            <v>94.8</v>
          </cell>
          <cell r="AI90">
            <v>62.4</v>
          </cell>
        </row>
        <row r="91">
          <cell r="B91" t="str">
            <v>Suffolk</v>
          </cell>
          <cell r="D91">
            <v>3958</v>
          </cell>
          <cell r="E91">
            <v>68.400000000000006</v>
          </cell>
          <cell r="F91">
            <v>49.7</v>
          </cell>
          <cell r="G91">
            <v>95.3</v>
          </cell>
          <cell r="H91">
            <v>93.4</v>
          </cell>
          <cell r="I91">
            <v>99.2</v>
          </cell>
          <cell r="J91">
            <v>316.5</v>
          </cell>
          <cell r="K91">
            <v>417.5</v>
          </cell>
          <cell r="L91">
            <v>96.7</v>
          </cell>
          <cell r="M91">
            <v>51.1</v>
          </cell>
          <cell r="O91">
            <v>3837</v>
          </cell>
          <cell r="P91">
            <v>79.099999999999994</v>
          </cell>
          <cell r="Q91">
            <v>59.7</v>
          </cell>
          <cell r="R91">
            <v>96.3</v>
          </cell>
          <cell r="S91">
            <v>95.2</v>
          </cell>
          <cell r="T91">
            <v>99.5</v>
          </cell>
          <cell r="U91">
            <v>340.9</v>
          </cell>
          <cell r="V91">
            <v>459.6</v>
          </cell>
          <cell r="W91">
            <v>97.2</v>
          </cell>
          <cell r="X91">
            <v>60.5</v>
          </cell>
          <cell r="Z91">
            <v>7795</v>
          </cell>
          <cell r="AA91">
            <v>73.599999999999994</v>
          </cell>
          <cell r="AB91">
            <v>54.6</v>
          </cell>
          <cell r="AC91">
            <v>95.8</v>
          </cell>
          <cell r="AD91">
            <v>94.3</v>
          </cell>
          <cell r="AE91">
            <v>99.4</v>
          </cell>
          <cell r="AF91">
            <v>328.5</v>
          </cell>
          <cell r="AG91">
            <v>438.3</v>
          </cell>
          <cell r="AH91">
            <v>96.9</v>
          </cell>
          <cell r="AI91">
            <v>55.8</v>
          </cell>
        </row>
        <row r="92">
          <cell r="B92" t="str">
            <v>Thurrock</v>
          </cell>
          <cell r="D92">
            <v>878</v>
          </cell>
          <cell r="E92">
            <v>86.7</v>
          </cell>
          <cell r="F92">
            <v>56</v>
          </cell>
          <cell r="G92">
            <v>97</v>
          </cell>
          <cell r="H92">
            <v>94.1</v>
          </cell>
          <cell r="I92">
            <v>99.7</v>
          </cell>
          <cell r="J92">
            <v>337.8</v>
          </cell>
          <cell r="K92">
            <v>475.5</v>
          </cell>
          <cell r="L92">
            <v>96.5</v>
          </cell>
          <cell r="M92">
            <v>56.2</v>
          </cell>
          <cell r="O92">
            <v>968</v>
          </cell>
          <cell r="P92">
            <v>88.8</v>
          </cell>
          <cell r="Q92">
            <v>62.6</v>
          </cell>
          <cell r="R92">
            <v>97.7</v>
          </cell>
          <cell r="S92">
            <v>96.3</v>
          </cell>
          <cell r="T92">
            <v>99.9</v>
          </cell>
          <cell r="U92">
            <v>351.8</v>
          </cell>
          <cell r="V92">
            <v>495.8</v>
          </cell>
          <cell r="W92">
            <v>98.2</v>
          </cell>
          <cell r="X92">
            <v>63.2</v>
          </cell>
          <cell r="Z92">
            <v>1846</v>
          </cell>
          <cell r="AA92">
            <v>87.8</v>
          </cell>
          <cell r="AB92">
            <v>59.5</v>
          </cell>
          <cell r="AC92">
            <v>97.4</v>
          </cell>
          <cell r="AD92">
            <v>95.2</v>
          </cell>
          <cell r="AE92">
            <v>99.8</v>
          </cell>
          <cell r="AF92">
            <v>345.2</v>
          </cell>
          <cell r="AG92">
            <v>486.2</v>
          </cell>
          <cell r="AH92">
            <v>97.4</v>
          </cell>
          <cell r="AI92">
            <v>59.9</v>
          </cell>
        </row>
        <row r="93">
          <cell r="B93" t="str">
            <v>Inner London</v>
          </cell>
          <cell r="D93">
            <v>12002</v>
          </cell>
          <cell r="E93">
            <v>80.2</v>
          </cell>
          <cell r="F93">
            <v>59.3</v>
          </cell>
          <cell r="G93">
            <v>94.7</v>
          </cell>
          <cell r="H93">
            <v>93.2</v>
          </cell>
          <cell r="I93">
            <v>98.9</v>
          </cell>
          <cell r="J93">
            <v>329.5</v>
          </cell>
          <cell r="K93">
            <v>434.2</v>
          </cell>
          <cell r="L93">
            <v>95.9</v>
          </cell>
          <cell r="M93">
            <v>60.5</v>
          </cell>
          <cell r="O93">
            <v>12362</v>
          </cell>
          <cell r="P93">
            <v>85.3</v>
          </cell>
          <cell r="Q93">
            <v>66.8</v>
          </cell>
          <cell r="R93">
            <v>97.2</v>
          </cell>
          <cell r="S93">
            <v>95.5</v>
          </cell>
          <cell r="T93">
            <v>99.4</v>
          </cell>
          <cell r="U93">
            <v>351.4</v>
          </cell>
          <cell r="V93">
            <v>470.7</v>
          </cell>
          <cell r="W93">
            <v>97.6</v>
          </cell>
          <cell r="X93">
            <v>67.599999999999994</v>
          </cell>
          <cell r="Z93">
            <v>24364</v>
          </cell>
          <cell r="AA93">
            <v>82.8</v>
          </cell>
          <cell r="AB93">
            <v>63.1</v>
          </cell>
          <cell r="AC93">
            <v>96</v>
          </cell>
          <cell r="AD93">
            <v>94.4</v>
          </cell>
          <cell r="AE93">
            <v>99.2</v>
          </cell>
          <cell r="AF93">
            <v>340.6</v>
          </cell>
          <cell r="AG93">
            <v>452.8</v>
          </cell>
          <cell r="AH93">
            <v>96.8</v>
          </cell>
          <cell r="AI93">
            <v>64.099999999999994</v>
          </cell>
        </row>
        <row r="94">
          <cell r="B94" t="str">
            <v>Camden</v>
          </cell>
          <cell r="D94">
            <v>627</v>
          </cell>
          <cell r="E94">
            <v>69.099999999999994</v>
          </cell>
          <cell r="F94">
            <v>49.6</v>
          </cell>
          <cell r="G94">
            <v>92.7</v>
          </cell>
          <cell r="H94">
            <v>91.7</v>
          </cell>
          <cell r="I94">
            <v>97.9</v>
          </cell>
          <cell r="J94">
            <v>316.2</v>
          </cell>
          <cell r="K94">
            <v>408.9</v>
          </cell>
          <cell r="L94">
            <v>94.4</v>
          </cell>
          <cell r="M94">
            <v>51.7</v>
          </cell>
          <cell r="O94">
            <v>881</v>
          </cell>
          <cell r="P94">
            <v>83.5</v>
          </cell>
          <cell r="Q94">
            <v>68.099999999999994</v>
          </cell>
          <cell r="R94">
            <v>97.3</v>
          </cell>
          <cell r="S94">
            <v>96</v>
          </cell>
          <cell r="T94">
            <v>99.8</v>
          </cell>
          <cell r="U94">
            <v>353.6</v>
          </cell>
          <cell r="V94">
            <v>461.2</v>
          </cell>
          <cell r="W94">
            <v>98.3</v>
          </cell>
          <cell r="X94">
            <v>69.099999999999994</v>
          </cell>
          <cell r="Z94">
            <v>1508</v>
          </cell>
          <cell r="AA94">
            <v>77.5</v>
          </cell>
          <cell r="AB94">
            <v>60.4</v>
          </cell>
          <cell r="AC94">
            <v>95.4</v>
          </cell>
          <cell r="AD94">
            <v>94.2</v>
          </cell>
          <cell r="AE94">
            <v>99</v>
          </cell>
          <cell r="AF94">
            <v>338.1</v>
          </cell>
          <cell r="AG94">
            <v>439.5</v>
          </cell>
          <cell r="AH94">
            <v>96.7</v>
          </cell>
          <cell r="AI94">
            <v>61.9</v>
          </cell>
        </row>
        <row r="95">
          <cell r="B95" t="str">
            <v>Hackney</v>
          </cell>
          <cell r="D95">
            <v>682</v>
          </cell>
          <cell r="E95">
            <v>77.599999999999994</v>
          </cell>
          <cell r="F95">
            <v>58.7</v>
          </cell>
          <cell r="G95">
            <v>94.3</v>
          </cell>
          <cell r="H95">
            <v>91.5</v>
          </cell>
          <cell r="I95">
            <v>98.8</v>
          </cell>
          <cell r="J95">
            <v>325.3</v>
          </cell>
          <cell r="K95">
            <v>404.5</v>
          </cell>
          <cell r="L95">
            <v>94.3</v>
          </cell>
          <cell r="M95">
            <v>60</v>
          </cell>
          <cell r="O95">
            <v>967</v>
          </cell>
          <cell r="P95">
            <v>81.099999999999994</v>
          </cell>
          <cell r="Q95">
            <v>63.1</v>
          </cell>
          <cell r="R95">
            <v>95.8</v>
          </cell>
          <cell r="S95">
            <v>94</v>
          </cell>
          <cell r="T95">
            <v>99.1</v>
          </cell>
          <cell r="U95">
            <v>341</v>
          </cell>
          <cell r="V95">
            <v>431.5</v>
          </cell>
          <cell r="W95">
            <v>96.4</v>
          </cell>
          <cell r="X95">
            <v>64.099999999999994</v>
          </cell>
          <cell r="Z95">
            <v>1649</v>
          </cell>
          <cell r="AA95">
            <v>79.599999999999994</v>
          </cell>
          <cell r="AB95">
            <v>61.2</v>
          </cell>
          <cell r="AC95">
            <v>95.1</v>
          </cell>
          <cell r="AD95">
            <v>93</v>
          </cell>
          <cell r="AE95">
            <v>99</v>
          </cell>
          <cell r="AF95">
            <v>334.5</v>
          </cell>
          <cell r="AG95">
            <v>420.3</v>
          </cell>
          <cell r="AH95">
            <v>95.5</v>
          </cell>
          <cell r="AI95">
            <v>62.4</v>
          </cell>
        </row>
        <row r="96">
          <cell r="B96" t="str">
            <v>Hammersmith and Fulham</v>
          </cell>
          <cell r="D96">
            <v>558</v>
          </cell>
          <cell r="E96">
            <v>79.900000000000006</v>
          </cell>
          <cell r="F96">
            <v>60.8</v>
          </cell>
          <cell r="G96">
            <v>95</v>
          </cell>
          <cell r="H96">
            <v>93.9</v>
          </cell>
          <cell r="I96">
            <v>99.8</v>
          </cell>
          <cell r="J96">
            <v>347.1</v>
          </cell>
          <cell r="K96">
            <v>448.5</v>
          </cell>
          <cell r="L96">
            <v>96.6</v>
          </cell>
          <cell r="M96">
            <v>61.1</v>
          </cell>
          <cell r="O96">
            <v>597</v>
          </cell>
          <cell r="P96">
            <v>86.8</v>
          </cell>
          <cell r="Q96">
            <v>71.900000000000006</v>
          </cell>
          <cell r="R96">
            <v>97.3</v>
          </cell>
          <cell r="S96">
            <v>96.6</v>
          </cell>
          <cell r="T96">
            <v>100</v>
          </cell>
          <cell r="U96">
            <v>363.9</v>
          </cell>
          <cell r="V96">
            <v>471.6</v>
          </cell>
          <cell r="W96">
            <v>98</v>
          </cell>
          <cell r="X96">
            <v>72</v>
          </cell>
          <cell r="Z96">
            <v>1155</v>
          </cell>
          <cell r="AA96">
            <v>83.5</v>
          </cell>
          <cell r="AB96">
            <v>66.5</v>
          </cell>
          <cell r="AC96">
            <v>96.2</v>
          </cell>
          <cell r="AD96">
            <v>95.3</v>
          </cell>
          <cell r="AE96">
            <v>99.9</v>
          </cell>
          <cell r="AF96">
            <v>355.8</v>
          </cell>
          <cell r="AG96">
            <v>460.4</v>
          </cell>
          <cell r="AH96">
            <v>97.3</v>
          </cell>
          <cell r="AI96">
            <v>66.8</v>
          </cell>
        </row>
        <row r="97">
          <cell r="B97" t="str">
            <v>Haringey</v>
          </cell>
          <cell r="D97">
            <v>1107</v>
          </cell>
          <cell r="E97">
            <v>81.400000000000006</v>
          </cell>
          <cell r="F97">
            <v>60.4</v>
          </cell>
          <cell r="G97">
            <v>93.6</v>
          </cell>
          <cell r="H97">
            <v>91.8</v>
          </cell>
          <cell r="I97">
            <v>99.3</v>
          </cell>
          <cell r="J97">
            <v>328.7</v>
          </cell>
          <cell r="K97">
            <v>416</v>
          </cell>
          <cell r="L97">
            <v>94.9</v>
          </cell>
          <cell r="M97">
            <v>61.3</v>
          </cell>
          <cell r="O97">
            <v>1076</v>
          </cell>
          <cell r="P97">
            <v>85.6</v>
          </cell>
          <cell r="Q97">
            <v>66.599999999999994</v>
          </cell>
          <cell r="R97">
            <v>96.4</v>
          </cell>
          <cell r="S97">
            <v>95.5</v>
          </cell>
          <cell r="T97">
            <v>99.3</v>
          </cell>
          <cell r="U97">
            <v>351.6</v>
          </cell>
          <cell r="V97">
            <v>448.8</v>
          </cell>
          <cell r="W97">
            <v>97</v>
          </cell>
          <cell r="X97">
            <v>67.3</v>
          </cell>
          <cell r="Z97">
            <v>2183</v>
          </cell>
          <cell r="AA97">
            <v>83.5</v>
          </cell>
          <cell r="AB97">
            <v>63.5</v>
          </cell>
          <cell r="AC97">
            <v>95</v>
          </cell>
          <cell r="AD97">
            <v>93.6</v>
          </cell>
          <cell r="AE97">
            <v>99.3</v>
          </cell>
          <cell r="AF97">
            <v>340</v>
          </cell>
          <cell r="AG97">
            <v>432.2</v>
          </cell>
          <cell r="AH97">
            <v>95.9</v>
          </cell>
          <cell r="AI97">
            <v>64.3</v>
          </cell>
        </row>
        <row r="98">
          <cell r="B98" t="str">
            <v>Islington</v>
          </cell>
          <cell r="D98">
            <v>772</v>
          </cell>
          <cell r="E98">
            <v>85.8</v>
          </cell>
          <cell r="F98">
            <v>63.7</v>
          </cell>
          <cell r="G98">
            <v>96.6</v>
          </cell>
          <cell r="H98">
            <v>95.3</v>
          </cell>
          <cell r="I98">
            <v>98.6</v>
          </cell>
          <cell r="J98">
            <v>336.8</v>
          </cell>
          <cell r="K98">
            <v>440.7</v>
          </cell>
          <cell r="L98">
            <v>97.2</v>
          </cell>
          <cell r="M98">
            <v>64.8</v>
          </cell>
          <cell r="O98">
            <v>664</v>
          </cell>
          <cell r="P98">
            <v>79.7</v>
          </cell>
          <cell r="Q98">
            <v>63.3</v>
          </cell>
          <cell r="R98">
            <v>97.6</v>
          </cell>
          <cell r="S98">
            <v>97</v>
          </cell>
          <cell r="T98">
            <v>99.1</v>
          </cell>
          <cell r="U98">
            <v>343.4</v>
          </cell>
          <cell r="V98">
            <v>452.7</v>
          </cell>
          <cell r="W98">
            <v>97.6</v>
          </cell>
          <cell r="X98">
            <v>64.5</v>
          </cell>
          <cell r="Z98">
            <v>1436</v>
          </cell>
          <cell r="AA98">
            <v>82.9</v>
          </cell>
          <cell r="AB98">
            <v>63.5</v>
          </cell>
          <cell r="AC98">
            <v>97.1</v>
          </cell>
          <cell r="AD98">
            <v>96.1</v>
          </cell>
          <cell r="AE98">
            <v>98.8</v>
          </cell>
          <cell r="AF98">
            <v>339.9</v>
          </cell>
          <cell r="AG98">
            <v>446.3</v>
          </cell>
          <cell r="AH98">
            <v>97.4</v>
          </cell>
          <cell r="AI98">
            <v>64.599999999999994</v>
          </cell>
        </row>
        <row r="99">
          <cell r="B99" t="str">
            <v>Kensington and Chelsea</v>
          </cell>
          <cell r="D99">
            <v>328</v>
          </cell>
          <cell r="E99">
            <v>94.8</v>
          </cell>
          <cell r="F99">
            <v>83.2</v>
          </cell>
          <cell r="G99">
            <v>97.6</v>
          </cell>
          <cell r="H99">
            <v>96.6</v>
          </cell>
          <cell r="I99">
            <v>99.4</v>
          </cell>
          <cell r="J99">
            <v>377.6</v>
          </cell>
          <cell r="K99">
            <v>581.29999999999995</v>
          </cell>
          <cell r="L99">
            <v>97.3</v>
          </cell>
          <cell r="M99">
            <v>83.2</v>
          </cell>
          <cell r="O99">
            <v>283</v>
          </cell>
          <cell r="P99">
            <v>89</v>
          </cell>
          <cell r="Q99">
            <v>76.7</v>
          </cell>
          <cell r="R99">
            <v>96.1</v>
          </cell>
          <cell r="S99">
            <v>95.4</v>
          </cell>
          <cell r="T99">
            <v>98.2</v>
          </cell>
          <cell r="U99">
            <v>365.2</v>
          </cell>
          <cell r="V99">
            <v>558.4</v>
          </cell>
          <cell r="W99">
            <v>96.8</v>
          </cell>
          <cell r="X99">
            <v>76.7</v>
          </cell>
          <cell r="Z99">
            <v>611</v>
          </cell>
          <cell r="AA99">
            <v>92.1</v>
          </cell>
          <cell r="AB99">
            <v>80.2</v>
          </cell>
          <cell r="AC99">
            <v>96.9</v>
          </cell>
          <cell r="AD99">
            <v>96.1</v>
          </cell>
          <cell r="AE99">
            <v>98.9</v>
          </cell>
          <cell r="AF99">
            <v>371.9</v>
          </cell>
          <cell r="AG99">
            <v>570.70000000000005</v>
          </cell>
          <cell r="AH99">
            <v>97.1</v>
          </cell>
          <cell r="AI99">
            <v>80.2</v>
          </cell>
        </row>
        <row r="100">
          <cell r="B100" t="str">
            <v>Lambeth</v>
          </cell>
          <cell r="D100">
            <v>935</v>
          </cell>
          <cell r="E100">
            <v>83.1</v>
          </cell>
          <cell r="F100">
            <v>63.3</v>
          </cell>
          <cell r="G100">
            <v>94.7</v>
          </cell>
          <cell r="H100">
            <v>93.6</v>
          </cell>
          <cell r="I100">
            <v>99.4</v>
          </cell>
          <cell r="J100">
            <v>328.4</v>
          </cell>
          <cell r="K100">
            <v>428.8</v>
          </cell>
          <cell r="L100">
            <v>95.9</v>
          </cell>
          <cell r="M100">
            <v>64.7</v>
          </cell>
          <cell r="O100">
            <v>946</v>
          </cell>
          <cell r="P100">
            <v>89.7</v>
          </cell>
          <cell r="Q100">
            <v>68.400000000000006</v>
          </cell>
          <cell r="R100">
            <v>97</v>
          </cell>
          <cell r="S100">
            <v>95.8</v>
          </cell>
          <cell r="T100">
            <v>99.5</v>
          </cell>
          <cell r="U100">
            <v>349.6</v>
          </cell>
          <cell r="V100">
            <v>468.1</v>
          </cell>
          <cell r="W100">
            <v>97.7</v>
          </cell>
          <cell r="X100">
            <v>69.7</v>
          </cell>
          <cell r="Z100">
            <v>1881</v>
          </cell>
          <cell r="AA100">
            <v>86.4</v>
          </cell>
          <cell r="AB100">
            <v>65.900000000000006</v>
          </cell>
          <cell r="AC100">
            <v>95.9</v>
          </cell>
          <cell r="AD100">
            <v>94.7</v>
          </cell>
          <cell r="AE100">
            <v>99.4</v>
          </cell>
          <cell r="AF100">
            <v>339</v>
          </cell>
          <cell r="AG100">
            <v>448.6</v>
          </cell>
          <cell r="AH100">
            <v>96.8</v>
          </cell>
          <cell r="AI100">
            <v>67.2</v>
          </cell>
        </row>
        <row r="101">
          <cell r="B101" t="str">
            <v>Lewisham</v>
          </cell>
          <cell r="D101">
            <v>1191</v>
          </cell>
          <cell r="E101">
            <v>77.2</v>
          </cell>
          <cell r="F101">
            <v>52.6</v>
          </cell>
          <cell r="G101">
            <v>93</v>
          </cell>
          <cell r="H101">
            <v>91</v>
          </cell>
          <cell r="I101">
            <v>98.3</v>
          </cell>
          <cell r="J101">
            <v>313.8</v>
          </cell>
          <cell r="K101">
            <v>405.3</v>
          </cell>
          <cell r="L101">
            <v>94.8</v>
          </cell>
          <cell r="M101">
            <v>53.7</v>
          </cell>
          <cell r="O101">
            <v>1155</v>
          </cell>
          <cell r="P101">
            <v>81</v>
          </cell>
          <cell r="Q101">
            <v>63.5</v>
          </cell>
          <cell r="R101">
            <v>95.4</v>
          </cell>
          <cell r="S101">
            <v>92.7</v>
          </cell>
          <cell r="T101">
            <v>98.8</v>
          </cell>
          <cell r="U101">
            <v>334.8</v>
          </cell>
          <cell r="V101">
            <v>444.4</v>
          </cell>
          <cell r="W101">
            <v>96.9</v>
          </cell>
          <cell r="X101">
            <v>64.8</v>
          </cell>
          <cell r="Z101">
            <v>2346</v>
          </cell>
          <cell r="AA101">
            <v>79</v>
          </cell>
          <cell r="AB101">
            <v>58</v>
          </cell>
          <cell r="AC101">
            <v>94.2</v>
          </cell>
          <cell r="AD101">
            <v>91.9</v>
          </cell>
          <cell r="AE101">
            <v>98.6</v>
          </cell>
          <cell r="AF101">
            <v>324.10000000000002</v>
          </cell>
          <cell r="AG101">
            <v>424.6</v>
          </cell>
          <cell r="AH101">
            <v>95.8</v>
          </cell>
          <cell r="AI101">
            <v>59.2</v>
          </cell>
        </row>
        <row r="102">
          <cell r="B102" t="str">
            <v>Newham</v>
          </cell>
          <cell r="D102">
            <v>1699</v>
          </cell>
          <cell r="E102">
            <v>75.8</v>
          </cell>
          <cell r="F102">
            <v>52.7</v>
          </cell>
          <cell r="G102">
            <v>95.4</v>
          </cell>
          <cell r="H102">
            <v>93.8</v>
          </cell>
          <cell r="I102">
            <v>99.5</v>
          </cell>
          <cell r="J102">
            <v>323.39999999999998</v>
          </cell>
          <cell r="K102">
            <v>434.6</v>
          </cell>
          <cell r="L102">
            <v>96.9</v>
          </cell>
          <cell r="M102">
            <v>53.9</v>
          </cell>
          <cell r="O102">
            <v>1769</v>
          </cell>
          <cell r="P102">
            <v>82.2</v>
          </cell>
          <cell r="Q102">
            <v>63.8</v>
          </cell>
          <cell r="R102">
            <v>97.7</v>
          </cell>
          <cell r="S102">
            <v>95.5</v>
          </cell>
          <cell r="T102">
            <v>99.7</v>
          </cell>
          <cell r="U102">
            <v>346.2</v>
          </cell>
          <cell r="V102">
            <v>463.4</v>
          </cell>
          <cell r="W102">
            <v>97.9</v>
          </cell>
          <cell r="X102">
            <v>64.2</v>
          </cell>
          <cell r="Z102">
            <v>3468</v>
          </cell>
          <cell r="AA102">
            <v>79.099999999999994</v>
          </cell>
          <cell r="AB102">
            <v>58.4</v>
          </cell>
          <cell r="AC102">
            <v>96.6</v>
          </cell>
          <cell r="AD102">
            <v>94.6</v>
          </cell>
          <cell r="AE102">
            <v>99.6</v>
          </cell>
          <cell r="AF102">
            <v>335</v>
          </cell>
          <cell r="AG102">
            <v>449.3</v>
          </cell>
          <cell r="AH102">
            <v>97.4</v>
          </cell>
          <cell r="AI102">
            <v>59.1</v>
          </cell>
        </row>
        <row r="103">
          <cell r="B103" t="str">
            <v>Southwark</v>
          </cell>
          <cell r="D103">
            <v>1164</v>
          </cell>
          <cell r="E103">
            <v>80.8</v>
          </cell>
          <cell r="F103">
            <v>62.5</v>
          </cell>
          <cell r="G103">
            <v>93.6</v>
          </cell>
          <cell r="H103">
            <v>93</v>
          </cell>
          <cell r="I103">
            <v>98.2</v>
          </cell>
          <cell r="J103">
            <v>325</v>
          </cell>
          <cell r="K103">
            <v>431.1</v>
          </cell>
          <cell r="L103">
            <v>95.4</v>
          </cell>
          <cell r="M103">
            <v>64.5</v>
          </cell>
          <cell r="O103">
            <v>1182</v>
          </cell>
          <cell r="P103">
            <v>89.3</v>
          </cell>
          <cell r="Q103">
            <v>67.900000000000006</v>
          </cell>
          <cell r="R103">
            <v>97.5</v>
          </cell>
          <cell r="S103">
            <v>95.9</v>
          </cell>
          <cell r="T103">
            <v>99.7</v>
          </cell>
          <cell r="U103">
            <v>356.9</v>
          </cell>
          <cell r="V103">
            <v>509.7</v>
          </cell>
          <cell r="W103">
            <v>97.9</v>
          </cell>
          <cell r="X103">
            <v>68.900000000000006</v>
          </cell>
          <cell r="Z103">
            <v>2346</v>
          </cell>
          <cell r="AA103">
            <v>85.1</v>
          </cell>
          <cell r="AB103">
            <v>65.2</v>
          </cell>
          <cell r="AC103">
            <v>95.6</v>
          </cell>
          <cell r="AD103">
            <v>94.4</v>
          </cell>
          <cell r="AE103">
            <v>99</v>
          </cell>
          <cell r="AF103">
            <v>341.1</v>
          </cell>
          <cell r="AG103">
            <v>470.7</v>
          </cell>
          <cell r="AH103">
            <v>96.7</v>
          </cell>
          <cell r="AI103">
            <v>66.7</v>
          </cell>
        </row>
        <row r="104">
          <cell r="B104" t="str">
            <v>Tower Hamlets</v>
          </cell>
          <cell r="D104">
            <v>1281</v>
          </cell>
          <cell r="E104">
            <v>81.900000000000006</v>
          </cell>
          <cell r="F104">
            <v>62.4</v>
          </cell>
          <cell r="G104">
            <v>96.6</v>
          </cell>
          <cell r="H104">
            <v>94.4</v>
          </cell>
          <cell r="I104">
            <v>99.6</v>
          </cell>
          <cell r="J104">
            <v>332.2</v>
          </cell>
          <cell r="K104">
            <v>439.9</v>
          </cell>
          <cell r="L104">
            <v>97.4</v>
          </cell>
          <cell r="M104">
            <v>62.9</v>
          </cell>
          <cell r="O104">
            <v>1240</v>
          </cell>
          <cell r="P104">
            <v>89.9</v>
          </cell>
          <cell r="Q104">
            <v>67.2</v>
          </cell>
          <cell r="R104">
            <v>98.2</v>
          </cell>
          <cell r="S104">
            <v>95.2</v>
          </cell>
          <cell r="T104">
            <v>99.4</v>
          </cell>
          <cell r="U104">
            <v>355.7</v>
          </cell>
          <cell r="V104">
            <v>477.4</v>
          </cell>
          <cell r="W104">
            <v>97.9</v>
          </cell>
          <cell r="X104">
            <v>67.400000000000006</v>
          </cell>
          <cell r="Z104">
            <v>2521</v>
          </cell>
          <cell r="AA104">
            <v>85.8</v>
          </cell>
          <cell r="AB104">
            <v>64.7</v>
          </cell>
          <cell r="AC104">
            <v>97.4</v>
          </cell>
          <cell r="AD104">
            <v>94.8</v>
          </cell>
          <cell r="AE104">
            <v>99.5</v>
          </cell>
          <cell r="AF104">
            <v>343.8</v>
          </cell>
          <cell r="AG104">
            <v>458.3</v>
          </cell>
          <cell r="AH104">
            <v>97.7</v>
          </cell>
          <cell r="AI104">
            <v>65.099999999999994</v>
          </cell>
        </row>
        <row r="105">
          <cell r="B105" t="str">
            <v>Wandsworth</v>
          </cell>
          <cell r="D105">
            <v>1007</v>
          </cell>
          <cell r="E105">
            <v>81.099999999999994</v>
          </cell>
          <cell r="F105">
            <v>57.4</v>
          </cell>
          <cell r="G105">
            <v>92.6</v>
          </cell>
          <cell r="H105">
            <v>92.1</v>
          </cell>
          <cell r="I105">
            <v>97.7</v>
          </cell>
          <cell r="J105">
            <v>334.8</v>
          </cell>
          <cell r="K105">
            <v>460.3</v>
          </cell>
          <cell r="L105">
            <v>94</v>
          </cell>
          <cell r="M105">
            <v>59</v>
          </cell>
          <cell r="O105">
            <v>839</v>
          </cell>
          <cell r="P105">
            <v>85.3</v>
          </cell>
          <cell r="Q105">
            <v>65.900000000000006</v>
          </cell>
          <cell r="R105">
            <v>97.5</v>
          </cell>
          <cell r="S105">
            <v>96.4</v>
          </cell>
          <cell r="T105">
            <v>99.2</v>
          </cell>
          <cell r="U105">
            <v>359.2</v>
          </cell>
          <cell r="V105">
            <v>514.1</v>
          </cell>
          <cell r="W105">
            <v>97.6</v>
          </cell>
          <cell r="X105">
            <v>66.900000000000006</v>
          </cell>
          <cell r="Z105">
            <v>1846</v>
          </cell>
          <cell r="AA105">
            <v>83</v>
          </cell>
          <cell r="AB105">
            <v>61.3</v>
          </cell>
          <cell r="AC105">
            <v>94.8</v>
          </cell>
          <cell r="AD105">
            <v>94</v>
          </cell>
          <cell r="AE105">
            <v>98.4</v>
          </cell>
          <cell r="AF105">
            <v>345.9</v>
          </cell>
          <cell r="AG105">
            <v>484.8</v>
          </cell>
          <cell r="AH105">
            <v>95.7</v>
          </cell>
          <cell r="AI105">
            <v>62.6</v>
          </cell>
        </row>
        <row r="106">
          <cell r="B106" t="str">
            <v>Westminster</v>
          </cell>
          <cell r="D106">
            <v>651</v>
          </cell>
          <cell r="E106">
            <v>84.3</v>
          </cell>
          <cell r="F106">
            <v>64.099999999999994</v>
          </cell>
          <cell r="G106">
            <v>97.7</v>
          </cell>
          <cell r="H106">
            <v>96.5</v>
          </cell>
          <cell r="I106">
            <v>99.2</v>
          </cell>
          <cell r="J106">
            <v>340.6</v>
          </cell>
          <cell r="K106">
            <v>441</v>
          </cell>
          <cell r="L106">
            <v>98</v>
          </cell>
          <cell r="M106">
            <v>65.900000000000006</v>
          </cell>
          <cell r="O106">
            <v>763</v>
          </cell>
          <cell r="P106">
            <v>89</v>
          </cell>
          <cell r="Q106">
            <v>74.3</v>
          </cell>
          <cell r="R106">
            <v>99.1</v>
          </cell>
          <cell r="S106">
            <v>98</v>
          </cell>
          <cell r="T106">
            <v>99.7</v>
          </cell>
          <cell r="U106">
            <v>369.6</v>
          </cell>
          <cell r="V106">
            <v>485.8</v>
          </cell>
          <cell r="W106">
            <v>98.7</v>
          </cell>
          <cell r="X106">
            <v>75.2</v>
          </cell>
          <cell r="Z106">
            <v>1414</v>
          </cell>
          <cell r="AA106">
            <v>86.8</v>
          </cell>
          <cell r="AB106">
            <v>69.599999999999994</v>
          </cell>
          <cell r="AC106">
            <v>98.4</v>
          </cell>
          <cell r="AD106">
            <v>97.3</v>
          </cell>
          <cell r="AE106">
            <v>99.5</v>
          </cell>
          <cell r="AF106">
            <v>356.3</v>
          </cell>
          <cell r="AG106">
            <v>465.2</v>
          </cell>
          <cell r="AH106">
            <v>98.4</v>
          </cell>
          <cell r="AI106">
            <v>70.900000000000006</v>
          </cell>
        </row>
        <row r="107">
          <cell r="B107" t="str">
            <v>Outer London</v>
          </cell>
          <cell r="D107">
            <v>26266</v>
          </cell>
          <cell r="E107">
            <v>82.3</v>
          </cell>
          <cell r="F107">
            <v>61.9</v>
          </cell>
          <cell r="G107">
            <v>95.8</v>
          </cell>
          <cell r="H107">
            <v>94.2</v>
          </cell>
          <cell r="I107">
            <v>99.3</v>
          </cell>
          <cell r="J107">
            <v>338.8</v>
          </cell>
          <cell r="K107">
            <v>453.1</v>
          </cell>
          <cell r="L107">
            <v>96.5</v>
          </cell>
          <cell r="M107">
            <v>62.9</v>
          </cell>
          <cell r="O107">
            <v>25644</v>
          </cell>
          <cell r="P107">
            <v>88.2</v>
          </cell>
          <cell r="Q107">
            <v>70.099999999999994</v>
          </cell>
          <cell r="R107">
            <v>97.5</v>
          </cell>
          <cell r="S107">
            <v>96.1</v>
          </cell>
          <cell r="T107">
            <v>99.6</v>
          </cell>
          <cell r="U107">
            <v>361.4</v>
          </cell>
          <cell r="V107">
            <v>493.6</v>
          </cell>
          <cell r="W107">
            <v>97.9</v>
          </cell>
          <cell r="X107">
            <v>70.7</v>
          </cell>
          <cell r="Z107">
            <v>51910</v>
          </cell>
          <cell r="AA107">
            <v>85.2</v>
          </cell>
          <cell r="AB107">
            <v>66</v>
          </cell>
          <cell r="AC107">
            <v>96.6</v>
          </cell>
          <cell r="AD107">
            <v>95.1</v>
          </cell>
          <cell r="AE107">
            <v>99.4</v>
          </cell>
          <cell r="AF107">
            <v>349.9</v>
          </cell>
          <cell r="AG107">
            <v>473.1</v>
          </cell>
          <cell r="AH107">
            <v>97.2</v>
          </cell>
          <cell r="AI107">
            <v>66.7</v>
          </cell>
        </row>
        <row r="108">
          <cell r="B108" t="str">
            <v>Barking and Dagenham</v>
          </cell>
          <cell r="D108">
            <v>1153</v>
          </cell>
          <cell r="E108">
            <v>81.400000000000006</v>
          </cell>
          <cell r="F108">
            <v>57.7</v>
          </cell>
          <cell r="G108">
            <v>93.9</v>
          </cell>
          <cell r="H108">
            <v>92</v>
          </cell>
          <cell r="I108">
            <v>99.4</v>
          </cell>
          <cell r="J108">
            <v>328.4</v>
          </cell>
          <cell r="K108">
            <v>441</v>
          </cell>
          <cell r="L108">
            <v>95.6</v>
          </cell>
          <cell r="M108">
            <v>58.3</v>
          </cell>
          <cell r="O108">
            <v>1067</v>
          </cell>
          <cell r="P108">
            <v>83.7</v>
          </cell>
          <cell r="Q108">
            <v>62.9</v>
          </cell>
          <cell r="R108">
            <v>94.8</v>
          </cell>
          <cell r="S108">
            <v>92.6</v>
          </cell>
          <cell r="T108">
            <v>99.5</v>
          </cell>
          <cell r="U108">
            <v>341.3</v>
          </cell>
          <cell r="V108">
            <v>456.2</v>
          </cell>
          <cell r="W108">
            <v>95.2</v>
          </cell>
          <cell r="X108">
            <v>63.5</v>
          </cell>
          <cell r="Z108">
            <v>2220</v>
          </cell>
          <cell r="AA108">
            <v>82.5</v>
          </cell>
          <cell r="AB108">
            <v>60.2</v>
          </cell>
          <cell r="AC108">
            <v>94.3</v>
          </cell>
          <cell r="AD108">
            <v>92.3</v>
          </cell>
          <cell r="AE108">
            <v>99.5</v>
          </cell>
          <cell r="AF108">
            <v>334.6</v>
          </cell>
          <cell r="AG108">
            <v>448.3</v>
          </cell>
          <cell r="AH108">
            <v>95.4</v>
          </cell>
          <cell r="AI108">
            <v>60.8</v>
          </cell>
        </row>
        <row r="109">
          <cell r="B109" t="str">
            <v>Barnet</v>
          </cell>
          <cell r="D109">
            <v>1841</v>
          </cell>
          <cell r="E109">
            <v>84</v>
          </cell>
          <cell r="F109">
            <v>68.5</v>
          </cell>
          <cell r="G109">
            <v>96.3</v>
          </cell>
          <cell r="H109">
            <v>94.9</v>
          </cell>
          <cell r="I109">
            <v>99.6</v>
          </cell>
          <cell r="J109">
            <v>356.8</v>
          </cell>
          <cell r="K109">
            <v>474.5</v>
          </cell>
          <cell r="L109">
            <v>96.6</v>
          </cell>
          <cell r="M109">
            <v>69.3</v>
          </cell>
          <cell r="O109">
            <v>1644</v>
          </cell>
          <cell r="P109">
            <v>90.3</v>
          </cell>
          <cell r="Q109">
            <v>74.8</v>
          </cell>
          <cell r="R109">
            <v>97</v>
          </cell>
          <cell r="S109">
            <v>95.3</v>
          </cell>
          <cell r="T109">
            <v>99.7</v>
          </cell>
          <cell r="U109">
            <v>374.6</v>
          </cell>
          <cell r="V109">
            <v>497.8</v>
          </cell>
          <cell r="W109">
            <v>97.1</v>
          </cell>
          <cell r="X109">
            <v>74.900000000000006</v>
          </cell>
          <cell r="Z109">
            <v>3485</v>
          </cell>
          <cell r="AA109">
            <v>87</v>
          </cell>
          <cell r="AB109">
            <v>71.5</v>
          </cell>
          <cell r="AC109">
            <v>96.6</v>
          </cell>
          <cell r="AD109">
            <v>95.1</v>
          </cell>
          <cell r="AE109">
            <v>99.6</v>
          </cell>
          <cell r="AF109">
            <v>365.2</v>
          </cell>
          <cell r="AG109">
            <v>485.5</v>
          </cell>
          <cell r="AH109">
            <v>96.9</v>
          </cell>
          <cell r="AI109">
            <v>71.900000000000006</v>
          </cell>
        </row>
        <row r="110">
          <cell r="B110" t="str">
            <v>Bexley</v>
          </cell>
          <cell r="D110">
            <v>1629</v>
          </cell>
          <cell r="E110">
            <v>86.2</v>
          </cell>
          <cell r="F110">
            <v>60.8</v>
          </cell>
          <cell r="G110">
            <v>96.2</v>
          </cell>
          <cell r="H110">
            <v>94.3</v>
          </cell>
          <cell r="I110">
            <v>99.6</v>
          </cell>
          <cell r="J110">
            <v>344.1</v>
          </cell>
          <cell r="K110">
            <v>472.8</v>
          </cell>
          <cell r="L110">
            <v>97.1</v>
          </cell>
          <cell r="M110">
            <v>61</v>
          </cell>
          <cell r="O110">
            <v>1574</v>
          </cell>
          <cell r="P110">
            <v>91.1</v>
          </cell>
          <cell r="Q110">
            <v>71.3</v>
          </cell>
          <cell r="R110">
            <v>98.1</v>
          </cell>
          <cell r="S110">
            <v>96.7</v>
          </cell>
          <cell r="T110">
            <v>99.9</v>
          </cell>
          <cell r="U110">
            <v>369.7</v>
          </cell>
          <cell r="V110">
            <v>513.79999999999995</v>
          </cell>
          <cell r="W110">
            <v>98.9</v>
          </cell>
          <cell r="X110">
            <v>71.8</v>
          </cell>
          <cell r="Z110">
            <v>3203</v>
          </cell>
          <cell r="AA110">
            <v>88.6</v>
          </cell>
          <cell r="AB110">
            <v>66</v>
          </cell>
          <cell r="AC110">
            <v>97.1</v>
          </cell>
          <cell r="AD110">
            <v>95.5</v>
          </cell>
          <cell r="AE110">
            <v>99.7</v>
          </cell>
          <cell r="AF110">
            <v>356.7</v>
          </cell>
          <cell r="AG110">
            <v>493</v>
          </cell>
          <cell r="AH110">
            <v>98</v>
          </cell>
          <cell r="AI110">
            <v>66.3</v>
          </cell>
        </row>
        <row r="111">
          <cell r="B111" t="str">
            <v>Brent</v>
          </cell>
          <cell r="D111">
            <v>1477</v>
          </cell>
          <cell r="E111">
            <v>76</v>
          </cell>
          <cell r="F111">
            <v>57.9</v>
          </cell>
          <cell r="G111">
            <v>94.4</v>
          </cell>
          <cell r="H111">
            <v>92.3</v>
          </cell>
          <cell r="I111">
            <v>99.2</v>
          </cell>
          <cell r="J111">
            <v>328.4</v>
          </cell>
          <cell r="K111">
            <v>415.1</v>
          </cell>
          <cell r="L111">
            <v>96.1</v>
          </cell>
          <cell r="M111">
            <v>59.2</v>
          </cell>
          <cell r="O111">
            <v>1421</v>
          </cell>
          <cell r="P111">
            <v>86.4</v>
          </cell>
          <cell r="Q111">
            <v>68.099999999999994</v>
          </cell>
          <cell r="R111">
            <v>97.7</v>
          </cell>
          <cell r="S111">
            <v>96.2</v>
          </cell>
          <cell r="T111">
            <v>99.8</v>
          </cell>
          <cell r="U111">
            <v>358.1</v>
          </cell>
          <cell r="V111">
            <v>462</v>
          </cell>
          <cell r="W111">
            <v>98.1</v>
          </cell>
          <cell r="X111">
            <v>68.5</v>
          </cell>
          <cell r="Z111">
            <v>2898</v>
          </cell>
          <cell r="AA111">
            <v>81.099999999999994</v>
          </cell>
          <cell r="AB111">
            <v>62.9</v>
          </cell>
          <cell r="AC111">
            <v>96.1</v>
          </cell>
          <cell r="AD111">
            <v>94.2</v>
          </cell>
          <cell r="AE111">
            <v>99.5</v>
          </cell>
          <cell r="AF111">
            <v>343</v>
          </cell>
          <cell r="AG111">
            <v>438.1</v>
          </cell>
          <cell r="AH111">
            <v>97.1</v>
          </cell>
          <cell r="AI111">
            <v>63.8</v>
          </cell>
        </row>
        <row r="112">
          <cell r="B112" t="str">
            <v>Bromley</v>
          </cell>
          <cell r="D112">
            <v>1685</v>
          </cell>
          <cell r="E112">
            <v>90.3</v>
          </cell>
          <cell r="F112">
            <v>71.7</v>
          </cell>
          <cell r="G112">
            <v>97.3</v>
          </cell>
          <cell r="H112">
            <v>96.2</v>
          </cell>
          <cell r="I112">
            <v>99.2</v>
          </cell>
          <cell r="J112">
            <v>353</v>
          </cell>
          <cell r="K112">
            <v>481.1</v>
          </cell>
          <cell r="L112">
            <v>97.6</v>
          </cell>
          <cell r="M112">
            <v>72.599999999999994</v>
          </cell>
          <cell r="O112">
            <v>1733</v>
          </cell>
          <cell r="P112">
            <v>95.4</v>
          </cell>
          <cell r="Q112">
            <v>76.099999999999994</v>
          </cell>
          <cell r="R112">
            <v>98.6</v>
          </cell>
          <cell r="S112">
            <v>97.2</v>
          </cell>
          <cell r="T112">
            <v>99.8</v>
          </cell>
          <cell r="U112">
            <v>371.9</v>
          </cell>
          <cell r="V112">
            <v>528.6</v>
          </cell>
          <cell r="W112">
            <v>99.1</v>
          </cell>
          <cell r="X112">
            <v>76.5</v>
          </cell>
          <cell r="Z112">
            <v>3418</v>
          </cell>
          <cell r="AA112">
            <v>92.9</v>
          </cell>
          <cell r="AB112">
            <v>73.900000000000006</v>
          </cell>
          <cell r="AC112">
            <v>98</v>
          </cell>
          <cell r="AD112">
            <v>96.7</v>
          </cell>
          <cell r="AE112">
            <v>99.5</v>
          </cell>
          <cell r="AF112">
            <v>362.5</v>
          </cell>
          <cell r="AG112">
            <v>505.2</v>
          </cell>
          <cell r="AH112">
            <v>98.4</v>
          </cell>
          <cell r="AI112">
            <v>74.599999999999994</v>
          </cell>
        </row>
        <row r="113">
          <cell r="B113" t="str">
            <v>Croydon</v>
          </cell>
          <cell r="D113">
            <v>1826</v>
          </cell>
          <cell r="E113">
            <v>82.1</v>
          </cell>
          <cell r="F113">
            <v>59.5</v>
          </cell>
          <cell r="G113">
            <v>95.3</v>
          </cell>
          <cell r="H113">
            <v>93.5</v>
          </cell>
          <cell r="I113">
            <v>99.2</v>
          </cell>
          <cell r="J113">
            <v>328.8</v>
          </cell>
          <cell r="K113">
            <v>445.2</v>
          </cell>
          <cell r="L113">
            <v>96.2</v>
          </cell>
          <cell r="M113">
            <v>60.5</v>
          </cell>
          <cell r="O113">
            <v>1939</v>
          </cell>
          <cell r="P113">
            <v>88.2</v>
          </cell>
          <cell r="Q113">
            <v>69</v>
          </cell>
          <cell r="R113">
            <v>97.7</v>
          </cell>
          <cell r="S113">
            <v>95.8</v>
          </cell>
          <cell r="T113">
            <v>99.5</v>
          </cell>
          <cell r="U113">
            <v>355.6</v>
          </cell>
          <cell r="V113">
            <v>493.1</v>
          </cell>
          <cell r="W113">
            <v>97.6</v>
          </cell>
          <cell r="X113">
            <v>69.7</v>
          </cell>
          <cell r="Z113">
            <v>3765</v>
          </cell>
          <cell r="AA113">
            <v>85.3</v>
          </cell>
          <cell r="AB113">
            <v>64.400000000000006</v>
          </cell>
          <cell r="AC113">
            <v>96.5</v>
          </cell>
          <cell r="AD113">
            <v>94.7</v>
          </cell>
          <cell r="AE113">
            <v>99.4</v>
          </cell>
          <cell r="AF113">
            <v>342.6</v>
          </cell>
          <cell r="AG113">
            <v>469.9</v>
          </cell>
          <cell r="AH113">
            <v>96.9</v>
          </cell>
          <cell r="AI113">
            <v>65.3</v>
          </cell>
        </row>
        <row r="114">
          <cell r="B114" t="str">
            <v>Ealing</v>
          </cell>
          <cell r="D114">
            <v>1424</v>
          </cell>
          <cell r="E114">
            <v>75.8</v>
          </cell>
          <cell r="F114">
            <v>56</v>
          </cell>
          <cell r="G114">
            <v>95.4</v>
          </cell>
          <cell r="H114">
            <v>93.5</v>
          </cell>
          <cell r="I114">
            <v>99.4</v>
          </cell>
          <cell r="J114">
            <v>329.3</v>
          </cell>
          <cell r="K114">
            <v>445.6</v>
          </cell>
          <cell r="L114">
            <v>96.3</v>
          </cell>
          <cell r="M114">
            <v>57</v>
          </cell>
          <cell r="O114">
            <v>1456</v>
          </cell>
          <cell r="P114">
            <v>84.1</v>
          </cell>
          <cell r="Q114">
            <v>65.8</v>
          </cell>
          <cell r="R114">
            <v>97.3</v>
          </cell>
          <cell r="S114">
            <v>95</v>
          </cell>
          <cell r="T114">
            <v>99.2</v>
          </cell>
          <cell r="U114">
            <v>353.2</v>
          </cell>
          <cell r="V114">
            <v>500.1</v>
          </cell>
          <cell r="W114">
            <v>97.9</v>
          </cell>
          <cell r="X114">
            <v>66.599999999999994</v>
          </cell>
          <cell r="Z114">
            <v>2880</v>
          </cell>
          <cell r="AA114">
            <v>80</v>
          </cell>
          <cell r="AB114">
            <v>60.9</v>
          </cell>
          <cell r="AC114">
            <v>96.3</v>
          </cell>
          <cell r="AD114">
            <v>94.3</v>
          </cell>
          <cell r="AE114">
            <v>99.3</v>
          </cell>
          <cell r="AF114">
            <v>341.3</v>
          </cell>
          <cell r="AG114">
            <v>473.2</v>
          </cell>
          <cell r="AH114">
            <v>97.1</v>
          </cell>
          <cell r="AI114">
            <v>61.8</v>
          </cell>
        </row>
        <row r="115">
          <cell r="B115" t="str">
            <v>Enfield</v>
          </cell>
          <cell r="D115">
            <v>1911</v>
          </cell>
          <cell r="E115">
            <v>78</v>
          </cell>
          <cell r="F115">
            <v>60.3</v>
          </cell>
          <cell r="G115">
            <v>94.5</v>
          </cell>
          <cell r="H115">
            <v>92.7</v>
          </cell>
          <cell r="I115">
            <v>98.5</v>
          </cell>
          <cell r="J115">
            <v>328.4</v>
          </cell>
          <cell r="K115">
            <v>429.6</v>
          </cell>
          <cell r="L115">
            <v>96</v>
          </cell>
          <cell r="M115">
            <v>62.2</v>
          </cell>
          <cell r="O115">
            <v>1875</v>
          </cell>
          <cell r="P115">
            <v>84.2</v>
          </cell>
          <cell r="Q115">
            <v>66</v>
          </cell>
          <cell r="R115">
            <v>97.3</v>
          </cell>
          <cell r="S115">
            <v>95.2</v>
          </cell>
          <cell r="T115">
            <v>99.4</v>
          </cell>
          <cell r="U115">
            <v>352</v>
          </cell>
          <cell r="V115">
            <v>460.4</v>
          </cell>
          <cell r="W115">
            <v>97.4</v>
          </cell>
          <cell r="X115">
            <v>67</v>
          </cell>
          <cell r="Z115">
            <v>3786</v>
          </cell>
          <cell r="AA115">
            <v>81</v>
          </cell>
          <cell r="AB115">
            <v>63.2</v>
          </cell>
          <cell r="AC115">
            <v>95.9</v>
          </cell>
          <cell r="AD115">
            <v>93.9</v>
          </cell>
          <cell r="AE115">
            <v>99</v>
          </cell>
          <cell r="AF115">
            <v>340.1</v>
          </cell>
          <cell r="AG115">
            <v>444.9</v>
          </cell>
          <cell r="AH115">
            <v>96.7</v>
          </cell>
          <cell r="AI115">
            <v>64.599999999999994</v>
          </cell>
        </row>
        <row r="116">
          <cell r="B116" t="str">
            <v>Greenwich</v>
          </cell>
          <cell r="D116">
            <v>1013</v>
          </cell>
          <cell r="E116">
            <v>88.4</v>
          </cell>
          <cell r="F116">
            <v>61.8</v>
          </cell>
          <cell r="G116">
            <v>95.9</v>
          </cell>
          <cell r="H116">
            <v>93.9</v>
          </cell>
          <cell r="I116">
            <v>99.5</v>
          </cell>
          <cell r="J116">
            <v>340.1</v>
          </cell>
          <cell r="K116">
            <v>450.7</v>
          </cell>
          <cell r="L116">
            <v>95.9</v>
          </cell>
          <cell r="M116">
            <v>62.7</v>
          </cell>
          <cell r="O116">
            <v>1127</v>
          </cell>
          <cell r="P116">
            <v>90.7</v>
          </cell>
          <cell r="Q116">
            <v>68.599999999999994</v>
          </cell>
          <cell r="R116">
            <v>98</v>
          </cell>
          <cell r="S116">
            <v>97</v>
          </cell>
          <cell r="T116">
            <v>99.8</v>
          </cell>
          <cell r="U116">
            <v>357.8</v>
          </cell>
          <cell r="V116">
            <v>493.7</v>
          </cell>
          <cell r="W116">
            <v>98.3</v>
          </cell>
          <cell r="X116">
            <v>68.7</v>
          </cell>
          <cell r="Z116">
            <v>2140</v>
          </cell>
          <cell r="AA116">
            <v>89.6</v>
          </cell>
          <cell r="AB116">
            <v>65.400000000000006</v>
          </cell>
          <cell r="AC116">
            <v>97</v>
          </cell>
          <cell r="AD116">
            <v>95.5</v>
          </cell>
          <cell r="AE116">
            <v>99.7</v>
          </cell>
          <cell r="AF116">
            <v>349.4</v>
          </cell>
          <cell r="AG116">
            <v>473.4</v>
          </cell>
          <cell r="AH116">
            <v>97.1</v>
          </cell>
          <cell r="AI116">
            <v>65.8</v>
          </cell>
        </row>
        <row r="117">
          <cell r="B117" t="str">
            <v>Harrow</v>
          </cell>
          <cell r="D117">
            <v>1034</v>
          </cell>
          <cell r="E117">
            <v>76.7</v>
          </cell>
          <cell r="F117">
            <v>57.4</v>
          </cell>
          <cell r="G117">
            <v>96.4</v>
          </cell>
          <cell r="H117">
            <v>95.2</v>
          </cell>
          <cell r="I117">
            <v>99.3</v>
          </cell>
          <cell r="J117">
            <v>334</v>
          </cell>
          <cell r="K117">
            <v>437.4</v>
          </cell>
          <cell r="L117">
            <v>96.7</v>
          </cell>
          <cell r="M117">
            <v>59.4</v>
          </cell>
          <cell r="O117">
            <v>1118</v>
          </cell>
          <cell r="P117">
            <v>87.3</v>
          </cell>
          <cell r="Q117">
            <v>72.7</v>
          </cell>
          <cell r="R117">
            <v>98.1</v>
          </cell>
          <cell r="S117">
            <v>97</v>
          </cell>
          <cell r="T117">
            <v>99.7</v>
          </cell>
          <cell r="U117">
            <v>362.1</v>
          </cell>
          <cell r="V117">
            <v>504.5</v>
          </cell>
          <cell r="W117">
            <v>98</v>
          </cell>
          <cell r="X117">
            <v>73.099999999999994</v>
          </cell>
          <cell r="Z117">
            <v>2152</v>
          </cell>
          <cell r="AA117">
            <v>82.2</v>
          </cell>
          <cell r="AB117">
            <v>65.400000000000006</v>
          </cell>
          <cell r="AC117">
            <v>97.3</v>
          </cell>
          <cell r="AD117">
            <v>96.1</v>
          </cell>
          <cell r="AE117">
            <v>99.5</v>
          </cell>
          <cell r="AF117">
            <v>348.6</v>
          </cell>
          <cell r="AG117">
            <v>472.3</v>
          </cell>
          <cell r="AH117">
            <v>97.4</v>
          </cell>
          <cell r="AI117">
            <v>66.5</v>
          </cell>
        </row>
        <row r="118">
          <cell r="B118" t="str">
            <v>Havering</v>
          </cell>
          <cell r="D118">
            <v>1544</v>
          </cell>
          <cell r="E118">
            <v>77.099999999999994</v>
          </cell>
          <cell r="F118">
            <v>60.8</v>
          </cell>
          <cell r="G118">
            <v>97.2</v>
          </cell>
          <cell r="H118">
            <v>96</v>
          </cell>
          <cell r="I118">
            <v>99.6</v>
          </cell>
          <cell r="J118">
            <v>328.5</v>
          </cell>
          <cell r="K118">
            <v>433.7</v>
          </cell>
          <cell r="L118">
            <v>97.7</v>
          </cell>
          <cell r="M118">
            <v>62.4</v>
          </cell>
          <cell r="O118">
            <v>1502</v>
          </cell>
          <cell r="P118">
            <v>81.2</v>
          </cell>
          <cell r="Q118">
            <v>66.7</v>
          </cell>
          <cell r="R118">
            <v>97.5</v>
          </cell>
          <cell r="S118">
            <v>96.1</v>
          </cell>
          <cell r="T118">
            <v>99.7</v>
          </cell>
          <cell r="U118">
            <v>346.4</v>
          </cell>
          <cell r="V118">
            <v>465.9</v>
          </cell>
          <cell r="W118">
            <v>98.1</v>
          </cell>
          <cell r="X118">
            <v>68.400000000000006</v>
          </cell>
          <cell r="Z118">
            <v>3046</v>
          </cell>
          <cell r="AA118">
            <v>79.099999999999994</v>
          </cell>
          <cell r="AB118">
            <v>63.7</v>
          </cell>
          <cell r="AC118">
            <v>97.3</v>
          </cell>
          <cell r="AD118">
            <v>96.1</v>
          </cell>
          <cell r="AE118">
            <v>99.6</v>
          </cell>
          <cell r="AF118">
            <v>337.3</v>
          </cell>
          <cell r="AG118">
            <v>449.6</v>
          </cell>
          <cell r="AH118">
            <v>97.9</v>
          </cell>
          <cell r="AI118">
            <v>65.400000000000006</v>
          </cell>
        </row>
        <row r="119">
          <cell r="B119" t="str">
            <v>Hillingdon</v>
          </cell>
          <cell r="D119">
            <v>1561</v>
          </cell>
          <cell r="E119">
            <v>84.8</v>
          </cell>
          <cell r="F119">
            <v>54.8</v>
          </cell>
          <cell r="G119">
            <v>95.5</v>
          </cell>
          <cell r="H119">
            <v>94.2</v>
          </cell>
          <cell r="I119">
            <v>99.4</v>
          </cell>
          <cell r="J119">
            <v>331.7</v>
          </cell>
          <cell r="K119">
            <v>451</v>
          </cell>
          <cell r="L119">
            <v>96.6</v>
          </cell>
          <cell r="M119">
            <v>55.3</v>
          </cell>
          <cell r="O119">
            <v>1462</v>
          </cell>
          <cell r="P119">
            <v>89.7</v>
          </cell>
          <cell r="Q119">
            <v>68.900000000000006</v>
          </cell>
          <cell r="R119">
            <v>97.4</v>
          </cell>
          <cell r="S119">
            <v>96.6</v>
          </cell>
          <cell r="T119">
            <v>99.4</v>
          </cell>
          <cell r="U119">
            <v>360.2</v>
          </cell>
          <cell r="V119">
            <v>517.20000000000005</v>
          </cell>
          <cell r="W119">
            <v>98.3</v>
          </cell>
          <cell r="X119">
            <v>69.3</v>
          </cell>
          <cell r="Z119">
            <v>3023</v>
          </cell>
          <cell r="AA119">
            <v>87.2</v>
          </cell>
          <cell r="AB119">
            <v>61.6</v>
          </cell>
          <cell r="AC119">
            <v>96.4</v>
          </cell>
          <cell r="AD119">
            <v>95.4</v>
          </cell>
          <cell r="AE119">
            <v>99.4</v>
          </cell>
          <cell r="AF119">
            <v>345.5</v>
          </cell>
          <cell r="AG119">
            <v>483</v>
          </cell>
          <cell r="AH119">
            <v>97.4</v>
          </cell>
          <cell r="AI119">
            <v>62.1</v>
          </cell>
        </row>
        <row r="120">
          <cell r="B120" t="str">
            <v>Hounslow</v>
          </cell>
          <cell r="D120">
            <v>1366</v>
          </cell>
          <cell r="E120">
            <v>84.3</v>
          </cell>
          <cell r="F120">
            <v>63.4</v>
          </cell>
          <cell r="G120">
            <v>96.6</v>
          </cell>
          <cell r="H120">
            <v>95.6</v>
          </cell>
          <cell r="I120">
            <v>99.7</v>
          </cell>
          <cell r="J120">
            <v>340.3</v>
          </cell>
          <cell r="K120">
            <v>451.1</v>
          </cell>
          <cell r="L120">
            <v>97.1</v>
          </cell>
          <cell r="M120">
            <v>64.099999999999994</v>
          </cell>
          <cell r="O120">
            <v>1337</v>
          </cell>
          <cell r="P120">
            <v>89.3</v>
          </cell>
          <cell r="Q120">
            <v>70.2</v>
          </cell>
          <cell r="R120">
            <v>97.9</v>
          </cell>
          <cell r="S120">
            <v>96.9</v>
          </cell>
          <cell r="T120">
            <v>100</v>
          </cell>
          <cell r="U120">
            <v>363.1</v>
          </cell>
          <cell r="V120">
            <v>484.6</v>
          </cell>
          <cell r="W120">
            <v>97.8</v>
          </cell>
          <cell r="X120">
            <v>70.5</v>
          </cell>
          <cell r="Z120">
            <v>2703</v>
          </cell>
          <cell r="AA120">
            <v>86.8</v>
          </cell>
          <cell r="AB120">
            <v>66.7</v>
          </cell>
          <cell r="AC120">
            <v>97.3</v>
          </cell>
          <cell r="AD120">
            <v>96.3</v>
          </cell>
          <cell r="AE120">
            <v>99.9</v>
          </cell>
          <cell r="AF120">
            <v>351.6</v>
          </cell>
          <cell r="AG120">
            <v>467.7</v>
          </cell>
          <cell r="AH120">
            <v>97.4</v>
          </cell>
          <cell r="AI120">
            <v>67.3</v>
          </cell>
        </row>
        <row r="121">
          <cell r="B121" t="str">
            <v>Kingston upon Thames</v>
          </cell>
          <cell r="D121">
            <v>786</v>
          </cell>
          <cell r="E121">
            <v>83.3</v>
          </cell>
          <cell r="F121">
            <v>68.099999999999994</v>
          </cell>
          <cell r="G121">
            <v>94</v>
          </cell>
          <cell r="H121">
            <v>93.1</v>
          </cell>
          <cell r="I121">
            <v>98</v>
          </cell>
          <cell r="J121">
            <v>347.3</v>
          </cell>
          <cell r="K121">
            <v>459.2</v>
          </cell>
          <cell r="L121">
            <v>95.3</v>
          </cell>
          <cell r="M121">
            <v>68.8</v>
          </cell>
          <cell r="O121">
            <v>793</v>
          </cell>
          <cell r="P121">
            <v>90.7</v>
          </cell>
          <cell r="Q121">
            <v>75</v>
          </cell>
          <cell r="R121">
            <v>97.1</v>
          </cell>
          <cell r="S121">
            <v>96.5</v>
          </cell>
          <cell r="T121">
            <v>99.5</v>
          </cell>
          <cell r="U121">
            <v>376.1</v>
          </cell>
          <cell r="V121">
            <v>514.4</v>
          </cell>
          <cell r="W121">
            <v>97.7</v>
          </cell>
          <cell r="X121">
            <v>75.3</v>
          </cell>
          <cell r="Z121">
            <v>1579</v>
          </cell>
          <cell r="AA121">
            <v>87</v>
          </cell>
          <cell r="AB121">
            <v>71.599999999999994</v>
          </cell>
          <cell r="AC121">
            <v>95.6</v>
          </cell>
          <cell r="AD121">
            <v>94.8</v>
          </cell>
          <cell r="AE121">
            <v>98.7</v>
          </cell>
          <cell r="AF121">
            <v>361.8</v>
          </cell>
          <cell r="AG121">
            <v>486.9</v>
          </cell>
          <cell r="AH121">
            <v>96.5</v>
          </cell>
          <cell r="AI121">
            <v>72.099999999999994</v>
          </cell>
        </row>
        <row r="122">
          <cell r="B122" t="str">
            <v>Merton</v>
          </cell>
          <cell r="D122">
            <v>842</v>
          </cell>
          <cell r="E122">
            <v>81.400000000000006</v>
          </cell>
          <cell r="F122">
            <v>61.4</v>
          </cell>
          <cell r="G122">
            <v>94.1</v>
          </cell>
          <cell r="H122">
            <v>91.8</v>
          </cell>
          <cell r="I122">
            <v>99</v>
          </cell>
          <cell r="J122">
            <v>330.3</v>
          </cell>
          <cell r="K122">
            <v>446.4</v>
          </cell>
          <cell r="L122">
            <v>94.1</v>
          </cell>
          <cell r="M122">
            <v>62.4</v>
          </cell>
          <cell r="O122">
            <v>758</v>
          </cell>
          <cell r="P122">
            <v>90.2</v>
          </cell>
          <cell r="Q122">
            <v>64</v>
          </cell>
          <cell r="R122">
            <v>96.3</v>
          </cell>
          <cell r="S122">
            <v>93.9</v>
          </cell>
          <cell r="T122">
            <v>99.3</v>
          </cell>
          <cell r="U122">
            <v>358.1</v>
          </cell>
          <cell r="V122">
            <v>493.5</v>
          </cell>
          <cell r="W122">
            <v>96.7</v>
          </cell>
          <cell r="X122">
            <v>64.099999999999994</v>
          </cell>
          <cell r="Z122">
            <v>1600</v>
          </cell>
          <cell r="AA122">
            <v>85.6</v>
          </cell>
          <cell r="AB122">
            <v>62.6</v>
          </cell>
          <cell r="AC122">
            <v>95.1</v>
          </cell>
          <cell r="AD122">
            <v>92.8</v>
          </cell>
          <cell r="AE122">
            <v>99.2</v>
          </cell>
          <cell r="AF122">
            <v>343.5</v>
          </cell>
          <cell r="AG122">
            <v>468.7</v>
          </cell>
          <cell r="AH122">
            <v>95.3</v>
          </cell>
          <cell r="AI122">
            <v>63.2</v>
          </cell>
        </row>
        <row r="123">
          <cell r="B123" t="str">
            <v>Redbridge</v>
          </cell>
          <cell r="D123">
            <v>1819</v>
          </cell>
          <cell r="E123">
            <v>84.4</v>
          </cell>
          <cell r="F123">
            <v>66</v>
          </cell>
          <cell r="G123">
            <v>96.3</v>
          </cell>
          <cell r="H123">
            <v>94.9</v>
          </cell>
          <cell r="I123">
            <v>99.2</v>
          </cell>
          <cell r="J123">
            <v>349.2</v>
          </cell>
          <cell r="K123">
            <v>470</v>
          </cell>
          <cell r="L123">
            <v>97.2</v>
          </cell>
          <cell r="M123">
            <v>66.8</v>
          </cell>
          <cell r="O123">
            <v>1600</v>
          </cell>
          <cell r="P123">
            <v>89.4</v>
          </cell>
          <cell r="Q123">
            <v>75</v>
          </cell>
          <cell r="R123">
            <v>97.8</v>
          </cell>
          <cell r="S123">
            <v>95.9</v>
          </cell>
          <cell r="T123">
            <v>99.6</v>
          </cell>
          <cell r="U123">
            <v>369.4</v>
          </cell>
          <cell r="V123">
            <v>501.4</v>
          </cell>
          <cell r="W123">
            <v>98.1</v>
          </cell>
          <cell r="X123">
            <v>75.3</v>
          </cell>
          <cell r="Z123">
            <v>3419</v>
          </cell>
          <cell r="AA123">
            <v>86.8</v>
          </cell>
          <cell r="AB123">
            <v>70.2</v>
          </cell>
          <cell r="AC123">
            <v>97</v>
          </cell>
          <cell r="AD123">
            <v>95.4</v>
          </cell>
          <cell r="AE123">
            <v>99.4</v>
          </cell>
          <cell r="AF123">
            <v>358.6</v>
          </cell>
          <cell r="AG123">
            <v>484.7</v>
          </cell>
          <cell r="AH123">
            <v>97.6</v>
          </cell>
          <cell r="AI123">
            <v>70.8</v>
          </cell>
        </row>
        <row r="124">
          <cell r="B124" t="str">
            <v>Richmond upon Thames</v>
          </cell>
          <cell r="D124">
            <v>669</v>
          </cell>
          <cell r="E124">
            <v>82.7</v>
          </cell>
          <cell r="F124">
            <v>63.5</v>
          </cell>
          <cell r="G124">
            <v>95.4</v>
          </cell>
          <cell r="H124">
            <v>94</v>
          </cell>
          <cell r="I124">
            <v>99.6</v>
          </cell>
          <cell r="J124">
            <v>337.6</v>
          </cell>
          <cell r="K124">
            <v>451.9</v>
          </cell>
          <cell r="L124">
            <v>96</v>
          </cell>
          <cell r="M124">
            <v>64.400000000000006</v>
          </cell>
          <cell r="O124">
            <v>653</v>
          </cell>
          <cell r="P124">
            <v>89.3</v>
          </cell>
          <cell r="Q124">
            <v>73.2</v>
          </cell>
          <cell r="R124">
            <v>97.2</v>
          </cell>
          <cell r="S124">
            <v>96.2</v>
          </cell>
          <cell r="T124">
            <v>99.5</v>
          </cell>
          <cell r="U124">
            <v>367.2</v>
          </cell>
          <cell r="V124">
            <v>494</v>
          </cell>
          <cell r="W124">
            <v>98</v>
          </cell>
          <cell r="X124">
            <v>73.400000000000006</v>
          </cell>
          <cell r="Z124">
            <v>1322</v>
          </cell>
          <cell r="AA124">
            <v>85.9</v>
          </cell>
          <cell r="AB124">
            <v>68.3</v>
          </cell>
          <cell r="AC124">
            <v>96.3</v>
          </cell>
          <cell r="AD124">
            <v>95.1</v>
          </cell>
          <cell r="AE124">
            <v>99.5</v>
          </cell>
          <cell r="AF124">
            <v>352.2</v>
          </cell>
          <cell r="AG124">
            <v>472.7</v>
          </cell>
          <cell r="AH124">
            <v>97</v>
          </cell>
          <cell r="AI124">
            <v>68.8</v>
          </cell>
        </row>
        <row r="125">
          <cell r="B125" t="str">
            <v>Sutton</v>
          </cell>
          <cell r="D125">
            <v>1359</v>
          </cell>
          <cell r="E125">
            <v>91.4</v>
          </cell>
          <cell r="F125">
            <v>74.7</v>
          </cell>
          <cell r="G125">
            <v>97.1</v>
          </cell>
          <cell r="H125">
            <v>96</v>
          </cell>
          <cell r="I125">
            <v>99.4</v>
          </cell>
          <cell r="J125">
            <v>371.5</v>
          </cell>
          <cell r="K125">
            <v>517.9</v>
          </cell>
          <cell r="L125">
            <v>97.6</v>
          </cell>
          <cell r="M125">
            <v>74.8</v>
          </cell>
          <cell r="O125">
            <v>1334</v>
          </cell>
          <cell r="P125">
            <v>92.1</v>
          </cell>
          <cell r="Q125">
            <v>79.400000000000006</v>
          </cell>
          <cell r="R125">
            <v>98</v>
          </cell>
          <cell r="S125">
            <v>97.6</v>
          </cell>
          <cell r="T125">
            <v>99.8</v>
          </cell>
          <cell r="U125">
            <v>381.7</v>
          </cell>
          <cell r="V125">
            <v>530.6</v>
          </cell>
          <cell r="W125">
            <v>98.5</v>
          </cell>
          <cell r="X125">
            <v>80</v>
          </cell>
          <cell r="Z125">
            <v>2693</v>
          </cell>
          <cell r="AA125">
            <v>91.7</v>
          </cell>
          <cell r="AB125">
            <v>77</v>
          </cell>
          <cell r="AC125">
            <v>97.5</v>
          </cell>
          <cell r="AD125">
            <v>96.8</v>
          </cell>
          <cell r="AE125">
            <v>99.6</v>
          </cell>
          <cell r="AF125">
            <v>376.5</v>
          </cell>
          <cell r="AG125">
            <v>524.20000000000005</v>
          </cell>
          <cell r="AH125">
            <v>98</v>
          </cell>
          <cell r="AI125">
            <v>77.400000000000006</v>
          </cell>
        </row>
        <row r="126">
          <cell r="B126" t="str">
            <v>Waltham Forest</v>
          </cell>
          <cell r="D126">
            <v>1327</v>
          </cell>
          <cell r="E126">
            <v>73.900000000000006</v>
          </cell>
          <cell r="F126">
            <v>50.5</v>
          </cell>
          <cell r="G126">
            <v>96.1</v>
          </cell>
          <cell r="H126">
            <v>93.9</v>
          </cell>
          <cell r="I126">
            <v>98.8</v>
          </cell>
          <cell r="J126">
            <v>323.10000000000002</v>
          </cell>
          <cell r="K126">
            <v>422</v>
          </cell>
          <cell r="L126">
            <v>95.3</v>
          </cell>
          <cell r="M126">
            <v>51.8</v>
          </cell>
          <cell r="O126">
            <v>1251</v>
          </cell>
          <cell r="P126">
            <v>83.6</v>
          </cell>
          <cell r="Q126">
            <v>63.2</v>
          </cell>
          <cell r="R126">
            <v>98.2</v>
          </cell>
          <cell r="S126">
            <v>97</v>
          </cell>
          <cell r="T126">
            <v>99.6</v>
          </cell>
          <cell r="U126">
            <v>350</v>
          </cell>
          <cell r="V126">
            <v>466.8</v>
          </cell>
          <cell r="W126">
            <v>98.4</v>
          </cell>
          <cell r="X126">
            <v>63.9</v>
          </cell>
          <cell r="Z126">
            <v>2578</v>
          </cell>
          <cell r="AA126">
            <v>78.599999999999994</v>
          </cell>
          <cell r="AB126">
            <v>56.7</v>
          </cell>
          <cell r="AC126">
            <v>97.1</v>
          </cell>
          <cell r="AD126">
            <v>95.4</v>
          </cell>
          <cell r="AE126">
            <v>99.2</v>
          </cell>
          <cell r="AF126">
            <v>336.1</v>
          </cell>
          <cell r="AG126">
            <v>443.8</v>
          </cell>
          <cell r="AH126">
            <v>96.8</v>
          </cell>
          <cell r="AI126">
            <v>57.7</v>
          </cell>
        </row>
        <row r="127">
          <cell r="B127" t="str">
            <v>South East</v>
          </cell>
          <cell r="D127">
            <v>45608</v>
          </cell>
          <cell r="E127">
            <v>78.7</v>
          </cell>
          <cell r="F127">
            <v>57.7</v>
          </cell>
          <cell r="G127">
            <v>94.8</v>
          </cell>
          <cell r="H127">
            <v>93.2</v>
          </cell>
          <cell r="I127">
            <v>99.2</v>
          </cell>
          <cell r="J127">
            <v>332.1</v>
          </cell>
          <cell r="K127">
            <v>446.7</v>
          </cell>
          <cell r="L127">
            <v>95.9</v>
          </cell>
          <cell r="M127">
            <v>58.7</v>
          </cell>
          <cell r="O127">
            <v>44019</v>
          </cell>
          <cell r="P127">
            <v>86.2</v>
          </cell>
          <cell r="Q127">
            <v>67.3</v>
          </cell>
          <cell r="R127">
            <v>96.9</v>
          </cell>
          <cell r="S127">
            <v>95.6</v>
          </cell>
          <cell r="T127">
            <v>99.5</v>
          </cell>
          <cell r="U127">
            <v>355.8</v>
          </cell>
          <cell r="V127">
            <v>491.9</v>
          </cell>
          <cell r="W127">
            <v>97.6</v>
          </cell>
          <cell r="X127">
            <v>67.900000000000006</v>
          </cell>
          <cell r="Z127">
            <v>89627</v>
          </cell>
          <cell r="AA127">
            <v>82.4</v>
          </cell>
          <cell r="AB127">
            <v>62.4</v>
          </cell>
          <cell r="AC127">
            <v>95.8</v>
          </cell>
          <cell r="AD127">
            <v>94.4</v>
          </cell>
          <cell r="AE127">
            <v>99.3</v>
          </cell>
          <cell r="AF127">
            <v>343.7</v>
          </cell>
          <cell r="AG127">
            <v>468.9</v>
          </cell>
          <cell r="AH127">
            <v>96.7</v>
          </cell>
          <cell r="AI127">
            <v>63.2</v>
          </cell>
        </row>
        <row r="128">
          <cell r="B128" t="str">
            <v>Bracknell Forest4</v>
          </cell>
          <cell r="D128">
            <v>539</v>
          </cell>
          <cell r="E128">
            <v>88.7</v>
          </cell>
          <cell r="F128">
            <v>50.6</v>
          </cell>
          <cell r="G128">
            <v>96.5</v>
          </cell>
          <cell r="H128">
            <v>85.7</v>
          </cell>
          <cell r="I128">
            <v>99.4</v>
          </cell>
          <cell r="J128">
            <v>343.9</v>
          </cell>
          <cell r="K128">
            <v>462.5</v>
          </cell>
          <cell r="L128">
            <v>87.9</v>
          </cell>
          <cell r="M128">
            <v>50.6</v>
          </cell>
          <cell r="O128">
            <v>542</v>
          </cell>
          <cell r="P128">
            <v>91.7</v>
          </cell>
          <cell r="Q128">
            <v>59</v>
          </cell>
          <cell r="R128">
            <v>97.4</v>
          </cell>
          <cell r="S128">
            <v>86.5</v>
          </cell>
          <cell r="T128">
            <v>98.9</v>
          </cell>
          <cell r="U128">
            <v>363.9</v>
          </cell>
          <cell r="V128">
            <v>503.5</v>
          </cell>
          <cell r="W128">
            <v>88.4</v>
          </cell>
          <cell r="X128">
            <v>59.6</v>
          </cell>
          <cell r="Z128">
            <v>1081</v>
          </cell>
          <cell r="AA128">
            <v>90.2</v>
          </cell>
          <cell r="AB128">
            <v>54.9</v>
          </cell>
          <cell r="AC128">
            <v>96.9</v>
          </cell>
          <cell r="AD128">
            <v>86.1</v>
          </cell>
          <cell r="AE128">
            <v>99.2</v>
          </cell>
          <cell r="AF128">
            <v>354</v>
          </cell>
          <cell r="AG128">
            <v>483.1</v>
          </cell>
          <cell r="AH128">
            <v>88.2</v>
          </cell>
          <cell r="AI128">
            <v>55.1</v>
          </cell>
        </row>
        <row r="129">
          <cell r="B129" t="str">
            <v>Brighton and Hove</v>
          </cell>
          <cell r="D129">
            <v>1148</v>
          </cell>
          <cell r="E129">
            <v>74.400000000000006</v>
          </cell>
          <cell r="F129">
            <v>59</v>
          </cell>
          <cell r="G129">
            <v>93.6</v>
          </cell>
          <cell r="H129">
            <v>92.1</v>
          </cell>
          <cell r="I129">
            <v>98.8</v>
          </cell>
          <cell r="J129">
            <v>321</v>
          </cell>
          <cell r="K129">
            <v>422</v>
          </cell>
          <cell r="L129">
            <v>94.9</v>
          </cell>
          <cell r="M129">
            <v>60.7</v>
          </cell>
          <cell r="O129">
            <v>1146</v>
          </cell>
          <cell r="P129">
            <v>82.8</v>
          </cell>
          <cell r="Q129">
            <v>65.400000000000006</v>
          </cell>
          <cell r="R129">
            <v>95.1</v>
          </cell>
          <cell r="S129">
            <v>93.8</v>
          </cell>
          <cell r="T129">
            <v>99</v>
          </cell>
          <cell r="U129">
            <v>342.1</v>
          </cell>
          <cell r="V129">
            <v>459.1</v>
          </cell>
          <cell r="W129">
            <v>96.4</v>
          </cell>
          <cell r="X129">
            <v>66.7</v>
          </cell>
          <cell r="Z129">
            <v>2294</v>
          </cell>
          <cell r="AA129">
            <v>78.599999999999994</v>
          </cell>
          <cell r="AB129">
            <v>62.2</v>
          </cell>
          <cell r="AC129">
            <v>94.4</v>
          </cell>
          <cell r="AD129">
            <v>92.9</v>
          </cell>
          <cell r="AE129">
            <v>98.9</v>
          </cell>
          <cell r="AF129">
            <v>331.5</v>
          </cell>
          <cell r="AG129">
            <v>440.5</v>
          </cell>
          <cell r="AH129">
            <v>95.7</v>
          </cell>
          <cell r="AI129">
            <v>63.7</v>
          </cell>
        </row>
        <row r="130">
          <cell r="B130" t="str">
            <v>Buckinghamshire</v>
          </cell>
          <cell r="D130">
            <v>2874</v>
          </cell>
          <cell r="E130">
            <v>81.900000000000006</v>
          </cell>
          <cell r="F130">
            <v>67.3</v>
          </cell>
          <cell r="G130">
            <v>96.1</v>
          </cell>
          <cell r="H130">
            <v>95.1</v>
          </cell>
          <cell r="I130">
            <v>99.1</v>
          </cell>
          <cell r="J130">
            <v>353.8</v>
          </cell>
          <cell r="K130">
            <v>471.5</v>
          </cell>
          <cell r="L130">
            <v>97</v>
          </cell>
          <cell r="M130">
            <v>68.2</v>
          </cell>
          <cell r="O130">
            <v>2680</v>
          </cell>
          <cell r="P130">
            <v>88.7</v>
          </cell>
          <cell r="Q130">
            <v>75.599999999999994</v>
          </cell>
          <cell r="R130">
            <v>97.8</v>
          </cell>
          <cell r="S130">
            <v>97</v>
          </cell>
          <cell r="T130">
            <v>99.9</v>
          </cell>
          <cell r="U130">
            <v>374.7</v>
          </cell>
          <cell r="V130">
            <v>514.79999999999995</v>
          </cell>
          <cell r="W130">
            <v>98.5</v>
          </cell>
          <cell r="X130">
            <v>76.099999999999994</v>
          </cell>
          <cell r="Z130">
            <v>5554</v>
          </cell>
          <cell r="AA130">
            <v>85.2</v>
          </cell>
          <cell r="AB130">
            <v>71.3</v>
          </cell>
          <cell r="AC130">
            <v>96.9</v>
          </cell>
          <cell r="AD130">
            <v>96</v>
          </cell>
          <cell r="AE130">
            <v>99.5</v>
          </cell>
          <cell r="AF130">
            <v>363.9</v>
          </cell>
          <cell r="AG130">
            <v>492.4</v>
          </cell>
          <cell r="AH130">
            <v>97.7</v>
          </cell>
          <cell r="AI130">
            <v>72</v>
          </cell>
        </row>
        <row r="131">
          <cell r="B131" t="str">
            <v>East Sussex</v>
          </cell>
          <cell r="D131">
            <v>2717</v>
          </cell>
          <cell r="E131">
            <v>78.5</v>
          </cell>
          <cell r="F131">
            <v>55.4</v>
          </cell>
          <cell r="G131">
            <v>93.7</v>
          </cell>
          <cell r="H131">
            <v>91.5</v>
          </cell>
          <cell r="I131">
            <v>98.7</v>
          </cell>
          <cell r="J131">
            <v>322.10000000000002</v>
          </cell>
          <cell r="K131">
            <v>436.6</v>
          </cell>
          <cell r="L131">
            <v>96.2</v>
          </cell>
          <cell r="M131">
            <v>56.6</v>
          </cell>
          <cell r="O131">
            <v>2636</v>
          </cell>
          <cell r="P131">
            <v>86.2</v>
          </cell>
          <cell r="Q131">
            <v>64.599999999999994</v>
          </cell>
          <cell r="R131">
            <v>96.9</v>
          </cell>
          <cell r="S131">
            <v>95.2</v>
          </cell>
          <cell r="T131">
            <v>99.2</v>
          </cell>
          <cell r="U131">
            <v>348.2</v>
          </cell>
          <cell r="V131">
            <v>477.5</v>
          </cell>
          <cell r="W131">
            <v>98</v>
          </cell>
          <cell r="X131">
            <v>65.099999999999994</v>
          </cell>
          <cell r="Z131">
            <v>5353</v>
          </cell>
          <cell r="AA131">
            <v>82.3</v>
          </cell>
          <cell r="AB131">
            <v>59.9</v>
          </cell>
          <cell r="AC131">
            <v>95.3</v>
          </cell>
          <cell r="AD131">
            <v>93.3</v>
          </cell>
          <cell r="AE131">
            <v>99</v>
          </cell>
          <cell r="AF131">
            <v>334.9</v>
          </cell>
          <cell r="AG131">
            <v>456.8</v>
          </cell>
          <cell r="AH131">
            <v>97.1</v>
          </cell>
          <cell r="AI131">
            <v>60.8</v>
          </cell>
        </row>
        <row r="132">
          <cell r="B132" t="str">
            <v>Hampshire</v>
          </cell>
          <cell r="D132">
            <v>7137</v>
          </cell>
          <cell r="E132">
            <v>74.5</v>
          </cell>
          <cell r="F132">
            <v>55.1</v>
          </cell>
          <cell r="G132">
            <v>95.3</v>
          </cell>
          <cell r="H132">
            <v>94.2</v>
          </cell>
          <cell r="I132">
            <v>99.3</v>
          </cell>
          <cell r="J132">
            <v>326.7</v>
          </cell>
          <cell r="K132">
            <v>430.7</v>
          </cell>
          <cell r="L132">
            <v>96.5</v>
          </cell>
          <cell r="M132">
            <v>56</v>
          </cell>
          <cell r="O132">
            <v>6804</v>
          </cell>
          <cell r="P132">
            <v>83.7</v>
          </cell>
          <cell r="Q132">
            <v>65.099999999999994</v>
          </cell>
          <cell r="R132">
            <v>97.2</v>
          </cell>
          <cell r="S132">
            <v>96.1</v>
          </cell>
          <cell r="T132">
            <v>99.7</v>
          </cell>
          <cell r="U132">
            <v>350.3</v>
          </cell>
          <cell r="V132">
            <v>475.5</v>
          </cell>
          <cell r="W132">
            <v>97.9</v>
          </cell>
          <cell r="X132">
            <v>65.900000000000006</v>
          </cell>
          <cell r="Z132">
            <v>13941</v>
          </cell>
          <cell r="AA132">
            <v>79</v>
          </cell>
          <cell r="AB132">
            <v>60</v>
          </cell>
          <cell r="AC132">
            <v>96.2</v>
          </cell>
          <cell r="AD132">
            <v>95.1</v>
          </cell>
          <cell r="AE132">
            <v>99.5</v>
          </cell>
          <cell r="AF132">
            <v>338.2</v>
          </cell>
          <cell r="AG132">
            <v>452.6</v>
          </cell>
          <cell r="AH132">
            <v>97.2</v>
          </cell>
          <cell r="AI132">
            <v>60.8</v>
          </cell>
        </row>
        <row r="133">
          <cell r="B133" t="str">
            <v>Isle of Wight</v>
          </cell>
          <cell r="D133">
            <v>788</v>
          </cell>
          <cell r="E133">
            <v>62.2</v>
          </cell>
          <cell r="F133">
            <v>42.4</v>
          </cell>
          <cell r="G133">
            <v>88.7</v>
          </cell>
          <cell r="H133">
            <v>87.7</v>
          </cell>
          <cell r="I133">
            <v>98.9</v>
          </cell>
          <cell r="J133">
            <v>286.5</v>
          </cell>
          <cell r="K133">
            <v>360.1</v>
          </cell>
          <cell r="L133">
            <v>92.8</v>
          </cell>
          <cell r="M133">
            <v>44.9</v>
          </cell>
          <cell r="O133">
            <v>696</v>
          </cell>
          <cell r="P133">
            <v>76</v>
          </cell>
          <cell r="Q133">
            <v>55.9</v>
          </cell>
          <cell r="R133">
            <v>95.5</v>
          </cell>
          <cell r="S133">
            <v>94.3</v>
          </cell>
          <cell r="T133">
            <v>99.3</v>
          </cell>
          <cell r="U133">
            <v>324.8</v>
          </cell>
          <cell r="V133">
            <v>426.2</v>
          </cell>
          <cell r="W133">
            <v>96.3</v>
          </cell>
          <cell r="X133">
            <v>57</v>
          </cell>
          <cell r="Z133">
            <v>1484</v>
          </cell>
          <cell r="AA133">
            <v>68.7</v>
          </cell>
          <cell r="AB133">
            <v>48.7</v>
          </cell>
          <cell r="AC133">
            <v>91.9</v>
          </cell>
          <cell r="AD133">
            <v>90.8</v>
          </cell>
          <cell r="AE133">
            <v>99.1</v>
          </cell>
          <cell r="AF133">
            <v>304.5</v>
          </cell>
          <cell r="AG133">
            <v>391.1</v>
          </cell>
          <cell r="AH133">
            <v>94.4</v>
          </cell>
          <cell r="AI133">
            <v>50.6</v>
          </cell>
        </row>
        <row r="134">
          <cell r="B134" t="str">
            <v>Kent</v>
          </cell>
          <cell r="D134">
            <v>8390</v>
          </cell>
          <cell r="E134">
            <v>83.3</v>
          </cell>
          <cell r="F134">
            <v>58.5</v>
          </cell>
          <cell r="G134">
            <v>94.8</v>
          </cell>
          <cell r="H134">
            <v>93.1</v>
          </cell>
          <cell r="I134">
            <v>99.2</v>
          </cell>
          <cell r="J134">
            <v>338.5</v>
          </cell>
          <cell r="K134">
            <v>463.3</v>
          </cell>
          <cell r="L134">
            <v>96.2</v>
          </cell>
          <cell r="M134">
            <v>59.2</v>
          </cell>
          <cell r="O134">
            <v>8308</v>
          </cell>
          <cell r="P134">
            <v>89.7</v>
          </cell>
          <cell r="Q134">
            <v>67.7</v>
          </cell>
          <cell r="R134">
            <v>97</v>
          </cell>
          <cell r="S134">
            <v>95.4</v>
          </cell>
          <cell r="T134">
            <v>99.6</v>
          </cell>
          <cell r="U134">
            <v>362.7</v>
          </cell>
          <cell r="V134">
            <v>516.70000000000005</v>
          </cell>
          <cell r="W134">
            <v>97.8</v>
          </cell>
          <cell r="X134">
            <v>68.099999999999994</v>
          </cell>
          <cell r="Z134">
            <v>16698</v>
          </cell>
          <cell r="AA134">
            <v>86.5</v>
          </cell>
          <cell r="AB134">
            <v>63.1</v>
          </cell>
          <cell r="AC134">
            <v>95.9</v>
          </cell>
          <cell r="AD134">
            <v>94.3</v>
          </cell>
          <cell r="AE134">
            <v>99.4</v>
          </cell>
          <cell r="AF134">
            <v>350.6</v>
          </cell>
          <cell r="AG134">
            <v>489.9</v>
          </cell>
          <cell r="AH134">
            <v>97</v>
          </cell>
          <cell r="AI134">
            <v>63.6</v>
          </cell>
        </row>
        <row r="135">
          <cell r="B135" t="str">
            <v>Medway</v>
          </cell>
          <cell r="D135">
            <v>1613</v>
          </cell>
          <cell r="E135">
            <v>86.2</v>
          </cell>
          <cell r="F135">
            <v>57</v>
          </cell>
          <cell r="G135">
            <v>94.2</v>
          </cell>
          <cell r="H135">
            <v>92.1</v>
          </cell>
          <cell r="I135">
            <v>99.1</v>
          </cell>
          <cell r="J135">
            <v>337.6</v>
          </cell>
          <cell r="K135">
            <v>463.2</v>
          </cell>
          <cell r="L135">
            <v>96.1</v>
          </cell>
          <cell r="M135">
            <v>57.2</v>
          </cell>
          <cell r="O135">
            <v>1629</v>
          </cell>
          <cell r="P135">
            <v>90.4</v>
          </cell>
          <cell r="Q135">
            <v>64.8</v>
          </cell>
          <cell r="R135">
            <v>96.6</v>
          </cell>
          <cell r="S135">
            <v>94.9</v>
          </cell>
          <cell r="T135">
            <v>99.4</v>
          </cell>
          <cell r="U135">
            <v>360.3</v>
          </cell>
          <cell r="V135">
            <v>538.79999999999995</v>
          </cell>
          <cell r="W135">
            <v>97.7</v>
          </cell>
          <cell r="X135">
            <v>65.3</v>
          </cell>
          <cell r="Z135">
            <v>3242</v>
          </cell>
          <cell r="AA135">
            <v>88.3</v>
          </cell>
          <cell r="AB135">
            <v>60.9</v>
          </cell>
          <cell r="AC135">
            <v>95.4</v>
          </cell>
          <cell r="AD135">
            <v>93.5</v>
          </cell>
          <cell r="AE135">
            <v>99.3</v>
          </cell>
          <cell r="AF135">
            <v>349</v>
          </cell>
          <cell r="AG135">
            <v>501.2</v>
          </cell>
          <cell r="AH135">
            <v>96.9</v>
          </cell>
          <cell r="AI135">
            <v>61.2</v>
          </cell>
        </row>
        <row r="136">
          <cell r="B136" t="str">
            <v>Milton Keynes</v>
          </cell>
          <cell r="D136">
            <v>1398</v>
          </cell>
          <cell r="E136">
            <v>85.9</v>
          </cell>
          <cell r="F136">
            <v>57.3</v>
          </cell>
          <cell r="G136">
            <v>95.6</v>
          </cell>
          <cell r="H136">
            <v>94.6</v>
          </cell>
          <cell r="I136">
            <v>99.4</v>
          </cell>
          <cell r="J136">
            <v>345.5</v>
          </cell>
          <cell r="K136">
            <v>526.1</v>
          </cell>
          <cell r="L136">
            <v>96.7</v>
          </cell>
          <cell r="M136">
            <v>57.9</v>
          </cell>
          <cell r="O136">
            <v>1379</v>
          </cell>
          <cell r="P136">
            <v>90.9</v>
          </cell>
          <cell r="Q136">
            <v>65.3</v>
          </cell>
          <cell r="R136">
            <v>97.8</v>
          </cell>
          <cell r="S136">
            <v>96.4</v>
          </cell>
          <cell r="T136">
            <v>99.6</v>
          </cell>
          <cell r="U136">
            <v>364.1</v>
          </cell>
          <cell r="V136">
            <v>555.20000000000005</v>
          </cell>
          <cell r="W136">
            <v>98.2</v>
          </cell>
          <cell r="X136">
            <v>65.7</v>
          </cell>
          <cell r="Z136">
            <v>2777</v>
          </cell>
          <cell r="AA136">
            <v>88.4</v>
          </cell>
          <cell r="AB136">
            <v>61.3</v>
          </cell>
          <cell r="AC136">
            <v>96.7</v>
          </cell>
          <cell r="AD136">
            <v>95.5</v>
          </cell>
          <cell r="AE136">
            <v>99.5</v>
          </cell>
          <cell r="AF136">
            <v>354.7</v>
          </cell>
          <cell r="AG136">
            <v>540.6</v>
          </cell>
          <cell r="AH136">
            <v>97.4</v>
          </cell>
          <cell r="AI136">
            <v>61.8</v>
          </cell>
        </row>
        <row r="137">
          <cell r="B137" t="str">
            <v>Oxfordshire</v>
          </cell>
          <cell r="D137">
            <v>3193</v>
          </cell>
          <cell r="E137">
            <v>72.900000000000006</v>
          </cell>
          <cell r="F137">
            <v>56.1</v>
          </cell>
          <cell r="G137">
            <v>95.3</v>
          </cell>
          <cell r="H137">
            <v>93.6</v>
          </cell>
          <cell r="I137">
            <v>99.1</v>
          </cell>
          <cell r="J137">
            <v>325.10000000000002</v>
          </cell>
          <cell r="K137">
            <v>423.6</v>
          </cell>
          <cell r="L137">
            <v>96.5</v>
          </cell>
          <cell r="M137">
            <v>57.3</v>
          </cell>
          <cell r="O137">
            <v>3068</v>
          </cell>
          <cell r="P137">
            <v>80.900000000000006</v>
          </cell>
          <cell r="Q137">
            <v>65.2</v>
          </cell>
          <cell r="R137">
            <v>96.6</v>
          </cell>
          <cell r="S137">
            <v>95.4</v>
          </cell>
          <cell r="T137">
            <v>99.1</v>
          </cell>
          <cell r="U137">
            <v>346.3</v>
          </cell>
          <cell r="V137">
            <v>458.7</v>
          </cell>
          <cell r="W137">
            <v>97.7</v>
          </cell>
          <cell r="X137">
            <v>66.099999999999994</v>
          </cell>
          <cell r="Z137">
            <v>6261</v>
          </cell>
          <cell r="AA137">
            <v>76.8</v>
          </cell>
          <cell r="AB137">
            <v>60.6</v>
          </cell>
          <cell r="AC137">
            <v>95.9</v>
          </cell>
          <cell r="AD137">
            <v>94.5</v>
          </cell>
          <cell r="AE137">
            <v>99.1</v>
          </cell>
          <cell r="AF137">
            <v>335.5</v>
          </cell>
          <cell r="AG137">
            <v>440.8</v>
          </cell>
          <cell r="AH137">
            <v>97.1</v>
          </cell>
          <cell r="AI137">
            <v>61.6</v>
          </cell>
        </row>
        <row r="138">
          <cell r="B138" t="str">
            <v>Portsmouth</v>
          </cell>
          <cell r="D138">
            <v>941</v>
          </cell>
          <cell r="E138">
            <v>59.4</v>
          </cell>
          <cell r="F138">
            <v>39.700000000000003</v>
          </cell>
          <cell r="G138">
            <v>87</v>
          </cell>
          <cell r="H138">
            <v>85.1</v>
          </cell>
          <cell r="I138">
            <v>98.6</v>
          </cell>
          <cell r="J138">
            <v>282.10000000000002</v>
          </cell>
          <cell r="K138">
            <v>357.1</v>
          </cell>
          <cell r="L138">
            <v>88.7</v>
          </cell>
          <cell r="M138">
            <v>40.299999999999997</v>
          </cell>
          <cell r="O138">
            <v>923</v>
          </cell>
          <cell r="P138">
            <v>71.599999999999994</v>
          </cell>
          <cell r="Q138">
            <v>55.6</v>
          </cell>
          <cell r="R138">
            <v>93.4</v>
          </cell>
          <cell r="S138">
            <v>91.5</v>
          </cell>
          <cell r="T138">
            <v>99.2</v>
          </cell>
          <cell r="U138">
            <v>321.39999999999998</v>
          </cell>
          <cell r="V138">
            <v>418.6</v>
          </cell>
          <cell r="W138">
            <v>95</v>
          </cell>
          <cell r="X138">
            <v>56.9</v>
          </cell>
          <cell r="Z138">
            <v>1864</v>
          </cell>
          <cell r="AA138">
            <v>65.5</v>
          </cell>
          <cell r="AB138">
            <v>47.6</v>
          </cell>
          <cell r="AC138">
            <v>90.2</v>
          </cell>
          <cell r="AD138">
            <v>88.3</v>
          </cell>
          <cell r="AE138">
            <v>98.9</v>
          </cell>
          <cell r="AF138">
            <v>301.60000000000002</v>
          </cell>
          <cell r="AG138">
            <v>387.6</v>
          </cell>
          <cell r="AH138">
            <v>91.8</v>
          </cell>
          <cell r="AI138">
            <v>48.5</v>
          </cell>
        </row>
        <row r="139">
          <cell r="B139" t="str">
            <v>Reading</v>
          </cell>
          <cell r="D139">
            <v>561</v>
          </cell>
          <cell r="E139">
            <v>88.8</v>
          </cell>
          <cell r="F139">
            <v>60.1</v>
          </cell>
          <cell r="G139">
            <v>96.1</v>
          </cell>
          <cell r="H139">
            <v>92.7</v>
          </cell>
          <cell r="I139">
            <v>99.1</v>
          </cell>
          <cell r="J139">
            <v>357.4</v>
          </cell>
          <cell r="K139">
            <v>486.6</v>
          </cell>
          <cell r="L139">
            <v>95.2</v>
          </cell>
          <cell r="M139">
            <v>60.4</v>
          </cell>
          <cell r="O139">
            <v>531</v>
          </cell>
          <cell r="P139">
            <v>90</v>
          </cell>
          <cell r="Q139">
            <v>67.2</v>
          </cell>
          <cell r="R139">
            <v>97.4</v>
          </cell>
          <cell r="S139">
            <v>94.9</v>
          </cell>
          <cell r="T139">
            <v>99.4</v>
          </cell>
          <cell r="U139">
            <v>367.3</v>
          </cell>
          <cell r="V139">
            <v>533</v>
          </cell>
          <cell r="W139">
            <v>98.1</v>
          </cell>
          <cell r="X139">
            <v>67.400000000000006</v>
          </cell>
          <cell r="Z139">
            <v>1092</v>
          </cell>
          <cell r="AA139">
            <v>89.4</v>
          </cell>
          <cell r="AB139">
            <v>63.6</v>
          </cell>
          <cell r="AC139">
            <v>96.7</v>
          </cell>
          <cell r="AD139">
            <v>93.8</v>
          </cell>
          <cell r="AE139">
            <v>99.3</v>
          </cell>
          <cell r="AF139">
            <v>362.2</v>
          </cell>
          <cell r="AG139">
            <v>509.2</v>
          </cell>
          <cell r="AH139">
            <v>96.6</v>
          </cell>
          <cell r="AI139">
            <v>63.8</v>
          </cell>
        </row>
        <row r="140">
          <cell r="B140" t="str">
            <v>Slough</v>
          </cell>
          <cell r="D140">
            <v>823</v>
          </cell>
          <cell r="E140">
            <v>91.5</v>
          </cell>
          <cell r="F140">
            <v>67.900000000000006</v>
          </cell>
          <cell r="G140">
            <v>97.1</v>
          </cell>
          <cell r="H140">
            <v>94.8</v>
          </cell>
          <cell r="I140">
            <v>99.4</v>
          </cell>
          <cell r="J140">
            <v>361.9</v>
          </cell>
          <cell r="K140">
            <v>496.7</v>
          </cell>
          <cell r="L140">
            <v>97.2</v>
          </cell>
          <cell r="M140">
            <v>68.5</v>
          </cell>
          <cell r="O140">
            <v>847</v>
          </cell>
          <cell r="P140">
            <v>93.5</v>
          </cell>
          <cell r="Q140">
            <v>74.900000000000006</v>
          </cell>
          <cell r="R140">
            <v>98.1</v>
          </cell>
          <cell r="S140">
            <v>97.8</v>
          </cell>
          <cell r="T140">
            <v>99.8</v>
          </cell>
          <cell r="U140">
            <v>375.5</v>
          </cell>
          <cell r="V140">
            <v>518.6</v>
          </cell>
          <cell r="W140">
            <v>98.7</v>
          </cell>
          <cell r="X140">
            <v>74.900000000000006</v>
          </cell>
          <cell r="Z140">
            <v>1670</v>
          </cell>
          <cell r="AA140">
            <v>92.5</v>
          </cell>
          <cell r="AB140">
            <v>71.400000000000006</v>
          </cell>
          <cell r="AC140">
            <v>97.6</v>
          </cell>
          <cell r="AD140">
            <v>96.3</v>
          </cell>
          <cell r="AE140">
            <v>99.6</v>
          </cell>
          <cell r="AF140">
            <v>368.8</v>
          </cell>
          <cell r="AG140">
            <v>507.8</v>
          </cell>
          <cell r="AH140">
            <v>98</v>
          </cell>
          <cell r="AI140">
            <v>71.7</v>
          </cell>
        </row>
        <row r="141">
          <cell r="B141" t="str">
            <v>Southampton</v>
          </cell>
          <cell r="D141">
            <v>1026</v>
          </cell>
          <cell r="E141">
            <v>78.099999999999994</v>
          </cell>
          <cell r="F141">
            <v>52.7</v>
          </cell>
          <cell r="G141">
            <v>92.6</v>
          </cell>
          <cell r="H141">
            <v>90.6</v>
          </cell>
          <cell r="I141">
            <v>99</v>
          </cell>
          <cell r="J141">
            <v>313.8</v>
          </cell>
          <cell r="K141">
            <v>413.7</v>
          </cell>
          <cell r="L141">
            <v>95.4</v>
          </cell>
          <cell r="M141">
            <v>53.9</v>
          </cell>
          <cell r="O141">
            <v>1057</v>
          </cell>
          <cell r="P141">
            <v>86.4</v>
          </cell>
          <cell r="Q141">
            <v>63.3</v>
          </cell>
          <cell r="R141">
            <v>97.1</v>
          </cell>
          <cell r="S141">
            <v>94.8</v>
          </cell>
          <cell r="T141">
            <v>99.8</v>
          </cell>
          <cell r="U141">
            <v>349</v>
          </cell>
          <cell r="V141">
            <v>477.5</v>
          </cell>
          <cell r="W141">
            <v>98.4</v>
          </cell>
          <cell r="X141">
            <v>63.7</v>
          </cell>
          <cell r="Z141">
            <v>2083</v>
          </cell>
          <cell r="AA141">
            <v>82.3</v>
          </cell>
          <cell r="AB141">
            <v>58.1</v>
          </cell>
          <cell r="AC141">
            <v>94.9</v>
          </cell>
          <cell r="AD141">
            <v>92.8</v>
          </cell>
          <cell r="AE141">
            <v>99.4</v>
          </cell>
          <cell r="AF141">
            <v>331.7</v>
          </cell>
          <cell r="AG141">
            <v>446</v>
          </cell>
          <cell r="AH141">
            <v>96.9</v>
          </cell>
          <cell r="AI141">
            <v>58.9</v>
          </cell>
        </row>
        <row r="142">
          <cell r="B142" t="str">
            <v>Surrey</v>
          </cell>
          <cell r="D142">
            <v>5515</v>
          </cell>
          <cell r="E142">
            <v>80.900000000000006</v>
          </cell>
          <cell r="F142">
            <v>63.3</v>
          </cell>
          <cell r="G142">
            <v>95.5</v>
          </cell>
          <cell r="H142">
            <v>94.5</v>
          </cell>
          <cell r="I142">
            <v>99.3</v>
          </cell>
          <cell r="J142">
            <v>337.6</v>
          </cell>
          <cell r="K142">
            <v>457</v>
          </cell>
          <cell r="L142">
            <v>96.1</v>
          </cell>
          <cell r="M142">
            <v>64.7</v>
          </cell>
          <cell r="O142">
            <v>5144</v>
          </cell>
          <cell r="P142">
            <v>87.1</v>
          </cell>
          <cell r="Q142">
            <v>71.900000000000006</v>
          </cell>
          <cell r="R142">
            <v>96.9</v>
          </cell>
          <cell r="S142">
            <v>96.2</v>
          </cell>
          <cell r="T142">
            <v>99.4</v>
          </cell>
          <cell r="U142">
            <v>358.1</v>
          </cell>
          <cell r="V142">
            <v>490.7</v>
          </cell>
          <cell r="W142">
            <v>97.3</v>
          </cell>
          <cell r="X142">
            <v>72.8</v>
          </cell>
          <cell r="Z142">
            <v>10659</v>
          </cell>
          <cell r="AA142">
            <v>83.9</v>
          </cell>
          <cell r="AB142">
            <v>67.5</v>
          </cell>
          <cell r="AC142">
            <v>96.2</v>
          </cell>
          <cell r="AD142">
            <v>95.3</v>
          </cell>
          <cell r="AE142">
            <v>99.3</v>
          </cell>
          <cell r="AF142">
            <v>347.5</v>
          </cell>
          <cell r="AG142">
            <v>473.3</v>
          </cell>
          <cell r="AH142">
            <v>96.7</v>
          </cell>
          <cell r="AI142">
            <v>68.599999999999994</v>
          </cell>
        </row>
        <row r="143">
          <cell r="B143" t="str">
            <v>West Berkshire</v>
          </cell>
          <cell r="D143">
            <v>1012</v>
          </cell>
          <cell r="E143">
            <v>72.3</v>
          </cell>
          <cell r="F143">
            <v>56.6</v>
          </cell>
          <cell r="G143">
            <v>96.2</v>
          </cell>
          <cell r="H143">
            <v>94.4</v>
          </cell>
          <cell r="I143">
            <v>98.8</v>
          </cell>
          <cell r="J143">
            <v>330</v>
          </cell>
          <cell r="K143">
            <v>437.9</v>
          </cell>
          <cell r="L143">
            <v>96</v>
          </cell>
          <cell r="M143">
            <v>57.7</v>
          </cell>
          <cell r="O143">
            <v>970</v>
          </cell>
          <cell r="P143">
            <v>81</v>
          </cell>
          <cell r="Q143">
            <v>66.099999999999994</v>
          </cell>
          <cell r="R143">
            <v>97.2</v>
          </cell>
          <cell r="S143">
            <v>96.3</v>
          </cell>
          <cell r="T143">
            <v>99.6</v>
          </cell>
          <cell r="U143">
            <v>351</v>
          </cell>
          <cell r="V143">
            <v>472.8</v>
          </cell>
          <cell r="W143">
            <v>98</v>
          </cell>
          <cell r="X143">
            <v>66.8</v>
          </cell>
          <cell r="Z143">
            <v>1982</v>
          </cell>
          <cell r="AA143">
            <v>76.599999999999994</v>
          </cell>
          <cell r="AB143">
            <v>61.3</v>
          </cell>
          <cell r="AC143">
            <v>96.7</v>
          </cell>
          <cell r="AD143">
            <v>95.3</v>
          </cell>
          <cell r="AE143">
            <v>99.2</v>
          </cell>
          <cell r="AF143">
            <v>340.3</v>
          </cell>
          <cell r="AG143">
            <v>455</v>
          </cell>
          <cell r="AH143">
            <v>97</v>
          </cell>
          <cell r="AI143">
            <v>62.2</v>
          </cell>
        </row>
        <row r="144">
          <cell r="B144" t="str">
            <v>West Sussex</v>
          </cell>
          <cell r="D144">
            <v>4250</v>
          </cell>
          <cell r="E144">
            <v>74.5</v>
          </cell>
          <cell r="F144">
            <v>53.6</v>
          </cell>
          <cell r="G144">
            <v>94.3</v>
          </cell>
          <cell r="H144">
            <v>93.2</v>
          </cell>
          <cell r="I144">
            <v>99.3</v>
          </cell>
          <cell r="J144">
            <v>325</v>
          </cell>
          <cell r="K144">
            <v>430.1</v>
          </cell>
          <cell r="L144">
            <v>95.6</v>
          </cell>
          <cell r="M144">
            <v>54.5</v>
          </cell>
          <cell r="O144">
            <v>4035</v>
          </cell>
          <cell r="P144">
            <v>83.7</v>
          </cell>
          <cell r="Q144">
            <v>66.400000000000006</v>
          </cell>
          <cell r="R144">
            <v>96.5</v>
          </cell>
          <cell r="S144">
            <v>95.5</v>
          </cell>
          <cell r="T144">
            <v>99.5</v>
          </cell>
          <cell r="U144">
            <v>352</v>
          </cell>
          <cell r="V144">
            <v>473.7</v>
          </cell>
          <cell r="W144">
            <v>97.2</v>
          </cell>
          <cell r="X144">
            <v>67.099999999999994</v>
          </cell>
          <cell r="Z144">
            <v>8285</v>
          </cell>
          <cell r="AA144">
            <v>79</v>
          </cell>
          <cell r="AB144">
            <v>59.9</v>
          </cell>
          <cell r="AC144">
            <v>95.4</v>
          </cell>
          <cell r="AD144">
            <v>94.3</v>
          </cell>
          <cell r="AE144">
            <v>99.4</v>
          </cell>
          <cell r="AF144">
            <v>338.2</v>
          </cell>
          <cell r="AG144">
            <v>451.3</v>
          </cell>
          <cell r="AH144">
            <v>96.4</v>
          </cell>
          <cell r="AI144">
            <v>60.6</v>
          </cell>
        </row>
        <row r="145">
          <cell r="B145" t="str">
            <v>Windsor and Maidenhead</v>
          </cell>
          <cell r="D145">
            <v>814</v>
          </cell>
          <cell r="E145">
            <v>84.4</v>
          </cell>
          <cell r="F145">
            <v>65.099999999999994</v>
          </cell>
          <cell r="G145">
            <v>97.7</v>
          </cell>
          <cell r="H145">
            <v>97.1</v>
          </cell>
          <cell r="I145">
            <v>99.5</v>
          </cell>
          <cell r="J145">
            <v>344.7</v>
          </cell>
          <cell r="K145">
            <v>478.5</v>
          </cell>
          <cell r="L145">
            <v>97.9</v>
          </cell>
          <cell r="M145">
            <v>66.5</v>
          </cell>
          <cell r="O145">
            <v>801</v>
          </cell>
          <cell r="P145">
            <v>89.5</v>
          </cell>
          <cell r="Q145">
            <v>71.5</v>
          </cell>
          <cell r="R145">
            <v>97.5</v>
          </cell>
          <cell r="S145">
            <v>96.8</v>
          </cell>
          <cell r="T145">
            <v>99.3</v>
          </cell>
          <cell r="U145">
            <v>362.5</v>
          </cell>
          <cell r="V145">
            <v>521.20000000000005</v>
          </cell>
          <cell r="W145">
            <v>98.8</v>
          </cell>
          <cell r="X145">
            <v>72.3</v>
          </cell>
          <cell r="Z145">
            <v>1615</v>
          </cell>
          <cell r="AA145">
            <v>86.9</v>
          </cell>
          <cell r="AB145">
            <v>68.3</v>
          </cell>
          <cell r="AC145">
            <v>97.6</v>
          </cell>
          <cell r="AD145">
            <v>96.9</v>
          </cell>
          <cell r="AE145">
            <v>99.4</v>
          </cell>
          <cell r="AF145">
            <v>353.5</v>
          </cell>
          <cell r="AG145">
            <v>499.7</v>
          </cell>
          <cell r="AH145">
            <v>98.3</v>
          </cell>
          <cell r="AI145">
            <v>69.3</v>
          </cell>
        </row>
        <row r="146">
          <cell r="B146" t="str">
            <v>Wokingham</v>
          </cell>
          <cell r="D146">
            <v>869</v>
          </cell>
          <cell r="E146">
            <v>79.3</v>
          </cell>
          <cell r="F146">
            <v>63.2</v>
          </cell>
          <cell r="G146">
            <v>95.3</v>
          </cell>
          <cell r="H146">
            <v>94.2</v>
          </cell>
          <cell r="I146">
            <v>98.6</v>
          </cell>
          <cell r="J146">
            <v>337.5</v>
          </cell>
          <cell r="K146">
            <v>454.1</v>
          </cell>
          <cell r="L146">
            <v>95.6</v>
          </cell>
          <cell r="M146">
            <v>65.5</v>
          </cell>
          <cell r="O146">
            <v>823</v>
          </cell>
          <cell r="P146">
            <v>92</v>
          </cell>
          <cell r="Q146">
            <v>78.5</v>
          </cell>
          <cell r="R146">
            <v>98.5</v>
          </cell>
          <cell r="S146">
            <v>98.3</v>
          </cell>
          <cell r="T146">
            <v>99.8</v>
          </cell>
          <cell r="U146">
            <v>369.7</v>
          </cell>
          <cell r="V146">
            <v>504.4</v>
          </cell>
          <cell r="W146">
            <v>98.8</v>
          </cell>
          <cell r="X146">
            <v>79</v>
          </cell>
          <cell r="Z146">
            <v>1692</v>
          </cell>
          <cell r="AA146">
            <v>85.5</v>
          </cell>
          <cell r="AB146">
            <v>70.599999999999994</v>
          </cell>
          <cell r="AC146">
            <v>96.9</v>
          </cell>
          <cell r="AD146">
            <v>96.2</v>
          </cell>
          <cell r="AE146">
            <v>99.2</v>
          </cell>
          <cell r="AF146">
            <v>353.1</v>
          </cell>
          <cell r="AG146">
            <v>478.6</v>
          </cell>
          <cell r="AH146">
            <v>97.2</v>
          </cell>
          <cell r="AI146">
            <v>72</v>
          </cell>
        </row>
        <row r="147">
          <cell r="B147" t="str">
            <v>South West</v>
          </cell>
          <cell r="D147">
            <v>28836</v>
          </cell>
          <cell r="E147">
            <v>75.8</v>
          </cell>
          <cell r="F147">
            <v>53.9</v>
          </cell>
          <cell r="G147">
            <v>95.1</v>
          </cell>
          <cell r="H147">
            <v>92.8</v>
          </cell>
          <cell r="I147">
            <v>99.3</v>
          </cell>
          <cell r="J147">
            <v>327.10000000000002</v>
          </cell>
          <cell r="K147">
            <v>437.5</v>
          </cell>
          <cell r="L147">
            <v>95.2</v>
          </cell>
          <cell r="M147">
            <v>55</v>
          </cell>
          <cell r="O147">
            <v>27513</v>
          </cell>
          <cell r="P147">
            <v>84</v>
          </cell>
          <cell r="Q147">
            <v>65.3</v>
          </cell>
          <cell r="R147">
            <v>97.1</v>
          </cell>
          <cell r="S147">
            <v>95.5</v>
          </cell>
          <cell r="T147">
            <v>99.6</v>
          </cell>
          <cell r="U147">
            <v>351.7</v>
          </cell>
          <cell r="V147">
            <v>480.6</v>
          </cell>
          <cell r="W147">
            <v>97.5</v>
          </cell>
          <cell r="X147">
            <v>65.900000000000006</v>
          </cell>
          <cell r="Z147">
            <v>56349</v>
          </cell>
          <cell r="AA147">
            <v>79.8</v>
          </cell>
          <cell r="AB147">
            <v>59.5</v>
          </cell>
          <cell r="AC147">
            <v>96.1</v>
          </cell>
          <cell r="AD147">
            <v>94.1</v>
          </cell>
          <cell r="AE147">
            <v>99.4</v>
          </cell>
          <cell r="AF147">
            <v>339.1</v>
          </cell>
          <cell r="AG147">
            <v>458.6</v>
          </cell>
          <cell r="AH147">
            <v>96.3</v>
          </cell>
          <cell r="AI147">
            <v>60.3</v>
          </cell>
        </row>
        <row r="148">
          <cell r="B148" t="str">
            <v>Bath and North East Somerset</v>
          </cell>
          <cell r="D148">
            <v>1076</v>
          </cell>
          <cell r="E148">
            <v>78.3</v>
          </cell>
          <cell r="F148">
            <v>58.1</v>
          </cell>
          <cell r="G148">
            <v>95.3</v>
          </cell>
          <cell r="H148">
            <v>94.3</v>
          </cell>
          <cell r="I148">
            <v>99.8</v>
          </cell>
          <cell r="J148">
            <v>335.2</v>
          </cell>
          <cell r="K148">
            <v>434.7</v>
          </cell>
          <cell r="L148">
            <v>96.4</v>
          </cell>
          <cell r="M148">
            <v>59.1</v>
          </cell>
          <cell r="O148">
            <v>1139</v>
          </cell>
          <cell r="P148">
            <v>85.9</v>
          </cell>
          <cell r="Q148">
            <v>68.7</v>
          </cell>
          <cell r="R148">
            <v>96.6</v>
          </cell>
          <cell r="S148">
            <v>95.7</v>
          </cell>
          <cell r="T148">
            <v>99.7</v>
          </cell>
          <cell r="U148">
            <v>352.6</v>
          </cell>
          <cell r="V148">
            <v>465.6</v>
          </cell>
          <cell r="W148">
            <v>97.5</v>
          </cell>
          <cell r="X148">
            <v>69.099999999999994</v>
          </cell>
          <cell r="Z148">
            <v>2215</v>
          </cell>
          <cell r="AA148">
            <v>82.2</v>
          </cell>
          <cell r="AB148">
            <v>63.6</v>
          </cell>
          <cell r="AC148">
            <v>95.9</v>
          </cell>
          <cell r="AD148">
            <v>95</v>
          </cell>
          <cell r="AE148">
            <v>99.8</v>
          </cell>
          <cell r="AF148">
            <v>344.2</v>
          </cell>
          <cell r="AG148">
            <v>450.6</v>
          </cell>
          <cell r="AH148">
            <v>96.9</v>
          </cell>
          <cell r="AI148">
            <v>64.2</v>
          </cell>
        </row>
        <row r="149">
          <cell r="B149" t="str">
            <v>Bournemouth</v>
          </cell>
          <cell r="D149">
            <v>881</v>
          </cell>
          <cell r="E149">
            <v>80.900000000000006</v>
          </cell>
          <cell r="F149">
            <v>58</v>
          </cell>
          <cell r="G149">
            <v>93.2</v>
          </cell>
          <cell r="H149">
            <v>90.5</v>
          </cell>
          <cell r="I149">
            <v>98.9</v>
          </cell>
          <cell r="J149">
            <v>330.6</v>
          </cell>
          <cell r="K149">
            <v>462.6</v>
          </cell>
          <cell r="L149">
            <v>92.4</v>
          </cell>
          <cell r="M149">
            <v>59.7</v>
          </cell>
          <cell r="O149">
            <v>845</v>
          </cell>
          <cell r="P149">
            <v>91.5</v>
          </cell>
          <cell r="Q149">
            <v>68.2</v>
          </cell>
          <cell r="R149">
            <v>98.7</v>
          </cell>
          <cell r="S149">
            <v>96.8</v>
          </cell>
          <cell r="T149">
            <v>99.9</v>
          </cell>
          <cell r="U149">
            <v>362.1</v>
          </cell>
          <cell r="V149">
            <v>535.5</v>
          </cell>
          <cell r="W149">
            <v>98.5</v>
          </cell>
          <cell r="X149">
            <v>68.599999999999994</v>
          </cell>
          <cell r="Z149">
            <v>1726</v>
          </cell>
          <cell r="AA149">
            <v>86.1</v>
          </cell>
          <cell r="AB149">
            <v>63</v>
          </cell>
          <cell r="AC149">
            <v>95.9</v>
          </cell>
          <cell r="AD149">
            <v>93.6</v>
          </cell>
          <cell r="AE149">
            <v>99.4</v>
          </cell>
          <cell r="AF149">
            <v>346</v>
          </cell>
          <cell r="AG149">
            <v>498.3</v>
          </cell>
          <cell r="AH149">
            <v>95.4</v>
          </cell>
          <cell r="AI149">
            <v>64.099999999999994</v>
          </cell>
        </row>
        <row r="150">
          <cell r="B150" t="str">
            <v>Bristol, City of</v>
          </cell>
          <cell r="D150">
            <v>1629</v>
          </cell>
          <cell r="E150">
            <v>76.5</v>
          </cell>
          <cell r="F150">
            <v>45.5</v>
          </cell>
          <cell r="G150">
            <v>90.4</v>
          </cell>
          <cell r="H150">
            <v>87.5</v>
          </cell>
          <cell r="I150">
            <v>98.4</v>
          </cell>
          <cell r="J150">
            <v>312</v>
          </cell>
          <cell r="K150">
            <v>414.8</v>
          </cell>
          <cell r="L150">
            <v>92.1</v>
          </cell>
          <cell r="M150">
            <v>46</v>
          </cell>
          <cell r="O150">
            <v>1633</v>
          </cell>
          <cell r="P150">
            <v>86</v>
          </cell>
          <cell r="Q150">
            <v>59</v>
          </cell>
          <cell r="R150">
            <v>94.9</v>
          </cell>
          <cell r="S150">
            <v>92.8</v>
          </cell>
          <cell r="T150">
            <v>99.2</v>
          </cell>
          <cell r="U150">
            <v>347.9</v>
          </cell>
          <cell r="V150">
            <v>481.1</v>
          </cell>
          <cell r="W150">
            <v>95.5</v>
          </cell>
          <cell r="X150">
            <v>59.4</v>
          </cell>
          <cell r="Z150">
            <v>3262</v>
          </cell>
          <cell r="AA150">
            <v>81.2</v>
          </cell>
          <cell r="AB150">
            <v>52.3</v>
          </cell>
          <cell r="AC150">
            <v>92.6</v>
          </cell>
          <cell r="AD150">
            <v>90.1</v>
          </cell>
          <cell r="AE150">
            <v>98.8</v>
          </cell>
          <cell r="AF150">
            <v>330</v>
          </cell>
          <cell r="AG150">
            <v>448</v>
          </cell>
          <cell r="AH150">
            <v>93.8</v>
          </cell>
          <cell r="AI150">
            <v>52.7</v>
          </cell>
        </row>
        <row r="151">
          <cell r="B151" t="str">
            <v>Cornwall</v>
          </cell>
          <cell r="D151">
            <v>2981</v>
          </cell>
          <cell r="E151">
            <v>73.8</v>
          </cell>
          <cell r="F151">
            <v>54.3</v>
          </cell>
          <cell r="G151">
            <v>96.2</v>
          </cell>
          <cell r="H151">
            <v>94.5</v>
          </cell>
          <cell r="I151">
            <v>99.4</v>
          </cell>
          <cell r="J151">
            <v>321.89999999999998</v>
          </cell>
          <cell r="K151">
            <v>436.2</v>
          </cell>
          <cell r="L151">
            <v>96.6</v>
          </cell>
          <cell r="M151">
            <v>56</v>
          </cell>
          <cell r="O151">
            <v>2871</v>
          </cell>
          <cell r="P151">
            <v>82.2</v>
          </cell>
          <cell r="Q151">
            <v>65.099999999999994</v>
          </cell>
          <cell r="R151">
            <v>97.9</v>
          </cell>
          <cell r="S151">
            <v>96.3</v>
          </cell>
          <cell r="T151">
            <v>99.8</v>
          </cell>
          <cell r="U151">
            <v>347.7</v>
          </cell>
          <cell r="V151">
            <v>486.7</v>
          </cell>
          <cell r="W151">
            <v>97.9</v>
          </cell>
          <cell r="X151">
            <v>66.2</v>
          </cell>
          <cell r="Z151">
            <v>5852</v>
          </cell>
          <cell r="AA151">
            <v>77.900000000000006</v>
          </cell>
          <cell r="AB151">
            <v>59.6</v>
          </cell>
          <cell r="AC151">
            <v>97</v>
          </cell>
          <cell r="AD151">
            <v>95.4</v>
          </cell>
          <cell r="AE151">
            <v>99.6</v>
          </cell>
          <cell r="AF151">
            <v>334.5</v>
          </cell>
          <cell r="AG151">
            <v>461</v>
          </cell>
          <cell r="AH151">
            <v>97.3</v>
          </cell>
          <cell r="AI151">
            <v>61</v>
          </cell>
        </row>
        <row r="152">
          <cell r="B152" t="str">
            <v>Devon</v>
          </cell>
          <cell r="D152">
            <v>4073</v>
          </cell>
          <cell r="E152">
            <v>72.900000000000006</v>
          </cell>
          <cell r="F152">
            <v>52.6</v>
          </cell>
          <cell r="G152">
            <v>95</v>
          </cell>
          <cell r="H152">
            <v>93.4</v>
          </cell>
          <cell r="I152">
            <v>99.3</v>
          </cell>
          <cell r="J152">
            <v>322.89999999999998</v>
          </cell>
          <cell r="K152">
            <v>426.5</v>
          </cell>
          <cell r="L152">
            <v>95.9</v>
          </cell>
          <cell r="M152">
            <v>53.9</v>
          </cell>
          <cell r="O152">
            <v>3656</v>
          </cell>
          <cell r="P152">
            <v>83.6</v>
          </cell>
          <cell r="Q152">
            <v>67.5</v>
          </cell>
          <cell r="R152">
            <v>97.6</v>
          </cell>
          <cell r="S152">
            <v>96.5</v>
          </cell>
          <cell r="T152">
            <v>99.5</v>
          </cell>
          <cell r="U152">
            <v>352.1</v>
          </cell>
          <cell r="V152">
            <v>478.6</v>
          </cell>
          <cell r="W152">
            <v>98.4</v>
          </cell>
          <cell r="X152">
            <v>68.099999999999994</v>
          </cell>
          <cell r="Z152">
            <v>7729</v>
          </cell>
          <cell r="AA152">
            <v>78</v>
          </cell>
          <cell r="AB152">
            <v>59.6</v>
          </cell>
          <cell r="AC152">
            <v>96.2</v>
          </cell>
          <cell r="AD152">
            <v>94.9</v>
          </cell>
          <cell r="AE152">
            <v>99.4</v>
          </cell>
          <cell r="AF152">
            <v>336.7</v>
          </cell>
          <cell r="AG152">
            <v>451.1</v>
          </cell>
          <cell r="AH152">
            <v>97</v>
          </cell>
          <cell r="AI152">
            <v>60.6</v>
          </cell>
        </row>
        <row r="153">
          <cell r="B153" t="str">
            <v>Dorset</v>
          </cell>
          <cell r="D153">
            <v>2243</v>
          </cell>
          <cell r="E153">
            <v>72</v>
          </cell>
          <cell r="F153">
            <v>53.1</v>
          </cell>
          <cell r="G153">
            <v>96.6</v>
          </cell>
          <cell r="H153">
            <v>95.1</v>
          </cell>
          <cell r="I153">
            <v>99.3</v>
          </cell>
          <cell r="J153">
            <v>326.7</v>
          </cell>
          <cell r="K153">
            <v>435.1</v>
          </cell>
          <cell r="L153">
            <v>97.1</v>
          </cell>
          <cell r="M153">
            <v>54.2</v>
          </cell>
          <cell r="O153">
            <v>2115</v>
          </cell>
          <cell r="P153">
            <v>80.2</v>
          </cell>
          <cell r="Q153">
            <v>65</v>
          </cell>
          <cell r="R153">
            <v>97.8</v>
          </cell>
          <cell r="S153">
            <v>96.5</v>
          </cell>
          <cell r="T153">
            <v>99.8</v>
          </cell>
          <cell r="U153">
            <v>349.9</v>
          </cell>
          <cell r="V153">
            <v>473.4</v>
          </cell>
          <cell r="W153">
            <v>98.1</v>
          </cell>
          <cell r="X153">
            <v>65.900000000000006</v>
          </cell>
          <cell r="Z153">
            <v>4358</v>
          </cell>
          <cell r="AA153">
            <v>76</v>
          </cell>
          <cell r="AB153">
            <v>58.9</v>
          </cell>
          <cell r="AC153">
            <v>97.2</v>
          </cell>
          <cell r="AD153">
            <v>95.7</v>
          </cell>
          <cell r="AE153">
            <v>99.6</v>
          </cell>
          <cell r="AF153">
            <v>338</v>
          </cell>
          <cell r="AG153">
            <v>453.7</v>
          </cell>
          <cell r="AH153">
            <v>97.6</v>
          </cell>
          <cell r="AI153">
            <v>59.9</v>
          </cell>
        </row>
        <row r="154">
          <cell r="B154" t="str">
            <v>Gloucestershire</v>
          </cell>
          <cell r="D154">
            <v>3433</v>
          </cell>
          <cell r="E154">
            <v>79.900000000000006</v>
          </cell>
          <cell r="F154">
            <v>57.2</v>
          </cell>
          <cell r="G154">
            <v>95.5</v>
          </cell>
          <cell r="H154">
            <v>92.3</v>
          </cell>
          <cell r="I154">
            <v>99.3</v>
          </cell>
          <cell r="J154">
            <v>338</v>
          </cell>
          <cell r="K154">
            <v>444</v>
          </cell>
          <cell r="L154">
            <v>94.4</v>
          </cell>
          <cell r="M154">
            <v>58.2</v>
          </cell>
          <cell r="O154">
            <v>3326</v>
          </cell>
          <cell r="P154">
            <v>86.1</v>
          </cell>
          <cell r="Q154">
            <v>66.5</v>
          </cell>
          <cell r="R154">
            <v>97.4</v>
          </cell>
          <cell r="S154">
            <v>94.1</v>
          </cell>
          <cell r="T154">
            <v>99.5</v>
          </cell>
          <cell r="U154">
            <v>358.6</v>
          </cell>
          <cell r="V154">
            <v>475.4</v>
          </cell>
          <cell r="W154">
            <v>95.8</v>
          </cell>
          <cell r="X154">
            <v>67</v>
          </cell>
          <cell r="Z154">
            <v>6759</v>
          </cell>
          <cell r="AA154">
            <v>83</v>
          </cell>
          <cell r="AB154">
            <v>61.8</v>
          </cell>
          <cell r="AC154">
            <v>96.4</v>
          </cell>
          <cell r="AD154">
            <v>93.2</v>
          </cell>
          <cell r="AE154">
            <v>99.4</v>
          </cell>
          <cell r="AF154">
            <v>348.2</v>
          </cell>
          <cell r="AG154">
            <v>459.4</v>
          </cell>
          <cell r="AH154">
            <v>95.1</v>
          </cell>
          <cell r="AI154">
            <v>62.5</v>
          </cell>
        </row>
        <row r="155">
          <cell r="B155" t="str">
            <v>Isles of Scilly</v>
          </cell>
          <cell r="D155">
            <v>10</v>
          </cell>
          <cell r="E155">
            <v>90</v>
          </cell>
          <cell r="F155">
            <v>90</v>
          </cell>
          <cell r="G155">
            <v>100</v>
          </cell>
          <cell r="H155">
            <v>100</v>
          </cell>
          <cell r="I155">
            <v>100</v>
          </cell>
          <cell r="J155">
            <v>356.7</v>
          </cell>
          <cell r="K155">
            <v>422.9</v>
          </cell>
          <cell r="L155">
            <v>100</v>
          </cell>
          <cell r="M155">
            <v>90</v>
          </cell>
          <cell r="O155">
            <v>11</v>
          </cell>
          <cell r="P155">
            <v>81.8</v>
          </cell>
          <cell r="Q155">
            <v>72.7</v>
          </cell>
          <cell r="R155">
            <v>100</v>
          </cell>
          <cell r="S155">
            <v>90.9</v>
          </cell>
          <cell r="T155">
            <v>100</v>
          </cell>
          <cell r="U155">
            <v>369.6</v>
          </cell>
          <cell r="V155">
            <v>472.5</v>
          </cell>
          <cell r="W155">
            <v>100</v>
          </cell>
          <cell r="X155">
            <v>72.7</v>
          </cell>
          <cell r="Z155">
            <v>21</v>
          </cell>
          <cell r="AA155">
            <v>85.7</v>
          </cell>
          <cell r="AB155">
            <v>81</v>
          </cell>
          <cell r="AC155">
            <v>100</v>
          </cell>
          <cell r="AD155">
            <v>95.2</v>
          </cell>
          <cell r="AE155">
            <v>100</v>
          </cell>
          <cell r="AF155">
            <v>363.4</v>
          </cell>
          <cell r="AG155">
            <v>448.9</v>
          </cell>
          <cell r="AH155">
            <v>100</v>
          </cell>
          <cell r="AI155">
            <v>81</v>
          </cell>
        </row>
        <row r="156">
          <cell r="B156" t="str">
            <v>North Somerset</v>
          </cell>
          <cell r="D156">
            <v>1191</v>
          </cell>
          <cell r="E156">
            <v>74.2</v>
          </cell>
          <cell r="F156">
            <v>54.6</v>
          </cell>
          <cell r="G156">
            <v>95.2</v>
          </cell>
          <cell r="H156">
            <v>93.5</v>
          </cell>
          <cell r="I156">
            <v>98.9</v>
          </cell>
          <cell r="J156">
            <v>327.10000000000002</v>
          </cell>
          <cell r="K156">
            <v>449.5</v>
          </cell>
          <cell r="L156">
            <v>95.8</v>
          </cell>
          <cell r="M156">
            <v>55.3</v>
          </cell>
          <cell r="O156">
            <v>1055</v>
          </cell>
          <cell r="P156">
            <v>80.400000000000006</v>
          </cell>
          <cell r="Q156">
            <v>63</v>
          </cell>
          <cell r="R156">
            <v>96.6</v>
          </cell>
          <cell r="S156">
            <v>95.4</v>
          </cell>
          <cell r="T156">
            <v>99.5</v>
          </cell>
          <cell r="U156">
            <v>346.9</v>
          </cell>
          <cell r="V156">
            <v>483.9</v>
          </cell>
          <cell r="W156">
            <v>97.6</v>
          </cell>
          <cell r="X156">
            <v>63.8</v>
          </cell>
          <cell r="Z156">
            <v>2246</v>
          </cell>
          <cell r="AA156">
            <v>77.099999999999994</v>
          </cell>
          <cell r="AB156">
            <v>58.5</v>
          </cell>
          <cell r="AC156">
            <v>95.9</v>
          </cell>
          <cell r="AD156">
            <v>94.4</v>
          </cell>
          <cell r="AE156">
            <v>99.2</v>
          </cell>
          <cell r="AF156">
            <v>336.4</v>
          </cell>
          <cell r="AG156">
            <v>465.7</v>
          </cell>
          <cell r="AH156">
            <v>96.7</v>
          </cell>
          <cell r="AI156">
            <v>59.3</v>
          </cell>
        </row>
        <row r="157">
          <cell r="B157" t="str">
            <v>Plymouth</v>
          </cell>
          <cell r="D157">
            <v>1393</v>
          </cell>
          <cell r="E157">
            <v>82.1</v>
          </cell>
          <cell r="F157">
            <v>55.3</v>
          </cell>
          <cell r="G157">
            <v>94.9</v>
          </cell>
          <cell r="H157">
            <v>93.8</v>
          </cell>
          <cell r="I157">
            <v>98.8</v>
          </cell>
          <cell r="J157">
            <v>329.7</v>
          </cell>
          <cell r="K157">
            <v>445.6</v>
          </cell>
          <cell r="L157">
            <v>95.5</v>
          </cell>
          <cell r="M157">
            <v>56.1</v>
          </cell>
          <cell r="O157">
            <v>1447</v>
          </cell>
          <cell r="P157">
            <v>89.6</v>
          </cell>
          <cell r="Q157">
            <v>66.099999999999994</v>
          </cell>
          <cell r="R157">
            <v>97.3</v>
          </cell>
          <cell r="S157">
            <v>95.7</v>
          </cell>
          <cell r="T157">
            <v>99.5</v>
          </cell>
          <cell r="U157">
            <v>353.7</v>
          </cell>
          <cell r="V157">
            <v>491.7</v>
          </cell>
          <cell r="W157">
            <v>98</v>
          </cell>
          <cell r="X157">
            <v>66.599999999999994</v>
          </cell>
          <cell r="Z157">
            <v>2840</v>
          </cell>
          <cell r="AA157">
            <v>85.9</v>
          </cell>
          <cell r="AB157">
            <v>60.8</v>
          </cell>
          <cell r="AC157">
            <v>96.1</v>
          </cell>
          <cell r="AD157">
            <v>94.8</v>
          </cell>
          <cell r="AE157">
            <v>99.2</v>
          </cell>
          <cell r="AF157">
            <v>342</v>
          </cell>
          <cell r="AG157">
            <v>469.1</v>
          </cell>
          <cell r="AH157">
            <v>96.8</v>
          </cell>
          <cell r="AI157">
            <v>61.4</v>
          </cell>
        </row>
        <row r="158">
          <cell r="B158" t="str">
            <v>Poole</v>
          </cell>
          <cell r="D158">
            <v>805</v>
          </cell>
          <cell r="E158">
            <v>77.8</v>
          </cell>
          <cell r="F158">
            <v>58.6</v>
          </cell>
          <cell r="G158">
            <v>95.4</v>
          </cell>
          <cell r="H158">
            <v>95</v>
          </cell>
          <cell r="I158">
            <v>98.9</v>
          </cell>
          <cell r="J158">
            <v>336.4</v>
          </cell>
          <cell r="K158">
            <v>442.9</v>
          </cell>
          <cell r="L158">
            <v>96.9</v>
          </cell>
          <cell r="M158">
            <v>60.1</v>
          </cell>
          <cell r="O158">
            <v>843</v>
          </cell>
          <cell r="P158">
            <v>81.5</v>
          </cell>
          <cell r="Q158">
            <v>65.8</v>
          </cell>
          <cell r="R158">
            <v>95.8</v>
          </cell>
          <cell r="S158">
            <v>95.1</v>
          </cell>
          <cell r="T158">
            <v>99.4</v>
          </cell>
          <cell r="U158">
            <v>351.6</v>
          </cell>
          <cell r="V158">
            <v>461.6</v>
          </cell>
          <cell r="W158">
            <v>97.9</v>
          </cell>
          <cell r="X158">
            <v>67</v>
          </cell>
          <cell r="Z158">
            <v>1648</v>
          </cell>
          <cell r="AA158">
            <v>79.7</v>
          </cell>
          <cell r="AB158">
            <v>62.3</v>
          </cell>
          <cell r="AC158">
            <v>95.6</v>
          </cell>
          <cell r="AD158">
            <v>95.1</v>
          </cell>
          <cell r="AE158">
            <v>99.2</v>
          </cell>
          <cell r="AF158">
            <v>344.2</v>
          </cell>
          <cell r="AG158">
            <v>452.5</v>
          </cell>
          <cell r="AH158">
            <v>97.4</v>
          </cell>
          <cell r="AI158">
            <v>63.7</v>
          </cell>
        </row>
        <row r="159">
          <cell r="B159" t="str">
            <v>Somerset</v>
          </cell>
          <cell r="D159">
            <v>2899</v>
          </cell>
          <cell r="E159">
            <v>76</v>
          </cell>
          <cell r="F159">
            <v>53</v>
          </cell>
          <cell r="G159">
            <v>96</v>
          </cell>
          <cell r="H159">
            <v>94.3</v>
          </cell>
          <cell r="I159">
            <v>99.4</v>
          </cell>
          <cell r="J159">
            <v>329.1</v>
          </cell>
          <cell r="K159">
            <v>442.4</v>
          </cell>
          <cell r="L159">
            <v>96.8</v>
          </cell>
          <cell r="M159">
            <v>53.8</v>
          </cell>
          <cell r="O159">
            <v>2682</v>
          </cell>
          <cell r="P159">
            <v>82.4</v>
          </cell>
          <cell r="Q159">
            <v>63.3</v>
          </cell>
          <cell r="R159">
            <v>97.1</v>
          </cell>
          <cell r="S159">
            <v>95.6</v>
          </cell>
          <cell r="T159">
            <v>99.6</v>
          </cell>
          <cell r="U159">
            <v>350.3</v>
          </cell>
          <cell r="V159">
            <v>477.8</v>
          </cell>
          <cell r="W159">
            <v>97.9</v>
          </cell>
          <cell r="X159">
            <v>63.9</v>
          </cell>
          <cell r="Z159">
            <v>5581</v>
          </cell>
          <cell r="AA159">
            <v>79.099999999999994</v>
          </cell>
          <cell r="AB159">
            <v>58</v>
          </cell>
          <cell r="AC159">
            <v>96.5</v>
          </cell>
          <cell r="AD159">
            <v>94.9</v>
          </cell>
          <cell r="AE159">
            <v>99.5</v>
          </cell>
          <cell r="AF159">
            <v>339.3</v>
          </cell>
          <cell r="AG159">
            <v>459.4</v>
          </cell>
          <cell r="AH159">
            <v>97.3</v>
          </cell>
          <cell r="AI159">
            <v>58.7</v>
          </cell>
        </row>
        <row r="160">
          <cell r="B160" t="str">
            <v>South Gloucestershire</v>
          </cell>
          <cell r="D160">
            <v>1660</v>
          </cell>
          <cell r="E160">
            <v>76.599999999999994</v>
          </cell>
          <cell r="F160">
            <v>53.3</v>
          </cell>
          <cell r="G160">
            <v>94.6</v>
          </cell>
          <cell r="H160">
            <v>93</v>
          </cell>
          <cell r="I160">
            <v>99.4</v>
          </cell>
          <cell r="J160">
            <v>324.7</v>
          </cell>
          <cell r="K160">
            <v>436.7</v>
          </cell>
          <cell r="L160">
            <v>95.4</v>
          </cell>
          <cell r="M160">
            <v>54.5</v>
          </cell>
          <cell r="O160">
            <v>1452</v>
          </cell>
          <cell r="P160">
            <v>83.6</v>
          </cell>
          <cell r="Q160">
            <v>60.5</v>
          </cell>
          <cell r="R160">
            <v>95.9</v>
          </cell>
          <cell r="S160">
            <v>94.3</v>
          </cell>
          <cell r="T160">
            <v>99.4</v>
          </cell>
          <cell r="U160">
            <v>344.1</v>
          </cell>
          <cell r="V160">
            <v>467.9</v>
          </cell>
          <cell r="W160">
            <v>96.7</v>
          </cell>
          <cell r="X160">
            <v>60.7</v>
          </cell>
          <cell r="Z160">
            <v>3112</v>
          </cell>
          <cell r="AA160">
            <v>79.900000000000006</v>
          </cell>
          <cell r="AB160">
            <v>56.7</v>
          </cell>
          <cell r="AC160">
            <v>95.2</v>
          </cell>
          <cell r="AD160">
            <v>93.6</v>
          </cell>
          <cell r="AE160">
            <v>99.4</v>
          </cell>
          <cell r="AF160">
            <v>333.8</v>
          </cell>
          <cell r="AG160">
            <v>451.3</v>
          </cell>
          <cell r="AH160">
            <v>96</v>
          </cell>
          <cell r="AI160">
            <v>57.4</v>
          </cell>
        </row>
        <row r="161">
          <cell r="B161" t="str">
            <v>Swindon</v>
          </cell>
          <cell r="D161">
            <v>1174</v>
          </cell>
          <cell r="E161">
            <v>71.7</v>
          </cell>
          <cell r="F161">
            <v>50.5</v>
          </cell>
          <cell r="G161">
            <v>93</v>
          </cell>
          <cell r="H161">
            <v>91</v>
          </cell>
          <cell r="I161">
            <v>98.7</v>
          </cell>
          <cell r="J161">
            <v>313.89999999999998</v>
          </cell>
          <cell r="K161">
            <v>436.6</v>
          </cell>
          <cell r="L161">
            <v>95</v>
          </cell>
          <cell r="M161">
            <v>52</v>
          </cell>
          <cell r="O161">
            <v>1094</v>
          </cell>
          <cell r="P161">
            <v>80.3</v>
          </cell>
          <cell r="Q161">
            <v>62.8</v>
          </cell>
          <cell r="R161">
            <v>97.3</v>
          </cell>
          <cell r="S161">
            <v>95.9</v>
          </cell>
          <cell r="T161">
            <v>99.3</v>
          </cell>
          <cell r="U161">
            <v>342.5</v>
          </cell>
          <cell r="V161">
            <v>484.4</v>
          </cell>
          <cell r="W161">
            <v>98.2</v>
          </cell>
          <cell r="X161">
            <v>64</v>
          </cell>
          <cell r="Z161">
            <v>2268</v>
          </cell>
          <cell r="AA161">
            <v>75.8</v>
          </cell>
          <cell r="AB161">
            <v>56.4</v>
          </cell>
          <cell r="AC161">
            <v>95.1</v>
          </cell>
          <cell r="AD161">
            <v>93.3</v>
          </cell>
          <cell r="AE161">
            <v>99</v>
          </cell>
          <cell r="AF161">
            <v>327.7</v>
          </cell>
          <cell r="AG161">
            <v>459.7</v>
          </cell>
          <cell r="AH161">
            <v>96.5</v>
          </cell>
          <cell r="AI161">
            <v>57.8</v>
          </cell>
        </row>
        <row r="162">
          <cell r="B162" t="str">
            <v>Torbay</v>
          </cell>
          <cell r="D162">
            <v>757</v>
          </cell>
          <cell r="E162">
            <v>75.400000000000006</v>
          </cell>
          <cell r="F162">
            <v>55.9</v>
          </cell>
          <cell r="G162">
            <v>95.8</v>
          </cell>
          <cell r="H162">
            <v>93.1</v>
          </cell>
          <cell r="I162">
            <v>100</v>
          </cell>
          <cell r="J162">
            <v>333.1</v>
          </cell>
          <cell r="K162">
            <v>446.5</v>
          </cell>
          <cell r="L162">
            <v>96</v>
          </cell>
          <cell r="M162">
            <v>56.9</v>
          </cell>
          <cell r="O162">
            <v>708</v>
          </cell>
          <cell r="P162">
            <v>87</v>
          </cell>
          <cell r="Q162">
            <v>66.2</v>
          </cell>
          <cell r="R162">
            <v>97.6</v>
          </cell>
          <cell r="S162">
            <v>96.2</v>
          </cell>
          <cell r="T162">
            <v>100</v>
          </cell>
          <cell r="U162">
            <v>360.4</v>
          </cell>
          <cell r="V162">
            <v>486.9</v>
          </cell>
          <cell r="W162">
            <v>99.2</v>
          </cell>
          <cell r="X162">
            <v>66.7</v>
          </cell>
          <cell r="Z162">
            <v>1465</v>
          </cell>
          <cell r="AA162">
            <v>81</v>
          </cell>
          <cell r="AB162">
            <v>60.9</v>
          </cell>
          <cell r="AC162">
            <v>96.7</v>
          </cell>
          <cell r="AD162">
            <v>94.6</v>
          </cell>
          <cell r="AE162">
            <v>100</v>
          </cell>
          <cell r="AF162">
            <v>346.3</v>
          </cell>
          <cell r="AG162">
            <v>466</v>
          </cell>
          <cell r="AH162">
            <v>97.5</v>
          </cell>
          <cell r="AI162">
            <v>61.6</v>
          </cell>
        </row>
        <row r="163">
          <cell r="B163" t="str">
            <v>Wiltshire</v>
          </cell>
          <cell r="D163">
            <v>2631</v>
          </cell>
          <cell r="E163">
            <v>75.8</v>
          </cell>
          <cell r="F163">
            <v>53.6</v>
          </cell>
          <cell r="G163">
            <v>95.4</v>
          </cell>
          <cell r="H163">
            <v>89.4</v>
          </cell>
          <cell r="I163">
            <v>99.5</v>
          </cell>
          <cell r="J163">
            <v>330.1</v>
          </cell>
          <cell r="K163">
            <v>438.3</v>
          </cell>
          <cell r="L163">
            <v>91.7</v>
          </cell>
          <cell r="M163">
            <v>54.4</v>
          </cell>
          <cell r="O163">
            <v>2636</v>
          </cell>
          <cell r="P163">
            <v>83.8</v>
          </cell>
          <cell r="Q163">
            <v>68.3</v>
          </cell>
          <cell r="R163">
            <v>97</v>
          </cell>
          <cell r="S163">
            <v>96.1</v>
          </cell>
          <cell r="T163">
            <v>99.5</v>
          </cell>
          <cell r="U163">
            <v>354.7</v>
          </cell>
          <cell r="V163">
            <v>483.1</v>
          </cell>
          <cell r="W163">
            <v>97.2</v>
          </cell>
          <cell r="X163">
            <v>68.900000000000006</v>
          </cell>
          <cell r="Z163">
            <v>5267</v>
          </cell>
          <cell r="AA163">
            <v>79.8</v>
          </cell>
          <cell r="AB163">
            <v>61</v>
          </cell>
          <cell r="AC163">
            <v>96.2</v>
          </cell>
          <cell r="AD163">
            <v>92.8</v>
          </cell>
          <cell r="AE163">
            <v>99.5</v>
          </cell>
          <cell r="AF163">
            <v>342.4</v>
          </cell>
          <cell r="AG163">
            <v>460.7</v>
          </cell>
          <cell r="AH163">
            <v>94.5</v>
          </cell>
          <cell r="AI163">
            <v>61.6</v>
          </cell>
        </row>
        <row r="164">
          <cell r="B164" t="str">
            <v>Total (State-funded sector)1</v>
          </cell>
          <cell r="D164">
            <v>289800</v>
          </cell>
          <cell r="E164">
            <v>79.8</v>
          </cell>
          <cell r="F164">
            <v>55.9</v>
          </cell>
          <cell r="G164">
            <v>95</v>
          </cell>
          <cell r="H164">
            <v>93.2</v>
          </cell>
          <cell r="I164">
            <v>99.2</v>
          </cell>
          <cell r="J164">
            <v>330.8</v>
          </cell>
          <cell r="K164">
            <v>447.6</v>
          </cell>
          <cell r="L164">
            <v>95.9</v>
          </cell>
          <cell r="M164">
            <v>56.7</v>
          </cell>
          <cell r="O164">
            <v>279321</v>
          </cell>
          <cell r="P164">
            <v>86.6</v>
          </cell>
          <cell r="Q164">
            <v>65.900000000000006</v>
          </cell>
          <cell r="R164">
            <v>97</v>
          </cell>
          <cell r="S164">
            <v>95.6</v>
          </cell>
          <cell r="T164">
            <v>99.5</v>
          </cell>
          <cell r="U164">
            <v>354.8</v>
          </cell>
          <cell r="V164">
            <v>491.5</v>
          </cell>
          <cell r="W164">
            <v>97.7</v>
          </cell>
          <cell r="X164">
            <v>66.5</v>
          </cell>
          <cell r="Z164">
            <v>569121</v>
          </cell>
          <cell r="AA164">
            <v>83.1</v>
          </cell>
          <cell r="AB164">
            <v>60.8</v>
          </cell>
          <cell r="AC164">
            <v>96</v>
          </cell>
          <cell r="AD164">
            <v>94.3</v>
          </cell>
          <cell r="AE164">
            <v>99.3</v>
          </cell>
          <cell r="AF164">
            <v>342.5</v>
          </cell>
          <cell r="AG164">
            <v>469.2</v>
          </cell>
          <cell r="AH164">
            <v>96.8</v>
          </cell>
          <cell r="AI164">
            <v>61.5</v>
          </cell>
        </row>
        <row r="165">
          <cell r="B165" t="str">
            <v>London</v>
          </cell>
          <cell r="D165">
            <v>38268</v>
          </cell>
          <cell r="E165">
            <v>81.599999999999994</v>
          </cell>
          <cell r="F165">
            <v>61.1</v>
          </cell>
          <cell r="G165">
            <v>95.4</v>
          </cell>
          <cell r="H165">
            <v>93.9</v>
          </cell>
          <cell r="I165">
            <v>99.1</v>
          </cell>
          <cell r="J165">
            <v>335.9</v>
          </cell>
          <cell r="K165">
            <v>447.2</v>
          </cell>
          <cell r="L165">
            <v>96.3</v>
          </cell>
          <cell r="M165">
            <v>62.1</v>
          </cell>
          <cell r="O165">
            <v>38006</v>
          </cell>
          <cell r="P165">
            <v>87.3</v>
          </cell>
          <cell r="Q165">
            <v>69.099999999999994</v>
          </cell>
          <cell r="R165">
            <v>97.4</v>
          </cell>
          <cell r="S165">
            <v>95.9</v>
          </cell>
          <cell r="T165">
            <v>99.6</v>
          </cell>
          <cell r="U165">
            <v>358.1</v>
          </cell>
          <cell r="V165">
            <v>486.1</v>
          </cell>
          <cell r="W165">
            <v>97.8</v>
          </cell>
          <cell r="X165">
            <v>69.7</v>
          </cell>
          <cell r="Z165">
            <v>76274</v>
          </cell>
          <cell r="AA165">
            <v>84.4</v>
          </cell>
          <cell r="AB165">
            <v>65.099999999999994</v>
          </cell>
          <cell r="AC165">
            <v>96.4</v>
          </cell>
          <cell r="AD165">
            <v>94.9</v>
          </cell>
          <cell r="AE165">
            <v>99.3</v>
          </cell>
          <cell r="AF165">
            <v>347</v>
          </cell>
          <cell r="AG165">
            <v>466.6</v>
          </cell>
          <cell r="AH165">
            <v>97.1</v>
          </cell>
          <cell r="AI165">
            <v>65.900000000000006</v>
          </cell>
        </row>
        <row r="166">
          <cell r="B166" t="str">
            <v>England1</v>
          </cell>
          <cell r="D166">
            <v>323971</v>
          </cell>
          <cell r="E166">
            <v>78</v>
          </cell>
          <cell r="F166">
            <v>53.8</v>
          </cell>
          <cell r="G166">
            <v>92.9</v>
          </cell>
          <cell r="H166">
            <v>88.5</v>
          </cell>
          <cell r="I166">
            <v>99.3</v>
          </cell>
          <cell r="J166">
            <v>326.89999999999998</v>
          </cell>
          <cell r="K166">
            <v>435.9</v>
          </cell>
          <cell r="L166">
            <v>91.7</v>
          </cell>
          <cell r="M166">
            <v>54.7</v>
          </cell>
          <cell r="O166">
            <v>308705</v>
          </cell>
          <cell r="P166">
            <v>85.7</v>
          </cell>
          <cell r="Q166">
            <v>64.8</v>
          </cell>
          <cell r="R166">
            <v>95.8</v>
          </cell>
          <cell r="S166">
            <v>92.5</v>
          </cell>
          <cell r="T166">
            <v>100</v>
          </cell>
          <cell r="U166">
            <v>353.4</v>
          </cell>
          <cell r="V166">
            <v>483.1</v>
          </cell>
          <cell r="W166">
            <v>94.9</v>
          </cell>
          <cell r="X166">
            <v>65.400000000000006</v>
          </cell>
          <cell r="Z166">
            <v>632676</v>
          </cell>
          <cell r="AA166">
            <v>81.8</v>
          </cell>
          <cell r="AB166">
            <v>59.2</v>
          </cell>
          <cell r="AC166">
            <v>94.3</v>
          </cell>
          <cell r="AD166">
            <v>90.5</v>
          </cell>
          <cell r="AE166">
            <v>99.6</v>
          </cell>
          <cell r="AF166">
            <v>339.8</v>
          </cell>
          <cell r="AG166">
            <v>458.9</v>
          </cell>
          <cell r="AH166">
            <v>93.3</v>
          </cell>
          <cell r="AI166">
            <v>59.9</v>
          </cell>
        </row>
        <row r="167">
          <cell r="B167" t="str">
            <v>England1,5</v>
          </cell>
          <cell r="D167">
            <v>323971</v>
          </cell>
          <cell r="E167">
            <v>78</v>
          </cell>
          <cell r="F167">
            <v>53.8</v>
          </cell>
          <cell r="G167">
            <v>92.9</v>
          </cell>
          <cell r="H167">
            <v>88.5</v>
          </cell>
          <cell r="I167">
            <v>99.3</v>
          </cell>
          <cell r="J167">
            <v>326.89999999999998</v>
          </cell>
          <cell r="K167">
            <v>435.9</v>
          </cell>
          <cell r="L167">
            <v>91.7</v>
          </cell>
          <cell r="M167">
            <v>54.7</v>
          </cell>
          <cell r="N167">
            <v>0</v>
          </cell>
          <cell r="O167">
            <v>308705</v>
          </cell>
          <cell r="P167">
            <v>85.7</v>
          </cell>
          <cell r="Q167">
            <v>64.8</v>
          </cell>
          <cell r="R167">
            <v>95.8</v>
          </cell>
          <cell r="S167">
            <v>92.5</v>
          </cell>
          <cell r="T167">
            <v>100</v>
          </cell>
          <cell r="U167">
            <v>353.4</v>
          </cell>
          <cell r="V167">
            <v>483.1</v>
          </cell>
          <cell r="W167">
            <v>94.9</v>
          </cell>
          <cell r="X167">
            <v>65.400000000000006</v>
          </cell>
          <cell r="Y167">
            <v>0</v>
          </cell>
          <cell r="Z167">
            <v>632676</v>
          </cell>
          <cell r="AA167">
            <v>81.8</v>
          </cell>
          <cell r="AB167">
            <v>59.2</v>
          </cell>
          <cell r="AC167">
            <v>94.3</v>
          </cell>
          <cell r="AD167">
            <v>90.5</v>
          </cell>
          <cell r="AE167">
            <v>99.6</v>
          </cell>
          <cell r="AF167">
            <v>339.8</v>
          </cell>
          <cell r="AG167">
            <v>458.9</v>
          </cell>
          <cell r="AH167">
            <v>93.3</v>
          </cell>
          <cell r="AI167">
            <v>59.9</v>
          </cell>
        </row>
        <row r="170">
          <cell r="B170" t="str">
            <v>Boys</v>
          </cell>
        </row>
        <row r="171">
          <cell r="B171" t="str">
            <v>Girls</v>
          </cell>
        </row>
        <row r="172">
          <cell r="B172" t="str">
            <v>All</v>
          </cell>
        </row>
        <row r="175">
          <cell r="B175" t="str">
            <v>5 A*-C grades</v>
          </cell>
        </row>
        <row r="176">
          <cell r="B176" t="str">
            <v>5 A*-C grades inc E&amp;M</v>
          </cell>
        </row>
      </sheetData>
      <sheetData sheetId="12" refreshError="1"/>
      <sheetData sheetId="13">
        <row r="205">
          <cell r="A205" t="str">
            <v>English</v>
          </cell>
        </row>
        <row r="206">
          <cell r="A206" t="str">
            <v>Mathematics</v>
          </cell>
        </row>
      </sheetData>
      <sheetData sheetId="14" refreshError="1"/>
      <sheetData sheetId="15" refreshError="1"/>
      <sheetData sheetId="16" refreshError="1"/>
      <sheetData sheetId="17" refreshError="1"/>
      <sheetData sheetId="18" refreshError="1"/>
      <sheetData sheetId="19" refreshError="1"/>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Table 7"/>
      <sheetName val="Table 8"/>
      <sheetName val="Table 9"/>
      <sheetName val="Table 10a"/>
      <sheetName val="Table 10b"/>
      <sheetName val="Table 11"/>
      <sheetName val="Table 12"/>
      <sheetName val="Table 13"/>
      <sheetName val="Table 14"/>
      <sheetName val="Table 15"/>
      <sheetName val="Table 16 data"/>
      <sheetName val="Table 16"/>
      <sheetName val="Table 17"/>
      <sheetName val="Table 17 data"/>
      <sheetName val="Table 18"/>
      <sheetName val="Table 19"/>
      <sheetName val="Table 19 data"/>
      <sheetName val="Table 20"/>
      <sheetName val="Table 20 data"/>
      <sheetName val="Table 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
          <cell r="B3" t="str">
            <v>North East</v>
          </cell>
          <cell r="D3">
            <v>14623</v>
          </cell>
          <cell r="E3">
            <v>85.5</v>
          </cell>
          <cell r="F3">
            <v>54.7</v>
          </cell>
          <cell r="G3">
            <v>94.3</v>
          </cell>
          <cell r="H3">
            <v>92.4</v>
          </cell>
          <cell r="I3">
            <v>99</v>
          </cell>
          <cell r="J3">
            <v>334.9</v>
          </cell>
          <cell r="K3">
            <v>471.9</v>
          </cell>
          <cell r="L3">
            <v>94.9</v>
          </cell>
          <cell r="M3">
            <v>55.1</v>
          </cell>
          <cell r="O3">
            <v>14171</v>
          </cell>
          <cell r="P3">
            <v>90.4</v>
          </cell>
          <cell r="Q3">
            <v>64.099999999999994</v>
          </cell>
          <cell r="R3">
            <v>96.7</v>
          </cell>
          <cell r="S3">
            <v>95.1</v>
          </cell>
          <cell r="T3">
            <v>99.4</v>
          </cell>
          <cell r="U3">
            <v>358.4</v>
          </cell>
          <cell r="V3">
            <v>516.20000000000005</v>
          </cell>
          <cell r="W3">
            <v>97.4</v>
          </cell>
          <cell r="X3">
            <v>64.400000000000006</v>
          </cell>
          <cell r="Z3">
            <v>28794</v>
          </cell>
          <cell r="AA3">
            <v>87.9</v>
          </cell>
          <cell r="AB3">
            <v>59.3</v>
          </cell>
          <cell r="AC3">
            <v>95.5</v>
          </cell>
          <cell r="AD3">
            <v>93.7</v>
          </cell>
          <cell r="AE3">
            <v>99.2</v>
          </cell>
          <cell r="AF3">
            <v>346.5</v>
          </cell>
          <cell r="AG3">
            <v>493.7</v>
          </cell>
          <cell r="AH3">
            <v>96.2</v>
          </cell>
          <cell r="AI3">
            <v>59.7</v>
          </cell>
        </row>
        <row r="4">
          <cell r="B4" t="str">
            <v>County Durham</v>
          </cell>
          <cell r="D4">
            <v>2785</v>
          </cell>
          <cell r="E4">
            <v>89.1</v>
          </cell>
          <cell r="F4">
            <v>57.7</v>
          </cell>
          <cell r="G4">
            <v>95.4</v>
          </cell>
          <cell r="H4">
            <v>94.1</v>
          </cell>
          <cell r="I4">
            <v>99.5</v>
          </cell>
          <cell r="J4">
            <v>343.8</v>
          </cell>
          <cell r="K4">
            <v>490.4</v>
          </cell>
          <cell r="L4">
            <v>95.6</v>
          </cell>
          <cell r="M4">
            <v>58</v>
          </cell>
          <cell r="O4">
            <v>2684</v>
          </cell>
          <cell r="P4">
            <v>93.7</v>
          </cell>
          <cell r="Q4">
            <v>68.599999999999994</v>
          </cell>
          <cell r="R4">
            <v>97.7</v>
          </cell>
          <cell r="S4">
            <v>96.6</v>
          </cell>
          <cell r="T4">
            <v>99.9</v>
          </cell>
          <cell r="U4">
            <v>369.8</v>
          </cell>
          <cell r="V4">
            <v>543.1</v>
          </cell>
          <cell r="W4">
            <v>98</v>
          </cell>
          <cell r="X4">
            <v>68.8</v>
          </cell>
          <cell r="Z4">
            <v>5469</v>
          </cell>
          <cell r="AA4">
            <v>91.4</v>
          </cell>
          <cell r="AB4">
            <v>63.1</v>
          </cell>
          <cell r="AC4">
            <v>96.6</v>
          </cell>
          <cell r="AD4">
            <v>95.4</v>
          </cell>
          <cell r="AE4">
            <v>99.7</v>
          </cell>
          <cell r="AF4">
            <v>356.5</v>
          </cell>
          <cell r="AG4">
            <v>516.29999999999995</v>
          </cell>
          <cell r="AH4">
            <v>96.8</v>
          </cell>
          <cell r="AI4">
            <v>63.3</v>
          </cell>
        </row>
        <row r="5">
          <cell r="B5" t="str">
            <v>Darlington</v>
          </cell>
          <cell r="D5">
            <v>600</v>
          </cell>
          <cell r="E5">
            <v>88</v>
          </cell>
          <cell r="F5">
            <v>59.8</v>
          </cell>
          <cell r="G5">
            <v>94.7</v>
          </cell>
          <cell r="H5">
            <v>93.5</v>
          </cell>
          <cell r="I5">
            <v>99.7</v>
          </cell>
          <cell r="J5">
            <v>343</v>
          </cell>
          <cell r="K5">
            <v>486.4</v>
          </cell>
          <cell r="L5">
            <v>96.2</v>
          </cell>
          <cell r="M5">
            <v>60</v>
          </cell>
          <cell r="O5">
            <v>558</v>
          </cell>
          <cell r="P5">
            <v>92.7</v>
          </cell>
          <cell r="Q5">
            <v>70.099999999999994</v>
          </cell>
          <cell r="R5">
            <v>96.8</v>
          </cell>
          <cell r="S5">
            <v>95.5</v>
          </cell>
          <cell r="T5">
            <v>99.6</v>
          </cell>
          <cell r="U5">
            <v>364.6</v>
          </cell>
          <cell r="V5">
            <v>516.1</v>
          </cell>
          <cell r="W5">
            <v>97.8</v>
          </cell>
          <cell r="X5">
            <v>70.3</v>
          </cell>
          <cell r="Z5">
            <v>1158</v>
          </cell>
          <cell r="AA5">
            <v>90.2</v>
          </cell>
          <cell r="AB5">
            <v>64.8</v>
          </cell>
          <cell r="AC5">
            <v>95.7</v>
          </cell>
          <cell r="AD5">
            <v>94.5</v>
          </cell>
          <cell r="AE5">
            <v>99.7</v>
          </cell>
          <cell r="AF5">
            <v>353.4</v>
          </cell>
          <cell r="AG5">
            <v>500.7</v>
          </cell>
          <cell r="AH5">
            <v>97</v>
          </cell>
          <cell r="AI5">
            <v>64.900000000000006</v>
          </cell>
        </row>
        <row r="6">
          <cell r="B6" t="str">
            <v>Gateshead</v>
          </cell>
          <cell r="D6">
            <v>1099</v>
          </cell>
          <cell r="E6">
            <v>87.9</v>
          </cell>
          <cell r="F6">
            <v>56.9</v>
          </cell>
          <cell r="G6">
            <v>93.4</v>
          </cell>
          <cell r="H6">
            <v>92.5</v>
          </cell>
          <cell r="I6">
            <v>98.9</v>
          </cell>
          <cell r="J6">
            <v>337.5</v>
          </cell>
          <cell r="K6">
            <v>476.2</v>
          </cell>
          <cell r="L6">
            <v>95.6</v>
          </cell>
          <cell r="M6">
            <v>57.1</v>
          </cell>
          <cell r="O6">
            <v>1076</v>
          </cell>
          <cell r="P6">
            <v>92.8</v>
          </cell>
          <cell r="Q6">
            <v>66.7</v>
          </cell>
          <cell r="R6">
            <v>96.3</v>
          </cell>
          <cell r="S6">
            <v>95.2</v>
          </cell>
          <cell r="T6">
            <v>99.4</v>
          </cell>
          <cell r="U6">
            <v>361.9</v>
          </cell>
          <cell r="V6">
            <v>521.20000000000005</v>
          </cell>
          <cell r="W6">
            <v>97.3</v>
          </cell>
          <cell r="X6">
            <v>67</v>
          </cell>
          <cell r="Z6">
            <v>2175</v>
          </cell>
          <cell r="AA6">
            <v>90.3</v>
          </cell>
          <cell r="AB6">
            <v>61.7</v>
          </cell>
          <cell r="AC6">
            <v>94.9</v>
          </cell>
          <cell r="AD6">
            <v>93.8</v>
          </cell>
          <cell r="AE6">
            <v>99.2</v>
          </cell>
          <cell r="AF6">
            <v>349.6</v>
          </cell>
          <cell r="AG6">
            <v>498.4</v>
          </cell>
          <cell r="AH6">
            <v>96.5</v>
          </cell>
          <cell r="AI6">
            <v>62</v>
          </cell>
        </row>
        <row r="7">
          <cell r="B7" t="str">
            <v>Hartlepool</v>
          </cell>
          <cell r="D7">
            <v>582</v>
          </cell>
          <cell r="E7">
            <v>74.400000000000006</v>
          </cell>
          <cell r="F7">
            <v>53.4</v>
          </cell>
          <cell r="G7">
            <v>93.5</v>
          </cell>
          <cell r="H7">
            <v>91.6</v>
          </cell>
          <cell r="I7">
            <v>99.7</v>
          </cell>
          <cell r="J7">
            <v>316.39999999999998</v>
          </cell>
          <cell r="K7">
            <v>412.7</v>
          </cell>
          <cell r="L7">
            <v>95.5</v>
          </cell>
          <cell r="M7">
            <v>54.5</v>
          </cell>
          <cell r="O7">
            <v>585</v>
          </cell>
          <cell r="P7">
            <v>86.5</v>
          </cell>
          <cell r="Q7">
            <v>64.400000000000006</v>
          </cell>
          <cell r="R7">
            <v>97.4</v>
          </cell>
          <cell r="S7">
            <v>96.9</v>
          </cell>
          <cell r="T7">
            <v>100</v>
          </cell>
          <cell r="U7">
            <v>352.5</v>
          </cell>
          <cell r="V7">
            <v>473.4</v>
          </cell>
          <cell r="W7">
            <v>98.3</v>
          </cell>
          <cell r="X7">
            <v>65.5</v>
          </cell>
          <cell r="Z7">
            <v>1167</v>
          </cell>
          <cell r="AA7">
            <v>80.5</v>
          </cell>
          <cell r="AB7">
            <v>59</v>
          </cell>
          <cell r="AC7">
            <v>95.5</v>
          </cell>
          <cell r="AD7">
            <v>94.3</v>
          </cell>
          <cell r="AE7">
            <v>99.8</v>
          </cell>
          <cell r="AF7">
            <v>334.5</v>
          </cell>
          <cell r="AG7">
            <v>443.1</v>
          </cell>
          <cell r="AH7">
            <v>96.9</v>
          </cell>
          <cell r="AI7">
            <v>60</v>
          </cell>
        </row>
        <row r="8">
          <cell r="B8" t="str">
            <v>Middlesbrough</v>
          </cell>
          <cell r="D8">
            <v>758</v>
          </cell>
          <cell r="E8">
            <v>83.1</v>
          </cell>
          <cell r="F8">
            <v>47.9</v>
          </cell>
          <cell r="G8">
            <v>94.3</v>
          </cell>
          <cell r="H8">
            <v>90.1</v>
          </cell>
          <cell r="I8">
            <v>98</v>
          </cell>
          <cell r="J8">
            <v>325.39999999999998</v>
          </cell>
          <cell r="K8">
            <v>450.5</v>
          </cell>
          <cell r="L8">
            <v>93.5</v>
          </cell>
          <cell r="M8">
            <v>48.2</v>
          </cell>
          <cell r="O8">
            <v>752</v>
          </cell>
          <cell r="P8">
            <v>84</v>
          </cell>
          <cell r="Q8">
            <v>52.7</v>
          </cell>
          <cell r="R8">
            <v>94.4</v>
          </cell>
          <cell r="S8">
            <v>90.7</v>
          </cell>
          <cell r="T8">
            <v>98.9</v>
          </cell>
          <cell r="U8">
            <v>339.6</v>
          </cell>
          <cell r="V8">
            <v>473.5</v>
          </cell>
          <cell r="W8">
            <v>95.9</v>
          </cell>
          <cell r="X8">
            <v>52.9</v>
          </cell>
          <cell r="Z8">
            <v>1510</v>
          </cell>
          <cell r="AA8">
            <v>83.6</v>
          </cell>
          <cell r="AB8">
            <v>50.3</v>
          </cell>
          <cell r="AC8">
            <v>94.4</v>
          </cell>
          <cell r="AD8">
            <v>90.4</v>
          </cell>
          <cell r="AE8">
            <v>98.5</v>
          </cell>
          <cell r="AF8">
            <v>332.5</v>
          </cell>
          <cell r="AG8">
            <v>462</v>
          </cell>
          <cell r="AH8">
            <v>94.7</v>
          </cell>
          <cell r="AI8">
            <v>50.5</v>
          </cell>
        </row>
        <row r="9">
          <cell r="B9" t="str">
            <v>Newcastle upon Tyne</v>
          </cell>
          <cell r="D9">
            <v>1319</v>
          </cell>
          <cell r="E9">
            <v>88.6</v>
          </cell>
          <cell r="F9">
            <v>52.8</v>
          </cell>
          <cell r="G9">
            <v>93.6</v>
          </cell>
          <cell r="H9">
            <v>91.4</v>
          </cell>
          <cell r="I9">
            <v>99.2</v>
          </cell>
          <cell r="J9">
            <v>331.6</v>
          </cell>
          <cell r="K9">
            <v>464.8</v>
          </cell>
          <cell r="L9">
            <v>94</v>
          </cell>
          <cell r="M9">
            <v>52.9</v>
          </cell>
          <cell r="O9">
            <v>1259</v>
          </cell>
          <cell r="P9">
            <v>92.1</v>
          </cell>
          <cell r="Q9">
            <v>62.1</v>
          </cell>
          <cell r="R9">
            <v>95.6</v>
          </cell>
          <cell r="S9">
            <v>93.8</v>
          </cell>
          <cell r="T9">
            <v>99.2</v>
          </cell>
          <cell r="U9">
            <v>353.2</v>
          </cell>
          <cell r="V9">
            <v>512.79999999999995</v>
          </cell>
          <cell r="W9">
            <v>96.7</v>
          </cell>
          <cell r="X9">
            <v>62.6</v>
          </cell>
          <cell r="Z9">
            <v>2578</v>
          </cell>
          <cell r="AA9">
            <v>90.3</v>
          </cell>
          <cell r="AB9">
            <v>57.3</v>
          </cell>
          <cell r="AC9">
            <v>94.5</v>
          </cell>
          <cell r="AD9">
            <v>92.6</v>
          </cell>
          <cell r="AE9">
            <v>99.2</v>
          </cell>
          <cell r="AF9">
            <v>342.1</v>
          </cell>
          <cell r="AG9">
            <v>488.3</v>
          </cell>
          <cell r="AH9">
            <v>95.3</v>
          </cell>
          <cell r="AI9">
            <v>57.6</v>
          </cell>
        </row>
        <row r="10">
          <cell r="B10" t="str">
            <v>North Tyneside</v>
          </cell>
          <cell r="D10">
            <v>1110</v>
          </cell>
          <cell r="E10">
            <v>87.7</v>
          </cell>
          <cell r="F10">
            <v>61.4</v>
          </cell>
          <cell r="G10">
            <v>95.4</v>
          </cell>
          <cell r="H10">
            <v>93.7</v>
          </cell>
          <cell r="I10">
            <v>99.4</v>
          </cell>
          <cell r="J10">
            <v>340</v>
          </cell>
          <cell r="K10">
            <v>480.1</v>
          </cell>
          <cell r="L10">
            <v>94.8</v>
          </cell>
          <cell r="M10">
            <v>61.6</v>
          </cell>
          <cell r="O10">
            <v>1041</v>
          </cell>
          <cell r="P10">
            <v>92.6</v>
          </cell>
          <cell r="Q10">
            <v>68.5</v>
          </cell>
          <cell r="R10">
            <v>97.3</v>
          </cell>
          <cell r="S10">
            <v>95.7</v>
          </cell>
          <cell r="T10">
            <v>99.2</v>
          </cell>
          <cell r="U10">
            <v>362.2</v>
          </cell>
          <cell r="V10">
            <v>524.5</v>
          </cell>
          <cell r="W10">
            <v>97.2</v>
          </cell>
          <cell r="X10">
            <v>68.8</v>
          </cell>
          <cell r="Z10">
            <v>2151</v>
          </cell>
          <cell r="AA10">
            <v>90.1</v>
          </cell>
          <cell r="AB10">
            <v>64.8</v>
          </cell>
          <cell r="AC10">
            <v>96.3</v>
          </cell>
          <cell r="AD10">
            <v>94.7</v>
          </cell>
          <cell r="AE10">
            <v>99.3</v>
          </cell>
          <cell r="AF10">
            <v>350.8</v>
          </cell>
          <cell r="AG10">
            <v>501.6</v>
          </cell>
          <cell r="AH10">
            <v>96</v>
          </cell>
          <cell r="AI10">
            <v>65.099999999999994</v>
          </cell>
        </row>
        <row r="11">
          <cell r="B11" t="str">
            <v>Northumberland</v>
          </cell>
          <cell r="D11">
            <v>1814</v>
          </cell>
          <cell r="E11">
            <v>80.400000000000006</v>
          </cell>
          <cell r="F11">
            <v>49.8</v>
          </cell>
          <cell r="G11">
            <v>92.6</v>
          </cell>
          <cell r="H11">
            <v>91.8</v>
          </cell>
          <cell r="I11">
            <v>98.1</v>
          </cell>
          <cell r="J11">
            <v>330.9</v>
          </cell>
          <cell r="K11">
            <v>459.2</v>
          </cell>
          <cell r="L11">
            <v>94.4</v>
          </cell>
          <cell r="M11">
            <v>50.1</v>
          </cell>
          <cell r="O11">
            <v>1774</v>
          </cell>
          <cell r="P11">
            <v>87.9</v>
          </cell>
          <cell r="Q11">
            <v>60.7</v>
          </cell>
          <cell r="R11">
            <v>95.9</v>
          </cell>
          <cell r="S11">
            <v>95</v>
          </cell>
          <cell r="T11">
            <v>99</v>
          </cell>
          <cell r="U11">
            <v>355.6</v>
          </cell>
          <cell r="V11">
            <v>498.7</v>
          </cell>
          <cell r="W11">
            <v>97.2</v>
          </cell>
          <cell r="X11">
            <v>60.9</v>
          </cell>
          <cell r="Z11">
            <v>3588</v>
          </cell>
          <cell r="AA11">
            <v>84.1</v>
          </cell>
          <cell r="AB11">
            <v>55.2</v>
          </cell>
          <cell r="AC11">
            <v>94.3</v>
          </cell>
          <cell r="AD11">
            <v>93.4</v>
          </cell>
          <cell r="AE11">
            <v>98.6</v>
          </cell>
          <cell r="AF11">
            <v>343.1</v>
          </cell>
          <cell r="AG11">
            <v>478.7</v>
          </cell>
          <cell r="AH11">
            <v>95.8</v>
          </cell>
          <cell r="AI11">
            <v>55.5</v>
          </cell>
        </row>
        <row r="12">
          <cell r="B12" t="str">
            <v>Redcar and Cleveland</v>
          </cell>
          <cell r="D12">
            <v>931</v>
          </cell>
          <cell r="E12">
            <v>79.900000000000006</v>
          </cell>
          <cell r="F12">
            <v>51.3</v>
          </cell>
          <cell r="G12">
            <v>92.7</v>
          </cell>
          <cell r="H12">
            <v>90.7</v>
          </cell>
          <cell r="I12">
            <v>97.9</v>
          </cell>
          <cell r="J12">
            <v>320.7</v>
          </cell>
          <cell r="K12">
            <v>444</v>
          </cell>
          <cell r="L12">
            <v>94.7</v>
          </cell>
          <cell r="M12">
            <v>51.7</v>
          </cell>
          <cell r="O12">
            <v>915</v>
          </cell>
          <cell r="P12">
            <v>86.7</v>
          </cell>
          <cell r="Q12">
            <v>59</v>
          </cell>
          <cell r="R12">
            <v>97</v>
          </cell>
          <cell r="S12">
            <v>96.1</v>
          </cell>
          <cell r="T12">
            <v>99.1</v>
          </cell>
          <cell r="U12">
            <v>352</v>
          </cell>
          <cell r="V12">
            <v>502.4</v>
          </cell>
          <cell r="W12">
            <v>98.3</v>
          </cell>
          <cell r="X12">
            <v>59.2</v>
          </cell>
          <cell r="Z12">
            <v>1846</v>
          </cell>
          <cell r="AA12">
            <v>83.3</v>
          </cell>
          <cell r="AB12">
            <v>55.1</v>
          </cell>
          <cell r="AC12">
            <v>94.9</v>
          </cell>
          <cell r="AD12">
            <v>93.3</v>
          </cell>
          <cell r="AE12">
            <v>98.5</v>
          </cell>
          <cell r="AF12">
            <v>336.2</v>
          </cell>
          <cell r="AG12">
            <v>472.9</v>
          </cell>
          <cell r="AH12">
            <v>96.5</v>
          </cell>
          <cell r="AI12">
            <v>55.4</v>
          </cell>
        </row>
        <row r="13">
          <cell r="B13" t="str">
            <v>South Tyneside</v>
          </cell>
          <cell r="D13">
            <v>886</v>
          </cell>
          <cell r="E13">
            <v>90.4</v>
          </cell>
          <cell r="F13">
            <v>54</v>
          </cell>
          <cell r="G13">
            <v>96.4</v>
          </cell>
          <cell r="H13">
            <v>94.1</v>
          </cell>
          <cell r="I13">
            <v>99.4</v>
          </cell>
          <cell r="J13">
            <v>348</v>
          </cell>
          <cell r="K13">
            <v>502</v>
          </cell>
          <cell r="L13">
            <v>96</v>
          </cell>
          <cell r="M13">
            <v>54.4</v>
          </cell>
          <cell r="O13">
            <v>850</v>
          </cell>
          <cell r="P13">
            <v>95.6</v>
          </cell>
          <cell r="Q13">
            <v>64.7</v>
          </cell>
          <cell r="R13">
            <v>98.7</v>
          </cell>
          <cell r="S13">
            <v>96.4</v>
          </cell>
          <cell r="T13">
            <v>99.4</v>
          </cell>
          <cell r="U13">
            <v>375.1</v>
          </cell>
          <cell r="V13">
            <v>552.79999999999995</v>
          </cell>
          <cell r="W13">
            <v>98</v>
          </cell>
          <cell r="X13">
            <v>64.7</v>
          </cell>
          <cell r="Z13">
            <v>1736</v>
          </cell>
          <cell r="AA13">
            <v>93</v>
          </cell>
          <cell r="AB13">
            <v>59.2</v>
          </cell>
          <cell r="AC13">
            <v>97.5</v>
          </cell>
          <cell r="AD13">
            <v>95.2</v>
          </cell>
          <cell r="AE13">
            <v>99.4</v>
          </cell>
          <cell r="AF13">
            <v>361.2</v>
          </cell>
          <cell r="AG13">
            <v>526.9</v>
          </cell>
          <cell r="AH13">
            <v>97</v>
          </cell>
          <cell r="AI13">
            <v>59.4</v>
          </cell>
        </row>
        <row r="14">
          <cell r="B14" t="str">
            <v>Stockton-on-Tees</v>
          </cell>
          <cell r="D14">
            <v>1130</v>
          </cell>
          <cell r="E14">
            <v>79</v>
          </cell>
          <cell r="F14">
            <v>54.1</v>
          </cell>
          <cell r="G14">
            <v>93.9</v>
          </cell>
          <cell r="H14">
            <v>91.5</v>
          </cell>
          <cell r="I14">
            <v>99.7</v>
          </cell>
          <cell r="J14">
            <v>330.7</v>
          </cell>
          <cell r="K14">
            <v>465.1</v>
          </cell>
          <cell r="L14">
            <v>93.2</v>
          </cell>
          <cell r="M14">
            <v>55</v>
          </cell>
          <cell r="O14">
            <v>1052</v>
          </cell>
          <cell r="P14">
            <v>83.7</v>
          </cell>
          <cell r="Q14">
            <v>61</v>
          </cell>
          <cell r="R14">
            <v>96</v>
          </cell>
          <cell r="S14">
            <v>93.2</v>
          </cell>
          <cell r="T14">
            <v>99.8</v>
          </cell>
          <cell r="U14">
            <v>345.7</v>
          </cell>
          <cell r="V14">
            <v>494.5</v>
          </cell>
          <cell r="W14">
            <v>96.5</v>
          </cell>
          <cell r="X14">
            <v>61.6</v>
          </cell>
          <cell r="Z14">
            <v>2182</v>
          </cell>
          <cell r="AA14">
            <v>81.3</v>
          </cell>
          <cell r="AB14">
            <v>57.4</v>
          </cell>
          <cell r="AC14">
            <v>94.9</v>
          </cell>
          <cell r="AD14">
            <v>92.3</v>
          </cell>
          <cell r="AE14">
            <v>99.8</v>
          </cell>
          <cell r="AF14">
            <v>337.9</v>
          </cell>
          <cell r="AG14">
            <v>479.3</v>
          </cell>
          <cell r="AH14">
            <v>94.8</v>
          </cell>
          <cell r="AI14">
            <v>58.2</v>
          </cell>
        </row>
        <row r="15">
          <cell r="B15" t="str">
            <v>Sunderland</v>
          </cell>
          <cell r="D15">
            <v>1609</v>
          </cell>
          <cell r="E15">
            <v>88.3</v>
          </cell>
          <cell r="F15">
            <v>55.2</v>
          </cell>
          <cell r="G15">
            <v>94.5</v>
          </cell>
          <cell r="H15">
            <v>91.9</v>
          </cell>
          <cell r="I15">
            <v>98.9</v>
          </cell>
          <cell r="J15">
            <v>334</v>
          </cell>
          <cell r="K15">
            <v>481.7</v>
          </cell>
          <cell r="L15">
            <v>95.6</v>
          </cell>
          <cell r="M15">
            <v>55.6</v>
          </cell>
          <cell r="O15">
            <v>1625</v>
          </cell>
          <cell r="P15">
            <v>90.6</v>
          </cell>
          <cell r="Q15">
            <v>65</v>
          </cell>
          <cell r="R15">
            <v>96.6</v>
          </cell>
          <cell r="S15">
            <v>94.3</v>
          </cell>
          <cell r="T15">
            <v>99.4</v>
          </cell>
          <cell r="U15">
            <v>354</v>
          </cell>
          <cell r="V15">
            <v>523.1</v>
          </cell>
          <cell r="W15">
            <v>97.6</v>
          </cell>
          <cell r="X15">
            <v>65.599999999999994</v>
          </cell>
          <cell r="Z15">
            <v>3234</v>
          </cell>
          <cell r="AA15">
            <v>89.5</v>
          </cell>
          <cell r="AB15">
            <v>60.1</v>
          </cell>
          <cell r="AC15">
            <v>95.5</v>
          </cell>
          <cell r="AD15">
            <v>93.1</v>
          </cell>
          <cell r="AE15">
            <v>99.1</v>
          </cell>
          <cell r="AF15">
            <v>344</v>
          </cell>
          <cell r="AG15">
            <v>502.5</v>
          </cell>
          <cell r="AH15">
            <v>96.6</v>
          </cell>
          <cell r="AI15">
            <v>60.6</v>
          </cell>
        </row>
        <row r="16">
          <cell r="B16" t="str">
            <v>North West</v>
          </cell>
          <cell r="D16">
            <v>40913</v>
          </cell>
          <cell r="E16">
            <v>80</v>
          </cell>
          <cell r="F16">
            <v>54.5</v>
          </cell>
          <cell r="G16">
            <v>94.9</v>
          </cell>
          <cell r="H16">
            <v>93.1</v>
          </cell>
          <cell r="I16">
            <v>99.2</v>
          </cell>
          <cell r="J16">
            <v>328.5</v>
          </cell>
          <cell r="K16">
            <v>437.8</v>
          </cell>
          <cell r="L16">
            <v>96.1</v>
          </cell>
          <cell r="M16">
            <v>55.4</v>
          </cell>
          <cell r="O16">
            <v>39332</v>
          </cell>
          <cell r="P16">
            <v>87</v>
          </cell>
          <cell r="Q16">
            <v>65.5</v>
          </cell>
          <cell r="R16">
            <v>96.7</v>
          </cell>
          <cell r="S16">
            <v>95.3</v>
          </cell>
          <cell r="T16">
            <v>99.4</v>
          </cell>
          <cell r="U16">
            <v>352.4</v>
          </cell>
          <cell r="V16">
            <v>481.1</v>
          </cell>
          <cell r="W16">
            <v>97.7</v>
          </cell>
          <cell r="X16">
            <v>66.099999999999994</v>
          </cell>
          <cell r="Z16">
            <v>80245</v>
          </cell>
          <cell r="AA16">
            <v>83.5</v>
          </cell>
          <cell r="AB16">
            <v>59.9</v>
          </cell>
          <cell r="AC16">
            <v>95.8</v>
          </cell>
          <cell r="AD16">
            <v>94.2</v>
          </cell>
          <cell r="AE16">
            <v>99.3</v>
          </cell>
          <cell r="AF16">
            <v>340.2</v>
          </cell>
          <cell r="AG16">
            <v>459</v>
          </cell>
          <cell r="AH16">
            <v>96.9</v>
          </cell>
          <cell r="AI16">
            <v>60.7</v>
          </cell>
        </row>
        <row r="17">
          <cell r="B17" t="str">
            <v>Blackburn with Darwen</v>
          </cell>
          <cell r="D17">
            <v>904</v>
          </cell>
          <cell r="E17">
            <v>74.099999999999994</v>
          </cell>
          <cell r="F17">
            <v>52.5</v>
          </cell>
          <cell r="G17">
            <v>95.5</v>
          </cell>
          <cell r="H17">
            <v>93.5</v>
          </cell>
          <cell r="I17">
            <v>99.1</v>
          </cell>
          <cell r="J17">
            <v>319.2</v>
          </cell>
          <cell r="K17">
            <v>392.1</v>
          </cell>
          <cell r="L17">
            <v>95.5</v>
          </cell>
          <cell r="M17">
            <v>54.9</v>
          </cell>
          <cell r="O17">
            <v>877</v>
          </cell>
          <cell r="P17">
            <v>82.9</v>
          </cell>
          <cell r="Q17">
            <v>66.7</v>
          </cell>
          <cell r="R17">
            <v>96.8</v>
          </cell>
          <cell r="S17">
            <v>95.4</v>
          </cell>
          <cell r="T17">
            <v>99.2</v>
          </cell>
          <cell r="U17">
            <v>345.8</v>
          </cell>
          <cell r="V17">
            <v>441.6</v>
          </cell>
          <cell r="W17">
            <v>96.8</v>
          </cell>
          <cell r="X17">
            <v>67.7</v>
          </cell>
          <cell r="Z17">
            <v>1781</v>
          </cell>
          <cell r="AA17">
            <v>78.400000000000006</v>
          </cell>
          <cell r="AB17">
            <v>59.5</v>
          </cell>
          <cell r="AC17">
            <v>96.1</v>
          </cell>
          <cell r="AD17">
            <v>94.4</v>
          </cell>
          <cell r="AE17">
            <v>99.2</v>
          </cell>
          <cell r="AF17">
            <v>332.3</v>
          </cell>
          <cell r="AG17">
            <v>416.4</v>
          </cell>
          <cell r="AH17">
            <v>96.1</v>
          </cell>
          <cell r="AI17">
            <v>61.2</v>
          </cell>
        </row>
        <row r="18">
          <cell r="B18" t="str">
            <v>Blackpool</v>
          </cell>
          <cell r="D18">
            <v>825</v>
          </cell>
          <cell r="E18">
            <v>73.599999999999994</v>
          </cell>
          <cell r="F18">
            <v>41.3</v>
          </cell>
          <cell r="G18">
            <v>93.7</v>
          </cell>
          <cell r="H18">
            <v>90.8</v>
          </cell>
          <cell r="I18">
            <v>98.7</v>
          </cell>
          <cell r="J18">
            <v>315.10000000000002</v>
          </cell>
          <cell r="K18">
            <v>413.2</v>
          </cell>
          <cell r="L18">
            <v>93.5</v>
          </cell>
          <cell r="M18">
            <v>41.7</v>
          </cell>
          <cell r="O18">
            <v>828</v>
          </cell>
          <cell r="P18">
            <v>84.9</v>
          </cell>
          <cell r="Q18">
            <v>50.8</v>
          </cell>
          <cell r="R18">
            <v>96.4</v>
          </cell>
          <cell r="S18">
            <v>93.4</v>
          </cell>
          <cell r="T18">
            <v>99.2</v>
          </cell>
          <cell r="U18">
            <v>346</v>
          </cell>
          <cell r="V18">
            <v>482.5</v>
          </cell>
          <cell r="W18">
            <v>96.3</v>
          </cell>
          <cell r="X18">
            <v>51.2</v>
          </cell>
          <cell r="Z18">
            <v>1653</v>
          </cell>
          <cell r="AA18">
            <v>79.2</v>
          </cell>
          <cell r="AB18">
            <v>46.1</v>
          </cell>
          <cell r="AC18">
            <v>95</v>
          </cell>
          <cell r="AD18">
            <v>92.1</v>
          </cell>
          <cell r="AE18">
            <v>98.9</v>
          </cell>
          <cell r="AF18">
            <v>330.6</v>
          </cell>
          <cell r="AG18">
            <v>447.9</v>
          </cell>
          <cell r="AH18">
            <v>94.9</v>
          </cell>
          <cell r="AI18">
            <v>46.5</v>
          </cell>
        </row>
        <row r="19">
          <cell r="B19" t="str">
            <v>Bolton</v>
          </cell>
          <cell r="D19">
            <v>1808</v>
          </cell>
          <cell r="E19">
            <v>81.900000000000006</v>
          </cell>
          <cell r="F19">
            <v>53.9</v>
          </cell>
          <cell r="G19">
            <v>95.1</v>
          </cell>
          <cell r="H19">
            <v>93.2</v>
          </cell>
          <cell r="I19">
            <v>99.6</v>
          </cell>
          <cell r="J19">
            <v>326</v>
          </cell>
          <cell r="K19">
            <v>428.7</v>
          </cell>
          <cell r="L19">
            <v>97.3</v>
          </cell>
          <cell r="M19">
            <v>55</v>
          </cell>
          <cell r="O19">
            <v>1714</v>
          </cell>
          <cell r="P19">
            <v>89.9</v>
          </cell>
          <cell r="Q19">
            <v>67.900000000000006</v>
          </cell>
          <cell r="R19">
            <v>97.5</v>
          </cell>
          <cell r="S19">
            <v>95.9</v>
          </cell>
          <cell r="T19">
            <v>99.7</v>
          </cell>
          <cell r="U19">
            <v>356.1</v>
          </cell>
          <cell r="V19">
            <v>489.2</v>
          </cell>
          <cell r="W19">
            <v>98</v>
          </cell>
          <cell r="X19">
            <v>68.400000000000006</v>
          </cell>
          <cell r="Z19">
            <v>3522</v>
          </cell>
          <cell r="AA19">
            <v>85.8</v>
          </cell>
          <cell r="AB19">
            <v>60.7</v>
          </cell>
          <cell r="AC19">
            <v>96.3</v>
          </cell>
          <cell r="AD19">
            <v>94.5</v>
          </cell>
          <cell r="AE19">
            <v>99.6</v>
          </cell>
          <cell r="AF19">
            <v>340.7</v>
          </cell>
          <cell r="AG19">
            <v>458.1</v>
          </cell>
          <cell r="AH19">
            <v>97.6</v>
          </cell>
          <cell r="AI19">
            <v>61.5</v>
          </cell>
        </row>
        <row r="20">
          <cell r="B20" t="str">
            <v>Bury</v>
          </cell>
          <cell r="D20">
            <v>1115</v>
          </cell>
          <cell r="E20">
            <v>79.900000000000006</v>
          </cell>
          <cell r="F20">
            <v>57.5</v>
          </cell>
          <cell r="G20">
            <v>96.8</v>
          </cell>
          <cell r="H20">
            <v>96.1</v>
          </cell>
          <cell r="I20">
            <v>99.9</v>
          </cell>
          <cell r="J20">
            <v>334.2</v>
          </cell>
          <cell r="K20">
            <v>450.4</v>
          </cell>
          <cell r="L20">
            <v>96.8</v>
          </cell>
          <cell r="M20">
            <v>57.9</v>
          </cell>
          <cell r="O20">
            <v>1084</v>
          </cell>
          <cell r="P20">
            <v>86.7</v>
          </cell>
          <cell r="Q20">
            <v>67.2</v>
          </cell>
          <cell r="R20">
            <v>98.6</v>
          </cell>
          <cell r="S20">
            <v>97.8</v>
          </cell>
          <cell r="T20">
            <v>99.9</v>
          </cell>
          <cell r="U20">
            <v>355.8</v>
          </cell>
          <cell r="V20">
            <v>487.6</v>
          </cell>
          <cell r="W20">
            <v>98.5</v>
          </cell>
          <cell r="X20">
            <v>67.5</v>
          </cell>
          <cell r="Z20">
            <v>2199</v>
          </cell>
          <cell r="AA20">
            <v>83.3</v>
          </cell>
          <cell r="AB20">
            <v>62.3</v>
          </cell>
          <cell r="AC20">
            <v>97.7</v>
          </cell>
          <cell r="AD20">
            <v>96.9</v>
          </cell>
          <cell r="AE20">
            <v>99.9</v>
          </cell>
          <cell r="AF20">
            <v>344.8</v>
          </cell>
          <cell r="AG20">
            <v>468.8</v>
          </cell>
          <cell r="AH20">
            <v>97.6</v>
          </cell>
          <cell r="AI20">
            <v>62.7</v>
          </cell>
        </row>
        <row r="21">
          <cell r="B21" t="str">
            <v>Cheshire East</v>
          </cell>
          <cell r="D21">
            <v>2114</v>
          </cell>
          <cell r="E21">
            <v>79.3</v>
          </cell>
          <cell r="F21">
            <v>56.1</v>
          </cell>
          <cell r="G21">
            <v>96.8</v>
          </cell>
          <cell r="H21">
            <v>94</v>
          </cell>
          <cell r="I21">
            <v>99.4</v>
          </cell>
          <cell r="J21">
            <v>338.6</v>
          </cell>
          <cell r="K21">
            <v>464.4</v>
          </cell>
          <cell r="L21">
            <v>98.2</v>
          </cell>
          <cell r="M21">
            <v>56.6</v>
          </cell>
          <cell r="O21">
            <v>1994</v>
          </cell>
          <cell r="P21">
            <v>89.3</v>
          </cell>
          <cell r="Q21">
            <v>69</v>
          </cell>
          <cell r="R21">
            <v>98.1</v>
          </cell>
          <cell r="S21">
            <v>97.3</v>
          </cell>
          <cell r="T21">
            <v>99.8</v>
          </cell>
          <cell r="U21">
            <v>364</v>
          </cell>
          <cell r="V21">
            <v>520.70000000000005</v>
          </cell>
          <cell r="W21">
            <v>99.4</v>
          </cell>
          <cell r="X21">
            <v>69.5</v>
          </cell>
          <cell r="Z21">
            <v>4108</v>
          </cell>
          <cell r="AA21">
            <v>84.2</v>
          </cell>
          <cell r="AB21">
            <v>62.4</v>
          </cell>
          <cell r="AC21">
            <v>97.5</v>
          </cell>
          <cell r="AD21">
            <v>95.6</v>
          </cell>
          <cell r="AE21">
            <v>99.6</v>
          </cell>
          <cell r="AF21">
            <v>350.9</v>
          </cell>
          <cell r="AG21">
            <v>491.7</v>
          </cell>
          <cell r="AH21">
            <v>98.8</v>
          </cell>
          <cell r="AI21">
            <v>62.9</v>
          </cell>
        </row>
        <row r="22">
          <cell r="B22" t="str">
            <v>Cheshire West and Chester</v>
          </cell>
          <cell r="D22">
            <v>1998</v>
          </cell>
          <cell r="E22">
            <v>78.8</v>
          </cell>
          <cell r="F22">
            <v>58.5</v>
          </cell>
          <cell r="G22">
            <v>94.9</v>
          </cell>
          <cell r="H22">
            <v>93.4</v>
          </cell>
          <cell r="I22">
            <v>98.6</v>
          </cell>
          <cell r="J22">
            <v>328.9</v>
          </cell>
          <cell r="K22">
            <v>437.4</v>
          </cell>
          <cell r="L22">
            <v>96.7</v>
          </cell>
          <cell r="M22">
            <v>59.4</v>
          </cell>
          <cell r="O22">
            <v>1837</v>
          </cell>
          <cell r="P22">
            <v>86.8</v>
          </cell>
          <cell r="Q22">
            <v>67.900000000000006</v>
          </cell>
          <cell r="R22">
            <v>96.8</v>
          </cell>
          <cell r="S22">
            <v>95.8</v>
          </cell>
          <cell r="T22">
            <v>99.1</v>
          </cell>
          <cell r="U22">
            <v>356.5</v>
          </cell>
          <cell r="V22">
            <v>487.2</v>
          </cell>
          <cell r="W22">
            <v>97.8</v>
          </cell>
          <cell r="X22">
            <v>68.400000000000006</v>
          </cell>
          <cell r="Z22">
            <v>3835</v>
          </cell>
          <cell r="AA22">
            <v>82.6</v>
          </cell>
          <cell r="AB22">
            <v>63</v>
          </cell>
          <cell r="AC22">
            <v>95.9</v>
          </cell>
          <cell r="AD22">
            <v>94.6</v>
          </cell>
          <cell r="AE22">
            <v>98.9</v>
          </cell>
          <cell r="AF22">
            <v>342.1</v>
          </cell>
          <cell r="AG22">
            <v>461.3</v>
          </cell>
          <cell r="AH22">
            <v>97.2</v>
          </cell>
          <cell r="AI22">
            <v>63.7</v>
          </cell>
        </row>
        <row r="23">
          <cell r="B23" t="str">
            <v>Cumbria</v>
          </cell>
          <cell r="D23">
            <v>2926</v>
          </cell>
          <cell r="E23">
            <v>76.400000000000006</v>
          </cell>
          <cell r="F23">
            <v>49.6</v>
          </cell>
          <cell r="G23">
            <v>95.1</v>
          </cell>
          <cell r="H23">
            <v>93.3</v>
          </cell>
          <cell r="I23">
            <v>99.2</v>
          </cell>
          <cell r="J23">
            <v>326.8</v>
          </cell>
          <cell r="K23">
            <v>423.8</v>
          </cell>
          <cell r="L23">
            <v>95.6</v>
          </cell>
          <cell r="M23">
            <v>50.6</v>
          </cell>
          <cell r="O23">
            <v>2810</v>
          </cell>
          <cell r="P23">
            <v>85.3</v>
          </cell>
          <cell r="Q23">
            <v>63.7</v>
          </cell>
          <cell r="R23">
            <v>96.9</v>
          </cell>
          <cell r="S23">
            <v>95.4</v>
          </cell>
          <cell r="T23">
            <v>99.4</v>
          </cell>
          <cell r="U23">
            <v>352</v>
          </cell>
          <cell r="V23">
            <v>468.4</v>
          </cell>
          <cell r="W23">
            <v>97.4</v>
          </cell>
          <cell r="X23">
            <v>64.2</v>
          </cell>
          <cell r="Z23">
            <v>5736</v>
          </cell>
          <cell r="AA23">
            <v>80.7</v>
          </cell>
          <cell r="AB23">
            <v>56.5</v>
          </cell>
          <cell r="AC23">
            <v>96</v>
          </cell>
          <cell r="AD23">
            <v>94.3</v>
          </cell>
          <cell r="AE23">
            <v>99.3</v>
          </cell>
          <cell r="AF23">
            <v>339.1</v>
          </cell>
          <cell r="AG23">
            <v>445.6</v>
          </cell>
          <cell r="AH23">
            <v>96.5</v>
          </cell>
          <cell r="AI23">
            <v>57.2</v>
          </cell>
        </row>
        <row r="24">
          <cell r="B24" t="str">
            <v>Halton</v>
          </cell>
          <cell r="D24">
            <v>720</v>
          </cell>
          <cell r="E24">
            <v>82.6</v>
          </cell>
          <cell r="F24">
            <v>55.4</v>
          </cell>
          <cell r="G24">
            <v>94.2</v>
          </cell>
          <cell r="H24">
            <v>92.2</v>
          </cell>
          <cell r="I24">
            <v>99.2</v>
          </cell>
          <cell r="J24">
            <v>325.60000000000002</v>
          </cell>
          <cell r="K24">
            <v>447.7</v>
          </cell>
          <cell r="L24">
            <v>94.7</v>
          </cell>
          <cell r="M24">
            <v>56.3</v>
          </cell>
          <cell r="O24">
            <v>708</v>
          </cell>
          <cell r="P24">
            <v>90.4</v>
          </cell>
          <cell r="Q24">
            <v>69.599999999999994</v>
          </cell>
          <cell r="R24">
            <v>96.8</v>
          </cell>
          <cell r="S24">
            <v>95.8</v>
          </cell>
          <cell r="T24">
            <v>99.2</v>
          </cell>
          <cell r="U24">
            <v>352.1</v>
          </cell>
          <cell r="V24">
            <v>508.2</v>
          </cell>
          <cell r="W24">
            <v>97.6</v>
          </cell>
          <cell r="X24">
            <v>70.099999999999994</v>
          </cell>
          <cell r="Z24">
            <v>1428</v>
          </cell>
          <cell r="AA24">
            <v>86.5</v>
          </cell>
          <cell r="AB24">
            <v>62.5</v>
          </cell>
          <cell r="AC24">
            <v>95.4</v>
          </cell>
          <cell r="AD24">
            <v>94</v>
          </cell>
          <cell r="AE24">
            <v>99.2</v>
          </cell>
          <cell r="AF24">
            <v>338.7</v>
          </cell>
          <cell r="AG24">
            <v>477.7</v>
          </cell>
          <cell r="AH24">
            <v>96.1</v>
          </cell>
          <cell r="AI24">
            <v>63.1</v>
          </cell>
        </row>
        <row r="25">
          <cell r="B25" t="str">
            <v>Knowsley</v>
          </cell>
          <cell r="D25">
            <v>695</v>
          </cell>
          <cell r="E25">
            <v>70.2</v>
          </cell>
          <cell r="F25">
            <v>39.6</v>
          </cell>
          <cell r="G25">
            <v>88.3</v>
          </cell>
          <cell r="H25">
            <v>86.2</v>
          </cell>
          <cell r="I25">
            <v>98.1</v>
          </cell>
          <cell r="J25">
            <v>289.5</v>
          </cell>
          <cell r="K25">
            <v>361.8</v>
          </cell>
          <cell r="L25">
            <v>91.8</v>
          </cell>
          <cell r="M25">
            <v>40.1</v>
          </cell>
          <cell r="O25">
            <v>696</v>
          </cell>
          <cell r="P25">
            <v>79.599999999999994</v>
          </cell>
          <cell r="Q25">
            <v>47.8</v>
          </cell>
          <cell r="R25">
            <v>92.4</v>
          </cell>
          <cell r="S25">
            <v>90.5</v>
          </cell>
          <cell r="T25">
            <v>98.6</v>
          </cell>
          <cell r="U25">
            <v>316</v>
          </cell>
          <cell r="V25">
            <v>407</v>
          </cell>
          <cell r="W25">
            <v>95.1</v>
          </cell>
          <cell r="X25">
            <v>48.7</v>
          </cell>
          <cell r="Z25">
            <v>1391</v>
          </cell>
          <cell r="AA25">
            <v>74.900000000000006</v>
          </cell>
          <cell r="AB25">
            <v>43.7</v>
          </cell>
          <cell r="AC25">
            <v>90.4</v>
          </cell>
          <cell r="AD25">
            <v>88.4</v>
          </cell>
          <cell r="AE25">
            <v>98.3</v>
          </cell>
          <cell r="AF25">
            <v>302.8</v>
          </cell>
          <cell r="AG25">
            <v>384.4</v>
          </cell>
          <cell r="AH25">
            <v>93.5</v>
          </cell>
          <cell r="AI25">
            <v>44.4</v>
          </cell>
        </row>
        <row r="26">
          <cell r="B26" t="str">
            <v>Lancashire</v>
          </cell>
          <cell r="D26">
            <v>6825</v>
          </cell>
          <cell r="E26">
            <v>79.099999999999994</v>
          </cell>
          <cell r="F26">
            <v>55.6</v>
          </cell>
          <cell r="G26">
            <v>94.9</v>
          </cell>
          <cell r="H26">
            <v>93.4</v>
          </cell>
          <cell r="I26">
            <v>99.2</v>
          </cell>
          <cell r="J26">
            <v>330.2</v>
          </cell>
          <cell r="K26">
            <v>444.5</v>
          </cell>
          <cell r="L26">
            <v>95.7</v>
          </cell>
          <cell r="M26">
            <v>56.4</v>
          </cell>
          <cell r="O26">
            <v>6406</v>
          </cell>
          <cell r="P26">
            <v>86.8</v>
          </cell>
          <cell r="Q26">
            <v>67.2</v>
          </cell>
          <cell r="R26">
            <v>96.9</v>
          </cell>
          <cell r="S26">
            <v>95.6</v>
          </cell>
          <cell r="T26">
            <v>99.4</v>
          </cell>
          <cell r="U26">
            <v>354.9</v>
          </cell>
          <cell r="V26">
            <v>484.7</v>
          </cell>
          <cell r="W26">
            <v>97.6</v>
          </cell>
          <cell r="X26">
            <v>67.8</v>
          </cell>
          <cell r="Z26">
            <v>13231</v>
          </cell>
          <cell r="AA26">
            <v>82.8</v>
          </cell>
          <cell r="AB26">
            <v>61.2</v>
          </cell>
          <cell r="AC26">
            <v>95.8</v>
          </cell>
          <cell r="AD26">
            <v>94.4</v>
          </cell>
          <cell r="AE26">
            <v>99.3</v>
          </cell>
          <cell r="AF26">
            <v>342.1</v>
          </cell>
          <cell r="AG26">
            <v>464</v>
          </cell>
          <cell r="AH26">
            <v>96.6</v>
          </cell>
          <cell r="AI26">
            <v>61.9</v>
          </cell>
        </row>
        <row r="27">
          <cell r="B27" t="str">
            <v>Liverpool</v>
          </cell>
          <cell r="D27">
            <v>2501</v>
          </cell>
          <cell r="E27">
            <v>82.4</v>
          </cell>
          <cell r="F27">
            <v>52.2</v>
          </cell>
          <cell r="G27">
            <v>94.4</v>
          </cell>
          <cell r="H27">
            <v>92.6</v>
          </cell>
          <cell r="I27">
            <v>99</v>
          </cell>
          <cell r="J27">
            <v>331</v>
          </cell>
          <cell r="K27">
            <v>446.9</v>
          </cell>
          <cell r="L27">
            <v>95.6</v>
          </cell>
          <cell r="M27">
            <v>53.1</v>
          </cell>
          <cell r="O27">
            <v>2601</v>
          </cell>
          <cell r="P27">
            <v>86.4</v>
          </cell>
          <cell r="Q27">
            <v>59.7</v>
          </cell>
          <cell r="R27">
            <v>94.7</v>
          </cell>
          <cell r="S27">
            <v>92.9</v>
          </cell>
          <cell r="T27">
            <v>99.2</v>
          </cell>
          <cell r="U27">
            <v>342.9</v>
          </cell>
          <cell r="V27">
            <v>467</v>
          </cell>
          <cell r="W27">
            <v>96.6</v>
          </cell>
          <cell r="X27">
            <v>60.6</v>
          </cell>
          <cell r="Z27">
            <v>5102</v>
          </cell>
          <cell r="AA27">
            <v>84.4</v>
          </cell>
          <cell r="AB27">
            <v>56</v>
          </cell>
          <cell r="AC27">
            <v>94.6</v>
          </cell>
          <cell r="AD27">
            <v>92.7</v>
          </cell>
          <cell r="AE27">
            <v>99.1</v>
          </cell>
          <cell r="AF27">
            <v>337.1</v>
          </cell>
          <cell r="AG27">
            <v>457.2</v>
          </cell>
          <cell r="AH27">
            <v>96.1</v>
          </cell>
          <cell r="AI27">
            <v>56.9</v>
          </cell>
        </row>
        <row r="28">
          <cell r="B28" t="str">
            <v>Manchester</v>
          </cell>
          <cell r="D28">
            <v>2273</v>
          </cell>
          <cell r="E28">
            <v>78</v>
          </cell>
          <cell r="F28">
            <v>48.7</v>
          </cell>
          <cell r="G28">
            <v>90.6</v>
          </cell>
          <cell r="H28">
            <v>87.9</v>
          </cell>
          <cell r="I28">
            <v>98.5</v>
          </cell>
          <cell r="J28">
            <v>311.89999999999998</v>
          </cell>
          <cell r="K28">
            <v>417.5</v>
          </cell>
          <cell r="L28">
            <v>93.9</v>
          </cell>
          <cell r="M28">
            <v>49.1</v>
          </cell>
          <cell r="O28">
            <v>2237</v>
          </cell>
          <cell r="P28">
            <v>84.7</v>
          </cell>
          <cell r="Q28">
            <v>57.7</v>
          </cell>
          <cell r="R28">
            <v>94.6</v>
          </cell>
          <cell r="S28">
            <v>91.5</v>
          </cell>
          <cell r="T28">
            <v>99.1</v>
          </cell>
          <cell r="U28">
            <v>338.6</v>
          </cell>
          <cell r="V28">
            <v>473.2</v>
          </cell>
          <cell r="W28">
            <v>96.6</v>
          </cell>
          <cell r="X28">
            <v>58.4</v>
          </cell>
          <cell r="Z28">
            <v>4510</v>
          </cell>
          <cell r="AA28">
            <v>81.3</v>
          </cell>
          <cell r="AB28">
            <v>53.1</v>
          </cell>
          <cell r="AC28">
            <v>92.6</v>
          </cell>
          <cell r="AD28">
            <v>89.7</v>
          </cell>
          <cell r="AE28">
            <v>98.8</v>
          </cell>
          <cell r="AF28">
            <v>325.10000000000002</v>
          </cell>
          <cell r="AG28">
            <v>445.1</v>
          </cell>
          <cell r="AH28">
            <v>95.3</v>
          </cell>
          <cell r="AI28">
            <v>53.7</v>
          </cell>
        </row>
        <row r="29">
          <cell r="B29" t="str">
            <v>Oldham</v>
          </cell>
          <cell r="D29">
            <v>1623</v>
          </cell>
          <cell r="E29">
            <v>80.7</v>
          </cell>
          <cell r="F29">
            <v>50.2</v>
          </cell>
          <cell r="G29">
            <v>95.3</v>
          </cell>
          <cell r="H29">
            <v>93</v>
          </cell>
          <cell r="I29">
            <v>99.3</v>
          </cell>
          <cell r="J29">
            <v>324.89999999999998</v>
          </cell>
          <cell r="K29">
            <v>445.4</v>
          </cell>
          <cell r="L29">
            <v>96.2</v>
          </cell>
          <cell r="M29">
            <v>51.6</v>
          </cell>
          <cell r="O29">
            <v>1478</v>
          </cell>
          <cell r="P29">
            <v>87.7</v>
          </cell>
          <cell r="Q29">
            <v>64.5</v>
          </cell>
          <cell r="R29">
            <v>96.3</v>
          </cell>
          <cell r="S29">
            <v>94.3</v>
          </cell>
          <cell r="T29">
            <v>99.4</v>
          </cell>
          <cell r="U29">
            <v>350.6</v>
          </cell>
          <cell r="V29">
            <v>496</v>
          </cell>
          <cell r="W29">
            <v>97.4</v>
          </cell>
          <cell r="X29">
            <v>65</v>
          </cell>
          <cell r="Z29">
            <v>3101</v>
          </cell>
          <cell r="AA29">
            <v>84</v>
          </cell>
          <cell r="AB29">
            <v>57</v>
          </cell>
          <cell r="AC29">
            <v>95.8</v>
          </cell>
          <cell r="AD29">
            <v>93.6</v>
          </cell>
          <cell r="AE29">
            <v>99.4</v>
          </cell>
          <cell r="AF29">
            <v>337.1</v>
          </cell>
          <cell r="AG29">
            <v>469.5</v>
          </cell>
          <cell r="AH29">
            <v>96.8</v>
          </cell>
          <cell r="AI29">
            <v>57.9</v>
          </cell>
        </row>
        <row r="30">
          <cell r="B30" t="str">
            <v>Rochdale</v>
          </cell>
          <cell r="D30">
            <v>1183</v>
          </cell>
          <cell r="E30">
            <v>78.3</v>
          </cell>
          <cell r="F30">
            <v>52.7</v>
          </cell>
          <cell r="G30">
            <v>94</v>
          </cell>
          <cell r="H30">
            <v>91.1</v>
          </cell>
          <cell r="I30">
            <v>99.4</v>
          </cell>
          <cell r="J30">
            <v>319.3</v>
          </cell>
          <cell r="K30">
            <v>421.8</v>
          </cell>
          <cell r="L30">
            <v>96.2</v>
          </cell>
          <cell r="M30">
            <v>54.1</v>
          </cell>
          <cell r="O30">
            <v>1252</v>
          </cell>
          <cell r="P30">
            <v>84.4</v>
          </cell>
          <cell r="Q30">
            <v>59.6</v>
          </cell>
          <cell r="R30">
            <v>95.9</v>
          </cell>
          <cell r="S30">
            <v>93.9</v>
          </cell>
          <cell r="T30">
            <v>99.4</v>
          </cell>
          <cell r="U30">
            <v>340.5</v>
          </cell>
          <cell r="V30">
            <v>456.8</v>
          </cell>
          <cell r="W30">
            <v>97.9</v>
          </cell>
          <cell r="X30">
            <v>60.2</v>
          </cell>
          <cell r="Z30">
            <v>2435</v>
          </cell>
          <cell r="AA30">
            <v>81.400000000000006</v>
          </cell>
          <cell r="AB30">
            <v>56.2</v>
          </cell>
          <cell r="AC30">
            <v>95</v>
          </cell>
          <cell r="AD30">
            <v>92.6</v>
          </cell>
          <cell r="AE30">
            <v>99.4</v>
          </cell>
          <cell r="AF30">
            <v>330.2</v>
          </cell>
          <cell r="AG30">
            <v>439.8</v>
          </cell>
          <cell r="AH30">
            <v>97.1</v>
          </cell>
          <cell r="AI30">
            <v>57.2</v>
          </cell>
        </row>
        <row r="31">
          <cell r="B31" t="str">
            <v>Salford</v>
          </cell>
          <cell r="D31">
            <v>1156</v>
          </cell>
          <cell r="E31">
            <v>82.2</v>
          </cell>
          <cell r="F31">
            <v>50.5</v>
          </cell>
          <cell r="G31">
            <v>95.4</v>
          </cell>
          <cell r="H31">
            <v>92</v>
          </cell>
          <cell r="I31">
            <v>99.3</v>
          </cell>
          <cell r="J31">
            <v>322.89999999999998</v>
          </cell>
          <cell r="K31">
            <v>429.1</v>
          </cell>
          <cell r="L31">
            <v>95.6</v>
          </cell>
          <cell r="M31">
            <v>50.9</v>
          </cell>
          <cell r="O31">
            <v>1082</v>
          </cell>
          <cell r="P31">
            <v>89.1</v>
          </cell>
          <cell r="Q31">
            <v>59.3</v>
          </cell>
          <cell r="R31">
            <v>97</v>
          </cell>
          <cell r="S31">
            <v>94.5</v>
          </cell>
          <cell r="T31">
            <v>99.1</v>
          </cell>
          <cell r="U31">
            <v>347.7</v>
          </cell>
          <cell r="V31">
            <v>477.5</v>
          </cell>
          <cell r="W31">
            <v>97.1</v>
          </cell>
          <cell r="X31">
            <v>59.5</v>
          </cell>
          <cell r="Z31">
            <v>2238</v>
          </cell>
          <cell r="AA31">
            <v>85.5</v>
          </cell>
          <cell r="AB31">
            <v>54.8</v>
          </cell>
          <cell r="AC31">
            <v>96.2</v>
          </cell>
          <cell r="AD31">
            <v>93.2</v>
          </cell>
          <cell r="AE31">
            <v>99.2</v>
          </cell>
          <cell r="AF31">
            <v>334.9</v>
          </cell>
          <cell r="AG31">
            <v>452.5</v>
          </cell>
          <cell r="AH31">
            <v>96.3</v>
          </cell>
          <cell r="AI31">
            <v>55</v>
          </cell>
        </row>
        <row r="32">
          <cell r="B32" t="str">
            <v>Sefton</v>
          </cell>
          <cell r="D32">
            <v>1788</v>
          </cell>
          <cell r="E32">
            <v>85</v>
          </cell>
          <cell r="F32">
            <v>57.3</v>
          </cell>
          <cell r="G32">
            <v>94.9</v>
          </cell>
          <cell r="H32">
            <v>94.1</v>
          </cell>
          <cell r="I32">
            <v>99.1</v>
          </cell>
          <cell r="J32">
            <v>333.5</v>
          </cell>
          <cell r="K32">
            <v>435.6</v>
          </cell>
          <cell r="L32">
            <v>96.8</v>
          </cell>
          <cell r="M32">
            <v>57.8</v>
          </cell>
          <cell r="O32">
            <v>1693</v>
          </cell>
          <cell r="P32">
            <v>89.4</v>
          </cell>
          <cell r="Q32">
            <v>64.7</v>
          </cell>
          <cell r="R32">
            <v>97.6</v>
          </cell>
          <cell r="S32">
            <v>96.8</v>
          </cell>
          <cell r="T32">
            <v>99.7</v>
          </cell>
          <cell r="U32">
            <v>357.1</v>
          </cell>
          <cell r="V32">
            <v>470.1</v>
          </cell>
          <cell r="W32">
            <v>98.8</v>
          </cell>
          <cell r="X32">
            <v>65.099999999999994</v>
          </cell>
          <cell r="Z32">
            <v>3481</v>
          </cell>
          <cell r="AA32">
            <v>87.1</v>
          </cell>
          <cell r="AB32">
            <v>60.9</v>
          </cell>
          <cell r="AC32">
            <v>96.2</v>
          </cell>
          <cell r="AD32">
            <v>95.4</v>
          </cell>
          <cell r="AE32">
            <v>99.4</v>
          </cell>
          <cell r="AF32">
            <v>345</v>
          </cell>
          <cell r="AG32">
            <v>452.4</v>
          </cell>
          <cell r="AH32">
            <v>97.8</v>
          </cell>
          <cell r="AI32">
            <v>61.3</v>
          </cell>
        </row>
        <row r="33">
          <cell r="B33" t="str">
            <v>St. Helens</v>
          </cell>
          <cell r="D33">
            <v>987</v>
          </cell>
          <cell r="E33">
            <v>83.9</v>
          </cell>
          <cell r="F33">
            <v>49.1</v>
          </cell>
          <cell r="G33">
            <v>95.3</v>
          </cell>
          <cell r="H33">
            <v>92.7</v>
          </cell>
          <cell r="I33">
            <v>99.4</v>
          </cell>
          <cell r="J33">
            <v>330.7</v>
          </cell>
          <cell r="K33">
            <v>434.6</v>
          </cell>
          <cell r="L33">
            <v>95.6</v>
          </cell>
          <cell r="M33">
            <v>49.8</v>
          </cell>
          <cell r="O33">
            <v>955</v>
          </cell>
          <cell r="P33">
            <v>89.9</v>
          </cell>
          <cell r="Q33">
            <v>62.1</v>
          </cell>
          <cell r="R33">
            <v>98.2</v>
          </cell>
          <cell r="S33">
            <v>96.1</v>
          </cell>
          <cell r="T33">
            <v>99.7</v>
          </cell>
          <cell r="U33">
            <v>356.7</v>
          </cell>
          <cell r="V33">
            <v>492.8</v>
          </cell>
          <cell r="W33">
            <v>98.7</v>
          </cell>
          <cell r="X33">
            <v>62.3</v>
          </cell>
          <cell r="Z33">
            <v>1942</v>
          </cell>
          <cell r="AA33">
            <v>86.9</v>
          </cell>
          <cell r="AB33">
            <v>55.5</v>
          </cell>
          <cell r="AC33">
            <v>96.8</v>
          </cell>
          <cell r="AD33">
            <v>94.4</v>
          </cell>
          <cell r="AE33">
            <v>99.5</v>
          </cell>
          <cell r="AF33">
            <v>343.5</v>
          </cell>
          <cell r="AG33">
            <v>463.2</v>
          </cell>
          <cell r="AH33">
            <v>97.2</v>
          </cell>
          <cell r="AI33">
            <v>56</v>
          </cell>
        </row>
        <row r="34">
          <cell r="B34" t="str">
            <v>Stockport</v>
          </cell>
          <cell r="D34">
            <v>1540</v>
          </cell>
          <cell r="E34">
            <v>81.400000000000006</v>
          </cell>
          <cell r="F34">
            <v>60.3</v>
          </cell>
          <cell r="G34">
            <v>94.9</v>
          </cell>
          <cell r="H34">
            <v>94.2</v>
          </cell>
          <cell r="I34">
            <v>99.2</v>
          </cell>
          <cell r="J34">
            <v>333</v>
          </cell>
          <cell r="K34">
            <v>449.6</v>
          </cell>
          <cell r="L34">
            <v>96.6</v>
          </cell>
          <cell r="M34">
            <v>61.7</v>
          </cell>
          <cell r="O34">
            <v>1444</v>
          </cell>
          <cell r="P34">
            <v>88.3</v>
          </cell>
          <cell r="Q34">
            <v>71.599999999999994</v>
          </cell>
          <cell r="R34">
            <v>96.5</v>
          </cell>
          <cell r="S34">
            <v>95.6</v>
          </cell>
          <cell r="T34">
            <v>99.2</v>
          </cell>
          <cell r="U34">
            <v>357.1</v>
          </cell>
          <cell r="V34">
            <v>500.1</v>
          </cell>
          <cell r="W34">
            <v>97.6</v>
          </cell>
          <cell r="X34">
            <v>72.2</v>
          </cell>
          <cell r="Z34">
            <v>2984</v>
          </cell>
          <cell r="AA34">
            <v>84.7</v>
          </cell>
          <cell r="AB34">
            <v>65.8</v>
          </cell>
          <cell r="AC34">
            <v>95.6</v>
          </cell>
          <cell r="AD34">
            <v>94.9</v>
          </cell>
          <cell r="AE34">
            <v>99.2</v>
          </cell>
          <cell r="AF34">
            <v>344.7</v>
          </cell>
          <cell r="AG34">
            <v>474.1</v>
          </cell>
          <cell r="AH34">
            <v>97.1</v>
          </cell>
          <cell r="AI34">
            <v>66.8</v>
          </cell>
        </row>
        <row r="35">
          <cell r="B35" t="str">
            <v>Tameside</v>
          </cell>
          <cell r="D35">
            <v>1347</v>
          </cell>
          <cell r="E35">
            <v>80.7</v>
          </cell>
          <cell r="F35">
            <v>54.6</v>
          </cell>
          <cell r="G35">
            <v>95.2</v>
          </cell>
          <cell r="H35">
            <v>93</v>
          </cell>
          <cell r="I35">
            <v>99.1</v>
          </cell>
          <cell r="J35">
            <v>326.60000000000002</v>
          </cell>
          <cell r="K35">
            <v>432</v>
          </cell>
          <cell r="L35">
            <v>95.6</v>
          </cell>
          <cell r="M35">
            <v>55.6</v>
          </cell>
          <cell r="O35">
            <v>1361</v>
          </cell>
          <cell r="P35">
            <v>85.5</v>
          </cell>
          <cell r="Q35">
            <v>64.099999999999994</v>
          </cell>
          <cell r="R35">
            <v>95.8</v>
          </cell>
          <cell r="S35">
            <v>94.8</v>
          </cell>
          <cell r="T35">
            <v>99.4</v>
          </cell>
          <cell r="U35">
            <v>346.3</v>
          </cell>
          <cell r="V35">
            <v>474.6</v>
          </cell>
          <cell r="W35">
            <v>97.2</v>
          </cell>
          <cell r="X35">
            <v>64.900000000000006</v>
          </cell>
          <cell r="Z35">
            <v>2708</v>
          </cell>
          <cell r="AA35">
            <v>83.1</v>
          </cell>
          <cell r="AB35">
            <v>59.4</v>
          </cell>
          <cell r="AC35">
            <v>95.5</v>
          </cell>
          <cell r="AD35">
            <v>93.9</v>
          </cell>
          <cell r="AE35">
            <v>99.3</v>
          </cell>
          <cell r="AF35">
            <v>336.5</v>
          </cell>
          <cell r="AG35">
            <v>453.4</v>
          </cell>
          <cell r="AH35">
            <v>96.4</v>
          </cell>
          <cell r="AI35">
            <v>60.3</v>
          </cell>
        </row>
        <row r="36">
          <cell r="B36" t="str">
            <v>Trafford</v>
          </cell>
          <cell r="D36">
            <v>1533</v>
          </cell>
          <cell r="E36">
            <v>86.5</v>
          </cell>
          <cell r="F36">
            <v>64.3</v>
          </cell>
          <cell r="G36">
            <v>97</v>
          </cell>
          <cell r="H36">
            <v>96.5</v>
          </cell>
          <cell r="I36">
            <v>99.6</v>
          </cell>
          <cell r="J36">
            <v>351</v>
          </cell>
          <cell r="K36">
            <v>498.7</v>
          </cell>
          <cell r="L36">
            <v>97.7</v>
          </cell>
          <cell r="M36">
            <v>65</v>
          </cell>
          <cell r="O36">
            <v>1380</v>
          </cell>
          <cell r="P36">
            <v>90.7</v>
          </cell>
          <cell r="Q36">
            <v>77.5</v>
          </cell>
          <cell r="R36">
            <v>97.9</v>
          </cell>
          <cell r="S36">
            <v>97.6</v>
          </cell>
          <cell r="T36">
            <v>99.9</v>
          </cell>
          <cell r="U36">
            <v>376.1</v>
          </cell>
          <cell r="V36">
            <v>503.6</v>
          </cell>
          <cell r="W36">
            <v>98.5</v>
          </cell>
          <cell r="X36">
            <v>78</v>
          </cell>
          <cell r="Z36">
            <v>2913</v>
          </cell>
          <cell r="AA36">
            <v>88.5</v>
          </cell>
          <cell r="AB36">
            <v>70.5</v>
          </cell>
          <cell r="AC36">
            <v>97.4</v>
          </cell>
          <cell r="AD36">
            <v>97</v>
          </cell>
          <cell r="AE36">
            <v>99.7</v>
          </cell>
          <cell r="AF36">
            <v>362.9</v>
          </cell>
          <cell r="AG36">
            <v>501</v>
          </cell>
          <cell r="AH36">
            <v>98</v>
          </cell>
          <cell r="AI36">
            <v>71.099999999999994</v>
          </cell>
        </row>
        <row r="37">
          <cell r="B37" t="str">
            <v>Warrington</v>
          </cell>
          <cell r="D37">
            <v>1260</v>
          </cell>
          <cell r="E37">
            <v>80</v>
          </cell>
          <cell r="F37">
            <v>60.2</v>
          </cell>
          <cell r="G37">
            <v>96.2</v>
          </cell>
          <cell r="H37">
            <v>95.2</v>
          </cell>
          <cell r="I37">
            <v>99.4</v>
          </cell>
          <cell r="J37">
            <v>332.7</v>
          </cell>
          <cell r="K37">
            <v>435.1</v>
          </cell>
          <cell r="L37">
            <v>97.6</v>
          </cell>
          <cell r="M37">
            <v>61.8</v>
          </cell>
          <cell r="O37">
            <v>1195</v>
          </cell>
          <cell r="P37">
            <v>86.9</v>
          </cell>
          <cell r="Q37">
            <v>71.5</v>
          </cell>
          <cell r="R37">
            <v>97.2</v>
          </cell>
          <cell r="S37">
            <v>96.5</v>
          </cell>
          <cell r="T37">
            <v>99.4</v>
          </cell>
          <cell r="U37">
            <v>353.8</v>
          </cell>
          <cell r="V37">
            <v>468.1</v>
          </cell>
          <cell r="W37">
            <v>98.3</v>
          </cell>
          <cell r="X37">
            <v>72.5</v>
          </cell>
          <cell r="Z37">
            <v>2455</v>
          </cell>
          <cell r="AA37">
            <v>83.4</v>
          </cell>
          <cell r="AB37">
            <v>65.7</v>
          </cell>
          <cell r="AC37">
            <v>96.7</v>
          </cell>
          <cell r="AD37">
            <v>95.8</v>
          </cell>
          <cell r="AE37">
            <v>99.4</v>
          </cell>
          <cell r="AF37">
            <v>342.9</v>
          </cell>
          <cell r="AG37">
            <v>451.1</v>
          </cell>
          <cell r="AH37">
            <v>98</v>
          </cell>
          <cell r="AI37">
            <v>67</v>
          </cell>
        </row>
        <row r="38">
          <cell r="B38" t="str">
            <v>Wigan</v>
          </cell>
          <cell r="D38">
            <v>1895</v>
          </cell>
          <cell r="E38">
            <v>79</v>
          </cell>
          <cell r="F38">
            <v>58</v>
          </cell>
          <cell r="G38">
            <v>95.9</v>
          </cell>
          <cell r="H38">
            <v>94.8</v>
          </cell>
          <cell r="I38">
            <v>99.5</v>
          </cell>
          <cell r="J38">
            <v>328.7</v>
          </cell>
          <cell r="K38">
            <v>434.6</v>
          </cell>
          <cell r="L38">
            <v>97.5</v>
          </cell>
          <cell r="M38">
            <v>59.5</v>
          </cell>
          <cell r="O38">
            <v>1868</v>
          </cell>
          <cell r="P38">
            <v>84.4</v>
          </cell>
          <cell r="Q38">
            <v>69.5</v>
          </cell>
          <cell r="R38">
            <v>97.2</v>
          </cell>
          <cell r="S38">
            <v>96</v>
          </cell>
          <cell r="T38">
            <v>99.6</v>
          </cell>
          <cell r="U38">
            <v>348.8</v>
          </cell>
          <cell r="V38">
            <v>473.3</v>
          </cell>
          <cell r="W38">
            <v>98.3</v>
          </cell>
          <cell r="X38">
            <v>70.3</v>
          </cell>
          <cell r="Z38">
            <v>3763</v>
          </cell>
          <cell r="AA38">
            <v>81.7</v>
          </cell>
          <cell r="AB38">
            <v>63.8</v>
          </cell>
          <cell r="AC38">
            <v>96.5</v>
          </cell>
          <cell r="AD38">
            <v>95.4</v>
          </cell>
          <cell r="AE38">
            <v>99.5</v>
          </cell>
          <cell r="AF38">
            <v>338.7</v>
          </cell>
          <cell r="AG38">
            <v>453.8</v>
          </cell>
          <cell r="AH38">
            <v>97.9</v>
          </cell>
          <cell r="AI38">
            <v>64.900000000000006</v>
          </cell>
        </row>
        <row r="39">
          <cell r="B39" t="str">
            <v>Wirral</v>
          </cell>
          <cell r="D39">
            <v>1897</v>
          </cell>
          <cell r="E39">
            <v>83.3</v>
          </cell>
          <cell r="F39">
            <v>60.5</v>
          </cell>
          <cell r="G39">
            <v>95.2</v>
          </cell>
          <cell r="H39">
            <v>94.4</v>
          </cell>
          <cell r="I39">
            <v>99.7</v>
          </cell>
          <cell r="J39">
            <v>336.5</v>
          </cell>
          <cell r="K39">
            <v>438.9</v>
          </cell>
          <cell r="L39">
            <v>96.4</v>
          </cell>
          <cell r="M39">
            <v>61.8</v>
          </cell>
          <cell r="O39">
            <v>1832</v>
          </cell>
          <cell r="P39">
            <v>90.5</v>
          </cell>
          <cell r="Q39">
            <v>72.099999999999994</v>
          </cell>
          <cell r="R39">
            <v>97.3</v>
          </cell>
          <cell r="S39">
            <v>96.6</v>
          </cell>
          <cell r="T39">
            <v>99.6</v>
          </cell>
          <cell r="U39">
            <v>364.4</v>
          </cell>
          <cell r="V39">
            <v>493.4</v>
          </cell>
          <cell r="W39">
            <v>97.8</v>
          </cell>
          <cell r="X39">
            <v>72.400000000000006</v>
          </cell>
          <cell r="Z39">
            <v>3729</v>
          </cell>
          <cell r="AA39">
            <v>86.9</v>
          </cell>
          <cell r="AB39">
            <v>66.2</v>
          </cell>
          <cell r="AC39">
            <v>96.2</v>
          </cell>
          <cell r="AD39">
            <v>95.5</v>
          </cell>
          <cell r="AE39">
            <v>99.6</v>
          </cell>
          <cell r="AF39">
            <v>350.2</v>
          </cell>
          <cell r="AG39">
            <v>465.6</v>
          </cell>
          <cell r="AH39">
            <v>97.1</v>
          </cell>
          <cell r="AI39">
            <v>67</v>
          </cell>
        </row>
        <row r="40">
          <cell r="B40" t="str">
            <v>Yorkshire and the Humber</v>
          </cell>
          <cell r="D40">
            <v>29721</v>
          </cell>
          <cell r="E40">
            <v>81</v>
          </cell>
          <cell r="F40">
            <v>54.7</v>
          </cell>
          <cell r="G40">
            <v>95.1</v>
          </cell>
          <cell r="H40">
            <v>93.2</v>
          </cell>
          <cell r="I40">
            <v>99.3</v>
          </cell>
          <cell r="J40">
            <v>329.8</v>
          </cell>
          <cell r="K40">
            <v>459.4</v>
          </cell>
          <cell r="L40">
            <v>96.4</v>
          </cell>
          <cell r="M40">
            <v>55.4</v>
          </cell>
          <cell r="O40">
            <v>28540</v>
          </cell>
          <cell r="P40">
            <v>88.5</v>
          </cell>
          <cell r="Q40">
            <v>64.599999999999994</v>
          </cell>
          <cell r="R40">
            <v>97.2</v>
          </cell>
          <cell r="S40">
            <v>95.5</v>
          </cell>
          <cell r="T40">
            <v>99.5</v>
          </cell>
          <cell r="U40">
            <v>356.3</v>
          </cell>
          <cell r="V40">
            <v>511.9</v>
          </cell>
          <cell r="W40">
            <v>98.1</v>
          </cell>
          <cell r="X40">
            <v>65</v>
          </cell>
          <cell r="Z40">
            <v>58261</v>
          </cell>
          <cell r="AA40">
            <v>84.7</v>
          </cell>
          <cell r="AB40">
            <v>59.5</v>
          </cell>
          <cell r="AC40">
            <v>96.1</v>
          </cell>
          <cell r="AD40">
            <v>94.3</v>
          </cell>
          <cell r="AE40">
            <v>99.4</v>
          </cell>
          <cell r="AF40">
            <v>342.7</v>
          </cell>
          <cell r="AG40">
            <v>485.1</v>
          </cell>
          <cell r="AH40">
            <v>97.2</v>
          </cell>
          <cell r="AI40">
            <v>60.1</v>
          </cell>
        </row>
        <row r="41">
          <cell r="B41" t="str">
            <v>Barnsley</v>
          </cell>
          <cell r="D41">
            <v>1285</v>
          </cell>
          <cell r="E41">
            <v>71.8</v>
          </cell>
          <cell r="F41">
            <v>45.1</v>
          </cell>
          <cell r="G41">
            <v>94.2</v>
          </cell>
          <cell r="H41">
            <v>91.4</v>
          </cell>
          <cell r="I41">
            <v>99.9</v>
          </cell>
          <cell r="J41">
            <v>307.3</v>
          </cell>
          <cell r="K41">
            <v>401.6</v>
          </cell>
          <cell r="L41">
            <v>97</v>
          </cell>
          <cell r="M41">
            <v>46</v>
          </cell>
          <cell r="O41">
            <v>1271</v>
          </cell>
          <cell r="P41">
            <v>84.2</v>
          </cell>
          <cell r="Q41">
            <v>55.6</v>
          </cell>
          <cell r="R41">
            <v>97.2</v>
          </cell>
          <cell r="S41">
            <v>95.6</v>
          </cell>
          <cell r="T41">
            <v>100</v>
          </cell>
          <cell r="U41">
            <v>337.2</v>
          </cell>
          <cell r="V41">
            <v>456.8</v>
          </cell>
          <cell r="W41">
            <v>99.1</v>
          </cell>
          <cell r="X41">
            <v>56.1</v>
          </cell>
          <cell r="Z41">
            <v>2556</v>
          </cell>
          <cell r="AA41">
            <v>77.900000000000006</v>
          </cell>
          <cell r="AB41">
            <v>50.3</v>
          </cell>
          <cell r="AC41">
            <v>95.7</v>
          </cell>
          <cell r="AD41">
            <v>93.5</v>
          </cell>
          <cell r="AE41">
            <v>100</v>
          </cell>
          <cell r="AF41">
            <v>322.2</v>
          </cell>
          <cell r="AG41">
            <v>429.1</v>
          </cell>
          <cell r="AH41">
            <v>98</v>
          </cell>
          <cell r="AI41">
            <v>51</v>
          </cell>
        </row>
        <row r="42">
          <cell r="B42" t="str">
            <v>Bradford</v>
          </cell>
          <cell r="D42">
            <v>2810</v>
          </cell>
          <cell r="E42">
            <v>80.3</v>
          </cell>
          <cell r="F42">
            <v>49.4</v>
          </cell>
          <cell r="G42">
            <v>94.3</v>
          </cell>
          <cell r="H42">
            <v>91.5</v>
          </cell>
          <cell r="I42">
            <v>98.8</v>
          </cell>
          <cell r="J42">
            <v>326.39999999999998</v>
          </cell>
          <cell r="K42">
            <v>438.6</v>
          </cell>
          <cell r="L42">
            <v>96.2</v>
          </cell>
          <cell r="M42">
            <v>50.3</v>
          </cell>
          <cell r="O42">
            <v>2810</v>
          </cell>
          <cell r="P42">
            <v>86.5</v>
          </cell>
          <cell r="Q42">
            <v>56.6</v>
          </cell>
          <cell r="R42">
            <v>96.1</v>
          </cell>
          <cell r="S42">
            <v>93.5</v>
          </cell>
          <cell r="T42">
            <v>99.3</v>
          </cell>
          <cell r="U42">
            <v>347.7</v>
          </cell>
          <cell r="V42">
            <v>484.9</v>
          </cell>
          <cell r="W42">
            <v>97.4</v>
          </cell>
          <cell r="X42">
            <v>56.9</v>
          </cell>
          <cell r="Z42">
            <v>5620</v>
          </cell>
          <cell r="AA42">
            <v>83.4</v>
          </cell>
          <cell r="AB42">
            <v>53</v>
          </cell>
          <cell r="AC42">
            <v>95.2</v>
          </cell>
          <cell r="AD42">
            <v>92.5</v>
          </cell>
          <cell r="AE42">
            <v>99</v>
          </cell>
          <cell r="AF42">
            <v>337.1</v>
          </cell>
          <cell r="AG42">
            <v>461.8</v>
          </cell>
          <cell r="AH42">
            <v>96.8</v>
          </cell>
          <cell r="AI42">
            <v>53.6</v>
          </cell>
        </row>
        <row r="43">
          <cell r="B43" t="str">
            <v>Calderdale</v>
          </cell>
          <cell r="D43">
            <v>1354</v>
          </cell>
          <cell r="E43">
            <v>88.3</v>
          </cell>
          <cell r="F43">
            <v>60.9</v>
          </cell>
          <cell r="G43">
            <v>97.3</v>
          </cell>
          <cell r="H43">
            <v>95.6</v>
          </cell>
          <cell r="I43">
            <v>99</v>
          </cell>
          <cell r="J43">
            <v>345.2</v>
          </cell>
          <cell r="K43">
            <v>489.8</v>
          </cell>
          <cell r="L43">
            <v>97.3</v>
          </cell>
          <cell r="M43">
            <v>61</v>
          </cell>
          <cell r="O43">
            <v>1252</v>
          </cell>
          <cell r="P43">
            <v>93.7</v>
          </cell>
          <cell r="Q43">
            <v>70.8</v>
          </cell>
          <cell r="R43">
            <v>98.7</v>
          </cell>
          <cell r="S43">
            <v>96.8</v>
          </cell>
          <cell r="T43">
            <v>99.8</v>
          </cell>
          <cell r="U43">
            <v>374.7</v>
          </cell>
          <cell r="V43">
            <v>545.9</v>
          </cell>
          <cell r="W43">
            <v>99.1</v>
          </cell>
          <cell r="X43">
            <v>71</v>
          </cell>
          <cell r="Z43">
            <v>2606</v>
          </cell>
          <cell r="AA43">
            <v>90.9</v>
          </cell>
          <cell r="AB43">
            <v>65.7</v>
          </cell>
          <cell r="AC43">
            <v>98</v>
          </cell>
          <cell r="AD43">
            <v>96.2</v>
          </cell>
          <cell r="AE43">
            <v>99.4</v>
          </cell>
          <cell r="AF43">
            <v>359.4</v>
          </cell>
          <cell r="AG43">
            <v>516.79999999999995</v>
          </cell>
          <cell r="AH43">
            <v>98.2</v>
          </cell>
          <cell r="AI43">
            <v>65.8</v>
          </cell>
        </row>
        <row r="44">
          <cell r="B44" t="str">
            <v>Doncaster</v>
          </cell>
          <cell r="D44">
            <v>1731</v>
          </cell>
          <cell r="E44">
            <v>83.4</v>
          </cell>
          <cell r="F44">
            <v>51.5</v>
          </cell>
          <cell r="G44">
            <v>93.9</v>
          </cell>
          <cell r="H44">
            <v>91.5</v>
          </cell>
          <cell r="I44">
            <v>99.4</v>
          </cell>
          <cell r="J44">
            <v>323.8</v>
          </cell>
          <cell r="K44">
            <v>455.7</v>
          </cell>
          <cell r="L44">
            <v>95.3</v>
          </cell>
          <cell r="M44">
            <v>52.2</v>
          </cell>
          <cell r="O44">
            <v>1706</v>
          </cell>
          <cell r="P44">
            <v>89.7</v>
          </cell>
          <cell r="Q44">
            <v>61.7</v>
          </cell>
          <cell r="R44">
            <v>97.7</v>
          </cell>
          <cell r="S44">
            <v>95.3</v>
          </cell>
          <cell r="T44">
            <v>99.8</v>
          </cell>
          <cell r="U44">
            <v>356.3</v>
          </cell>
          <cell r="V44">
            <v>519.79999999999995</v>
          </cell>
          <cell r="W44">
            <v>98.5</v>
          </cell>
          <cell r="X44">
            <v>62</v>
          </cell>
          <cell r="Z44">
            <v>3437</v>
          </cell>
          <cell r="AA44">
            <v>86.5</v>
          </cell>
          <cell r="AB44">
            <v>56.6</v>
          </cell>
          <cell r="AC44">
            <v>95.8</v>
          </cell>
          <cell r="AD44">
            <v>93.4</v>
          </cell>
          <cell r="AE44">
            <v>99.6</v>
          </cell>
          <cell r="AF44">
            <v>340</v>
          </cell>
          <cell r="AG44">
            <v>487.6</v>
          </cell>
          <cell r="AH44">
            <v>96.9</v>
          </cell>
          <cell r="AI44">
            <v>57.1</v>
          </cell>
        </row>
        <row r="45">
          <cell r="B45" t="str">
            <v>East Riding of Yorkshire</v>
          </cell>
          <cell r="D45">
            <v>1976</v>
          </cell>
          <cell r="E45">
            <v>80</v>
          </cell>
          <cell r="F45">
            <v>55</v>
          </cell>
          <cell r="G45">
            <v>97.1</v>
          </cell>
          <cell r="H45">
            <v>95.7</v>
          </cell>
          <cell r="I45">
            <v>99.5</v>
          </cell>
          <cell r="J45">
            <v>332.8</v>
          </cell>
          <cell r="K45">
            <v>452.7</v>
          </cell>
          <cell r="L45">
            <v>97.9</v>
          </cell>
          <cell r="M45">
            <v>55.9</v>
          </cell>
          <cell r="O45">
            <v>1905</v>
          </cell>
          <cell r="P45">
            <v>86.6</v>
          </cell>
          <cell r="Q45">
            <v>67.2</v>
          </cell>
          <cell r="R45">
            <v>98.2</v>
          </cell>
          <cell r="S45">
            <v>97.3</v>
          </cell>
          <cell r="T45">
            <v>99.6</v>
          </cell>
          <cell r="U45">
            <v>355.6</v>
          </cell>
          <cell r="V45">
            <v>489.2</v>
          </cell>
          <cell r="W45">
            <v>98.5</v>
          </cell>
          <cell r="X45">
            <v>67.7</v>
          </cell>
          <cell r="Z45">
            <v>3881</v>
          </cell>
          <cell r="AA45">
            <v>83.2</v>
          </cell>
          <cell r="AB45">
            <v>61</v>
          </cell>
          <cell r="AC45">
            <v>97.6</v>
          </cell>
          <cell r="AD45">
            <v>96.5</v>
          </cell>
          <cell r="AE45">
            <v>99.6</v>
          </cell>
          <cell r="AF45">
            <v>344</v>
          </cell>
          <cell r="AG45">
            <v>470.6</v>
          </cell>
          <cell r="AH45">
            <v>98.2</v>
          </cell>
          <cell r="AI45">
            <v>61.7</v>
          </cell>
        </row>
        <row r="46">
          <cell r="B46" t="str">
            <v>Kingston upon Hull, City of</v>
          </cell>
          <cell r="D46">
            <v>1276</v>
          </cell>
          <cell r="E46">
            <v>86.4</v>
          </cell>
          <cell r="F46">
            <v>47.6</v>
          </cell>
          <cell r="G46">
            <v>94.4</v>
          </cell>
          <cell r="H46">
            <v>92.4</v>
          </cell>
          <cell r="I46">
            <v>99.4</v>
          </cell>
          <cell r="J46">
            <v>329.5</v>
          </cell>
          <cell r="K46">
            <v>480.2</v>
          </cell>
          <cell r="L46">
            <v>95.5</v>
          </cell>
          <cell r="M46">
            <v>47.9</v>
          </cell>
          <cell r="O46">
            <v>1182</v>
          </cell>
          <cell r="P46">
            <v>89.8</v>
          </cell>
          <cell r="Q46">
            <v>52.6</v>
          </cell>
          <cell r="R46">
            <v>97.6</v>
          </cell>
          <cell r="S46">
            <v>94</v>
          </cell>
          <cell r="T46">
            <v>99.6</v>
          </cell>
          <cell r="U46">
            <v>350.1</v>
          </cell>
          <cell r="V46">
            <v>522.29999999999995</v>
          </cell>
          <cell r="W46">
            <v>97.3</v>
          </cell>
          <cell r="X46">
            <v>52.8</v>
          </cell>
          <cell r="Z46">
            <v>2458</v>
          </cell>
          <cell r="AA46">
            <v>88</v>
          </cell>
          <cell r="AB46">
            <v>50</v>
          </cell>
          <cell r="AC46">
            <v>96</v>
          </cell>
          <cell r="AD46">
            <v>93.2</v>
          </cell>
          <cell r="AE46">
            <v>99.5</v>
          </cell>
          <cell r="AF46">
            <v>339.4</v>
          </cell>
          <cell r="AG46">
            <v>500.4</v>
          </cell>
          <cell r="AH46">
            <v>96.4</v>
          </cell>
          <cell r="AI46">
            <v>50.2</v>
          </cell>
        </row>
        <row r="47">
          <cell r="B47" t="str">
            <v>Kirklees</v>
          </cell>
          <cell r="D47">
            <v>2416</v>
          </cell>
          <cell r="E47">
            <v>80.599999999999994</v>
          </cell>
          <cell r="F47">
            <v>58.6</v>
          </cell>
          <cell r="G47">
            <v>96.2</v>
          </cell>
          <cell r="H47">
            <v>95.6</v>
          </cell>
          <cell r="I47">
            <v>99.7</v>
          </cell>
          <cell r="J47">
            <v>334.7</v>
          </cell>
          <cell r="K47">
            <v>466.7</v>
          </cell>
          <cell r="L47">
            <v>97.2</v>
          </cell>
          <cell r="M47">
            <v>60</v>
          </cell>
          <cell r="O47">
            <v>2221</v>
          </cell>
          <cell r="P47">
            <v>88.7</v>
          </cell>
          <cell r="Q47">
            <v>67</v>
          </cell>
          <cell r="R47">
            <v>98.7</v>
          </cell>
          <cell r="S47">
            <v>97.7</v>
          </cell>
          <cell r="T47">
            <v>99.9</v>
          </cell>
          <cell r="U47">
            <v>359.2</v>
          </cell>
          <cell r="V47">
            <v>515.4</v>
          </cell>
          <cell r="W47">
            <v>99.2</v>
          </cell>
          <cell r="X47">
            <v>67.400000000000006</v>
          </cell>
          <cell r="Z47">
            <v>4637</v>
          </cell>
          <cell r="AA47">
            <v>84.5</v>
          </cell>
          <cell r="AB47">
            <v>62.6</v>
          </cell>
          <cell r="AC47">
            <v>97.4</v>
          </cell>
          <cell r="AD47">
            <v>96.6</v>
          </cell>
          <cell r="AE47">
            <v>99.8</v>
          </cell>
          <cell r="AF47">
            <v>346.4</v>
          </cell>
          <cell r="AG47">
            <v>490</v>
          </cell>
          <cell r="AH47">
            <v>98.1</v>
          </cell>
          <cell r="AI47">
            <v>63.5</v>
          </cell>
        </row>
        <row r="48">
          <cell r="B48" t="str">
            <v>Leeds</v>
          </cell>
          <cell r="D48">
            <v>4035</v>
          </cell>
          <cell r="E48">
            <v>82.1</v>
          </cell>
          <cell r="F48">
            <v>52.4</v>
          </cell>
          <cell r="G48">
            <v>94.5</v>
          </cell>
          <cell r="H48">
            <v>91.7</v>
          </cell>
          <cell r="I48">
            <v>98.7</v>
          </cell>
          <cell r="J48">
            <v>327.8</v>
          </cell>
          <cell r="K48">
            <v>460.9</v>
          </cell>
          <cell r="L48">
            <v>96.1</v>
          </cell>
          <cell r="M48">
            <v>53</v>
          </cell>
          <cell r="O48">
            <v>3788</v>
          </cell>
          <cell r="P48">
            <v>90.4</v>
          </cell>
          <cell r="Q48">
            <v>62.5</v>
          </cell>
          <cell r="R48">
            <v>97</v>
          </cell>
          <cell r="S48">
            <v>95.1</v>
          </cell>
          <cell r="T48">
            <v>99.2</v>
          </cell>
          <cell r="U48">
            <v>357</v>
          </cell>
          <cell r="V48">
            <v>518.9</v>
          </cell>
          <cell r="W48">
            <v>98.1</v>
          </cell>
          <cell r="X48">
            <v>62.8</v>
          </cell>
          <cell r="Z48">
            <v>7823</v>
          </cell>
          <cell r="AA48">
            <v>86.1</v>
          </cell>
          <cell r="AB48">
            <v>57.3</v>
          </cell>
          <cell r="AC48">
            <v>95.7</v>
          </cell>
          <cell r="AD48">
            <v>93.4</v>
          </cell>
          <cell r="AE48">
            <v>98.9</v>
          </cell>
          <cell r="AF48">
            <v>341.9</v>
          </cell>
          <cell r="AG48">
            <v>489</v>
          </cell>
          <cell r="AH48">
            <v>97</v>
          </cell>
          <cell r="AI48">
            <v>57.7</v>
          </cell>
        </row>
        <row r="49">
          <cell r="B49" t="str">
            <v>North East Lincolnshire</v>
          </cell>
          <cell r="D49">
            <v>898</v>
          </cell>
          <cell r="E49">
            <v>83.9</v>
          </cell>
          <cell r="F49">
            <v>53.9</v>
          </cell>
          <cell r="G49">
            <v>93.3</v>
          </cell>
          <cell r="H49">
            <v>92</v>
          </cell>
          <cell r="I49">
            <v>99.4</v>
          </cell>
          <cell r="J49">
            <v>327.10000000000002</v>
          </cell>
          <cell r="K49">
            <v>478.8</v>
          </cell>
          <cell r="L49">
            <v>95.1</v>
          </cell>
          <cell r="M49">
            <v>54.1</v>
          </cell>
          <cell r="O49">
            <v>947</v>
          </cell>
          <cell r="P49">
            <v>90.2</v>
          </cell>
          <cell r="Q49">
            <v>62.8</v>
          </cell>
          <cell r="R49">
            <v>95.7</v>
          </cell>
          <cell r="S49">
            <v>93.5</v>
          </cell>
          <cell r="T49">
            <v>99.3</v>
          </cell>
          <cell r="U49">
            <v>351</v>
          </cell>
          <cell r="V49">
            <v>528.70000000000005</v>
          </cell>
          <cell r="W49">
            <v>97.3</v>
          </cell>
          <cell r="X49">
            <v>62.9</v>
          </cell>
          <cell r="Z49">
            <v>1845</v>
          </cell>
          <cell r="AA49">
            <v>87.1</v>
          </cell>
          <cell r="AB49">
            <v>58.5</v>
          </cell>
          <cell r="AC49">
            <v>94.5</v>
          </cell>
          <cell r="AD49">
            <v>92.7</v>
          </cell>
          <cell r="AE49">
            <v>99.3</v>
          </cell>
          <cell r="AF49">
            <v>339.3</v>
          </cell>
          <cell r="AG49">
            <v>504.4</v>
          </cell>
          <cell r="AH49">
            <v>96.2</v>
          </cell>
          <cell r="AI49">
            <v>58.6</v>
          </cell>
        </row>
        <row r="50">
          <cell r="B50" t="str">
            <v>North Lincolnshire</v>
          </cell>
          <cell r="D50">
            <v>987</v>
          </cell>
          <cell r="E50">
            <v>85.3</v>
          </cell>
          <cell r="F50">
            <v>49</v>
          </cell>
          <cell r="G50">
            <v>96.5</v>
          </cell>
          <cell r="H50">
            <v>94.7</v>
          </cell>
          <cell r="I50">
            <v>99.7</v>
          </cell>
          <cell r="J50">
            <v>341.5</v>
          </cell>
          <cell r="K50">
            <v>470.4</v>
          </cell>
          <cell r="L50">
            <v>97.3</v>
          </cell>
          <cell r="M50">
            <v>49.4</v>
          </cell>
          <cell r="O50">
            <v>958</v>
          </cell>
          <cell r="P50">
            <v>93.5</v>
          </cell>
          <cell r="Q50">
            <v>64.7</v>
          </cell>
          <cell r="R50">
            <v>98.4</v>
          </cell>
          <cell r="S50">
            <v>97.1</v>
          </cell>
          <cell r="T50">
            <v>100</v>
          </cell>
          <cell r="U50">
            <v>369.4</v>
          </cell>
          <cell r="V50">
            <v>530.79999999999995</v>
          </cell>
          <cell r="W50">
            <v>98.5</v>
          </cell>
          <cell r="X50">
            <v>64.900000000000006</v>
          </cell>
          <cell r="Z50">
            <v>1945</v>
          </cell>
          <cell r="AA50">
            <v>89.4</v>
          </cell>
          <cell r="AB50">
            <v>56.8</v>
          </cell>
          <cell r="AC50">
            <v>97.4</v>
          </cell>
          <cell r="AD50">
            <v>95.9</v>
          </cell>
          <cell r="AE50">
            <v>99.8</v>
          </cell>
          <cell r="AF50">
            <v>355.2</v>
          </cell>
          <cell r="AG50">
            <v>500.2</v>
          </cell>
          <cell r="AH50">
            <v>97.9</v>
          </cell>
          <cell r="AI50">
            <v>57.1</v>
          </cell>
        </row>
        <row r="51">
          <cell r="B51" t="str">
            <v>North Yorkshire</v>
          </cell>
          <cell r="D51">
            <v>3448</v>
          </cell>
          <cell r="E51">
            <v>80.900000000000006</v>
          </cell>
          <cell r="F51">
            <v>59.3</v>
          </cell>
          <cell r="G51">
            <v>96.9</v>
          </cell>
          <cell r="H51">
            <v>94.9</v>
          </cell>
          <cell r="I51">
            <v>99.2</v>
          </cell>
          <cell r="J51">
            <v>340.4</v>
          </cell>
          <cell r="K51">
            <v>468.6</v>
          </cell>
          <cell r="L51">
            <v>97.2</v>
          </cell>
          <cell r="M51">
            <v>60</v>
          </cell>
          <cell r="O51">
            <v>3332</v>
          </cell>
          <cell r="P51">
            <v>88</v>
          </cell>
          <cell r="Q51">
            <v>71.7</v>
          </cell>
          <cell r="R51">
            <v>98.2</v>
          </cell>
          <cell r="S51">
            <v>97</v>
          </cell>
          <cell r="T51">
            <v>99.6</v>
          </cell>
          <cell r="U51">
            <v>363.8</v>
          </cell>
          <cell r="V51">
            <v>518.29999999999995</v>
          </cell>
          <cell r="W51">
            <v>98.4</v>
          </cell>
          <cell r="X51">
            <v>72.3</v>
          </cell>
          <cell r="Z51">
            <v>6780</v>
          </cell>
          <cell r="AA51">
            <v>84.4</v>
          </cell>
          <cell r="AB51">
            <v>65.400000000000006</v>
          </cell>
          <cell r="AC51">
            <v>97.5</v>
          </cell>
          <cell r="AD51">
            <v>95.9</v>
          </cell>
          <cell r="AE51">
            <v>99.4</v>
          </cell>
          <cell r="AF51">
            <v>351.9</v>
          </cell>
          <cell r="AG51">
            <v>493</v>
          </cell>
          <cell r="AH51">
            <v>97.8</v>
          </cell>
          <cell r="AI51">
            <v>66</v>
          </cell>
        </row>
        <row r="52">
          <cell r="B52" t="str">
            <v>Rotherham</v>
          </cell>
          <cell r="D52">
            <v>1827</v>
          </cell>
          <cell r="E52">
            <v>80.3</v>
          </cell>
          <cell r="F52">
            <v>58.8</v>
          </cell>
          <cell r="G52">
            <v>94.3</v>
          </cell>
          <cell r="H52">
            <v>92.5</v>
          </cell>
          <cell r="I52">
            <v>99.2</v>
          </cell>
          <cell r="J52">
            <v>323.89999999999998</v>
          </cell>
          <cell r="K52">
            <v>447.5</v>
          </cell>
          <cell r="L52">
            <v>95.3</v>
          </cell>
          <cell r="M52">
            <v>59.4</v>
          </cell>
          <cell r="O52">
            <v>1669</v>
          </cell>
          <cell r="P52">
            <v>89.7</v>
          </cell>
          <cell r="Q52">
            <v>68.900000000000006</v>
          </cell>
          <cell r="R52">
            <v>96.9</v>
          </cell>
          <cell r="S52">
            <v>95.1</v>
          </cell>
          <cell r="T52">
            <v>99.5</v>
          </cell>
          <cell r="U52">
            <v>356.5</v>
          </cell>
          <cell r="V52">
            <v>509.9</v>
          </cell>
          <cell r="W52">
            <v>97.7</v>
          </cell>
          <cell r="X52">
            <v>69.2</v>
          </cell>
          <cell r="Z52">
            <v>3496</v>
          </cell>
          <cell r="AA52">
            <v>84.8</v>
          </cell>
          <cell r="AB52">
            <v>63.6</v>
          </cell>
          <cell r="AC52">
            <v>95.5</v>
          </cell>
          <cell r="AD52">
            <v>93.7</v>
          </cell>
          <cell r="AE52">
            <v>99.4</v>
          </cell>
          <cell r="AF52">
            <v>339.5</v>
          </cell>
          <cell r="AG52">
            <v>477.3</v>
          </cell>
          <cell r="AH52">
            <v>96.5</v>
          </cell>
          <cell r="AI52">
            <v>64.099999999999994</v>
          </cell>
        </row>
        <row r="53">
          <cell r="B53" t="str">
            <v>Sheffield</v>
          </cell>
          <cell r="D53">
            <v>2794</v>
          </cell>
          <cell r="E53">
            <v>70.7</v>
          </cell>
          <cell r="F53">
            <v>51.8</v>
          </cell>
          <cell r="G53">
            <v>92.4</v>
          </cell>
          <cell r="H53">
            <v>90.6</v>
          </cell>
          <cell r="I53">
            <v>99.2</v>
          </cell>
          <cell r="J53">
            <v>311.7</v>
          </cell>
          <cell r="K53">
            <v>424.1</v>
          </cell>
          <cell r="L53">
            <v>94.3</v>
          </cell>
          <cell r="M53">
            <v>53.7</v>
          </cell>
          <cell r="O53">
            <v>2735</v>
          </cell>
          <cell r="P53">
            <v>82</v>
          </cell>
          <cell r="Q53">
            <v>62.9</v>
          </cell>
          <cell r="R53">
            <v>94.6</v>
          </cell>
          <cell r="S53">
            <v>92.4</v>
          </cell>
          <cell r="T53">
            <v>98.8</v>
          </cell>
          <cell r="U53">
            <v>342.3</v>
          </cell>
          <cell r="V53">
            <v>481.4</v>
          </cell>
          <cell r="W53">
            <v>96.5</v>
          </cell>
          <cell r="X53">
            <v>63.9</v>
          </cell>
          <cell r="Z53">
            <v>5529</v>
          </cell>
          <cell r="AA53">
            <v>76.3</v>
          </cell>
          <cell r="AB53">
            <v>57.3</v>
          </cell>
          <cell r="AC53">
            <v>93.5</v>
          </cell>
          <cell r="AD53">
            <v>91.5</v>
          </cell>
          <cell r="AE53">
            <v>99</v>
          </cell>
          <cell r="AF53">
            <v>326.89999999999998</v>
          </cell>
          <cell r="AG53">
            <v>452.4</v>
          </cell>
          <cell r="AH53">
            <v>95.4</v>
          </cell>
          <cell r="AI53">
            <v>58.7</v>
          </cell>
        </row>
        <row r="54">
          <cell r="B54" t="str">
            <v>Wakefield</v>
          </cell>
          <cell r="D54">
            <v>2005</v>
          </cell>
          <cell r="E54">
            <v>86.4</v>
          </cell>
          <cell r="F54">
            <v>62.4</v>
          </cell>
          <cell r="G54">
            <v>95.1</v>
          </cell>
          <cell r="H54">
            <v>93.8</v>
          </cell>
          <cell r="I54">
            <v>99.6</v>
          </cell>
          <cell r="J54">
            <v>339</v>
          </cell>
          <cell r="K54">
            <v>513.1</v>
          </cell>
          <cell r="L54">
            <v>96.8</v>
          </cell>
          <cell r="M54">
            <v>62.5</v>
          </cell>
          <cell r="O54">
            <v>1917</v>
          </cell>
          <cell r="P54">
            <v>91.7</v>
          </cell>
          <cell r="Q54">
            <v>70.400000000000006</v>
          </cell>
          <cell r="R54">
            <v>97.1</v>
          </cell>
          <cell r="S54">
            <v>96.3</v>
          </cell>
          <cell r="T54">
            <v>99.4</v>
          </cell>
          <cell r="U54">
            <v>367.4</v>
          </cell>
          <cell r="V54">
            <v>572.4</v>
          </cell>
          <cell r="W54">
            <v>98.4</v>
          </cell>
          <cell r="X54">
            <v>70.599999999999994</v>
          </cell>
          <cell r="Z54">
            <v>3922</v>
          </cell>
          <cell r="AA54">
            <v>89</v>
          </cell>
          <cell r="AB54">
            <v>66.3</v>
          </cell>
          <cell r="AC54">
            <v>96.1</v>
          </cell>
          <cell r="AD54">
            <v>95</v>
          </cell>
          <cell r="AE54">
            <v>99.5</v>
          </cell>
          <cell r="AF54">
            <v>352.9</v>
          </cell>
          <cell r="AG54">
            <v>542.1</v>
          </cell>
          <cell r="AH54">
            <v>97.6</v>
          </cell>
          <cell r="AI54">
            <v>66.5</v>
          </cell>
        </row>
        <row r="55">
          <cell r="B55" t="str">
            <v>York</v>
          </cell>
          <cell r="D55">
            <v>879</v>
          </cell>
          <cell r="E55">
            <v>85</v>
          </cell>
          <cell r="F55">
            <v>63.4</v>
          </cell>
          <cell r="G55">
            <v>97.6</v>
          </cell>
          <cell r="H55">
            <v>96.8</v>
          </cell>
          <cell r="I55">
            <v>99.5</v>
          </cell>
          <cell r="J55">
            <v>346.5</v>
          </cell>
          <cell r="K55">
            <v>474.8</v>
          </cell>
          <cell r="L55">
            <v>98</v>
          </cell>
          <cell r="M55">
            <v>63.6</v>
          </cell>
          <cell r="O55">
            <v>847</v>
          </cell>
          <cell r="P55">
            <v>90</v>
          </cell>
          <cell r="Q55">
            <v>71.7</v>
          </cell>
          <cell r="R55">
            <v>98.6</v>
          </cell>
          <cell r="S55">
            <v>97.6</v>
          </cell>
          <cell r="T55">
            <v>99.8</v>
          </cell>
          <cell r="U55">
            <v>365.5</v>
          </cell>
          <cell r="V55">
            <v>514.70000000000005</v>
          </cell>
          <cell r="W55">
            <v>98.8</v>
          </cell>
          <cell r="X55">
            <v>72</v>
          </cell>
          <cell r="Z55">
            <v>1726</v>
          </cell>
          <cell r="AA55">
            <v>87.4</v>
          </cell>
          <cell r="AB55">
            <v>67.400000000000006</v>
          </cell>
          <cell r="AC55">
            <v>98.1</v>
          </cell>
          <cell r="AD55">
            <v>97.2</v>
          </cell>
          <cell r="AE55">
            <v>99.7</v>
          </cell>
          <cell r="AF55">
            <v>355.8</v>
          </cell>
          <cell r="AG55">
            <v>494.4</v>
          </cell>
          <cell r="AH55">
            <v>98.4</v>
          </cell>
          <cell r="AI55">
            <v>67.7</v>
          </cell>
        </row>
        <row r="56">
          <cell r="B56" t="str">
            <v>East Midlands</v>
          </cell>
          <cell r="D56">
            <v>25559</v>
          </cell>
          <cell r="E56">
            <v>79.2</v>
          </cell>
          <cell r="F56">
            <v>53.8</v>
          </cell>
          <cell r="G56">
            <v>94.7</v>
          </cell>
          <cell r="H56">
            <v>93.1</v>
          </cell>
          <cell r="I56">
            <v>99.1</v>
          </cell>
          <cell r="J56">
            <v>328.4</v>
          </cell>
          <cell r="K56">
            <v>443.3</v>
          </cell>
          <cell r="L56">
            <v>95.7</v>
          </cell>
          <cell r="M56">
            <v>54.6</v>
          </cell>
          <cell r="O56">
            <v>24627</v>
          </cell>
          <cell r="P56">
            <v>86.4</v>
          </cell>
          <cell r="Q56">
            <v>65</v>
          </cell>
          <cell r="R56">
            <v>97</v>
          </cell>
          <cell r="S56">
            <v>95.7</v>
          </cell>
          <cell r="T56">
            <v>99.5</v>
          </cell>
          <cell r="U56">
            <v>353.6</v>
          </cell>
          <cell r="V56">
            <v>485.6</v>
          </cell>
          <cell r="W56">
            <v>97.9</v>
          </cell>
          <cell r="X56">
            <v>65.599999999999994</v>
          </cell>
          <cell r="Z56">
            <v>50186</v>
          </cell>
          <cell r="AA56">
            <v>82.8</v>
          </cell>
          <cell r="AB56">
            <v>59.3</v>
          </cell>
          <cell r="AC56">
            <v>95.8</v>
          </cell>
          <cell r="AD56">
            <v>94.3</v>
          </cell>
          <cell r="AE56">
            <v>99.3</v>
          </cell>
          <cell r="AF56">
            <v>340.8</v>
          </cell>
          <cell r="AG56">
            <v>464.1</v>
          </cell>
          <cell r="AH56">
            <v>96.8</v>
          </cell>
          <cell r="AI56">
            <v>60</v>
          </cell>
        </row>
        <row r="57">
          <cell r="B57" t="str">
            <v>Derby</v>
          </cell>
          <cell r="D57">
            <v>1464</v>
          </cell>
          <cell r="E57">
            <v>77.400000000000006</v>
          </cell>
          <cell r="F57">
            <v>49.2</v>
          </cell>
          <cell r="G57">
            <v>94.5</v>
          </cell>
          <cell r="H57">
            <v>93.6</v>
          </cell>
          <cell r="I57">
            <v>98.9</v>
          </cell>
          <cell r="J57">
            <v>329.7</v>
          </cell>
          <cell r="K57">
            <v>443</v>
          </cell>
          <cell r="L57">
            <v>95.1</v>
          </cell>
          <cell r="M57">
            <v>50.5</v>
          </cell>
          <cell r="O57">
            <v>1478</v>
          </cell>
          <cell r="P57">
            <v>86.1</v>
          </cell>
          <cell r="Q57">
            <v>62</v>
          </cell>
          <cell r="R57">
            <v>96.7</v>
          </cell>
          <cell r="S57">
            <v>94.7</v>
          </cell>
          <cell r="T57">
            <v>98.8</v>
          </cell>
          <cell r="U57">
            <v>354</v>
          </cell>
          <cell r="V57">
            <v>493.7</v>
          </cell>
          <cell r="W57">
            <v>97.5</v>
          </cell>
          <cell r="X57">
            <v>62.9</v>
          </cell>
          <cell r="Z57">
            <v>2942</v>
          </cell>
          <cell r="AA57">
            <v>81.8</v>
          </cell>
          <cell r="AB57">
            <v>55.6</v>
          </cell>
          <cell r="AC57">
            <v>95.6</v>
          </cell>
          <cell r="AD57">
            <v>94.2</v>
          </cell>
          <cell r="AE57">
            <v>98.9</v>
          </cell>
          <cell r="AF57">
            <v>341.9</v>
          </cell>
          <cell r="AG57">
            <v>468.5</v>
          </cell>
          <cell r="AH57">
            <v>96.3</v>
          </cell>
          <cell r="AI57">
            <v>56.7</v>
          </cell>
        </row>
        <row r="58">
          <cell r="B58" t="str">
            <v>Derbyshire</v>
          </cell>
          <cell r="D58">
            <v>4216</v>
          </cell>
          <cell r="E58">
            <v>78</v>
          </cell>
          <cell r="F58">
            <v>52.7</v>
          </cell>
          <cell r="G58">
            <v>95.5</v>
          </cell>
          <cell r="H58">
            <v>94</v>
          </cell>
          <cell r="I58">
            <v>99.2</v>
          </cell>
          <cell r="J58">
            <v>326.3</v>
          </cell>
          <cell r="K58">
            <v>431.4</v>
          </cell>
          <cell r="L58">
            <v>96.3</v>
          </cell>
          <cell r="M58">
            <v>53.4</v>
          </cell>
          <cell r="O58">
            <v>4168</v>
          </cell>
          <cell r="P58">
            <v>85.3</v>
          </cell>
          <cell r="Q58">
            <v>65.7</v>
          </cell>
          <cell r="R58">
            <v>97.3</v>
          </cell>
          <cell r="S58">
            <v>96.4</v>
          </cell>
          <cell r="T58">
            <v>99.7</v>
          </cell>
          <cell r="U58">
            <v>351.7</v>
          </cell>
          <cell r="V58">
            <v>471.8</v>
          </cell>
          <cell r="W58">
            <v>98.4</v>
          </cell>
          <cell r="X58">
            <v>66.3</v>
          </cell>
          <cell r="Z58">
            <v>8384</v>
          </cell>
          <cell r="AA58">
            <v>81.599999999999994</v>
          </cell>
          <cell r="AB58">
            <v>59.1</v>
          </cell>
          <cell r="AC58">
            <v>96.4</v>
          </cell>
          <cell r="AD58">
            <v>95.2</v>
          </cell>
          <cell r="AE58">
            <v>99.5</v>
          </cell>
          <cell r="AF58">
            <v>338.9</v>
          </cell>
          <cell r="AG58">
            <v>451.5</v>
          </cell>
          <cell r="AH58">
            <v>97.4</v>
          </cell>
          <cell r="AI58">
            <v>59.8</v>
          </cell>
        </row>
        <row r="59">
          <cell r="B59" t="str">
            <v>Leicester</v>
          </cell>
          <cell r="D59">
            <v>1811</v>
          </cell>
          <cell r="E59">
            <v>75.5</v>
          </cell>
          <cell r="F59">
            <v>50.4</v>
          </cell>
          <cell r="G59">
            <v>91.7</v>
          </cell>
          <cell r="H59">
            <v>89.8</v>
          </cell>
          <cell r="I59">
            <v>98.1</v>
          </cell>
          <cell r="J59">
            <v>317.89999999999998</v>
          </cell>
          <cell r="K59">
            <v>430</v>
          </cell>
          <cell r="L59">
            <v>92.9</v>
          </cell>
          <cell r="M59">
            <v>50.6</v>
          </cell>
          <cell r="O59">
            <v>1667</v>
          </cell>
          <cell r="P59">
            <v>84.2</v>
          </cell>
          <cell r="Q59">
            <v>59.6</v>
          </cell>
          <cell r="R59">
            <v>95.4</v>
          </cell>
          <cell r="S59">
            <v>92.8</v>
          </cell>
          <cell r="T59">
            <v>99.3</v>
          </cell>
          <cell r="U59">
            <v>344.1</v>
          </cell>
          <cell r="V59">
            <v>475.3</v>
          </cell>
          <cell r="W59">
            <v>96.2</v>
          </cell>
          <cell r="X59">
            <v>60.1</v>
          </cell>
          <cell r="Z59">
            <v>3478</v>
          </cell>
          <cell r="AA59">
            <v>79.599999999999994</v>
          </cell>
          <cell r="AB59">
            <v>54.8</v>
          </cell>
          <cell r="AC59">
            <v>93.4</v>
          </cell>
          <cell r="AD59">
            <v>91.3</v>
          </cell>
          <cell r="AE59">
            <v>98.6</v>
          </cell>
          <cell r="AF59">
            <v>330.4</v>
          </cell>
          <cell r="AG59">
            <v>451.7</v>
          </cell>
          <cell r="AH59">
            <v>94.5</v>
          </cell>
          <cell r="AI59">
            <v>55.2</v>
          </cell>
        </row>
        <row r="60">
          <cell r="B60" t="str">
            <v>Leicestershire</v>
          </cell>
          <cell r="D60">
            <v>3729</v>
          </cell>
          <cell r="E60">
            <v>78.7</v>
          </cell>
          <cell r="F60">
            <v>55.3</v>
          </cell>
          <cell r="G60">
            <v>95.8</v>
          </cell>
          <cell r="H60">
            <v>94.7</v>
          </cell>
          <cell r="I60">
            <v>99.4</v>
          </cell>
          <cell r="J60">
            <v>332.2</v>
          </cell>
          <cell r="K60">
            <v>441.1</v>
          </cell>
          <cell r="L60">
            <v>96.8</v>
          </cell>
          <cell r="M60">
            <v>56.1</v>
          </cell>
          <cell r="O60">
            <v>3546</v>
          </cell>
          <cell r="P60">
            <v>85.5</v>
          </cell>
          <cell r="Q60">
            <v>63.9</v>
          </cell>
          <cell r="R60">
            <v>96.8</v>
          </cell>
          <cell r="S60">
            <v>96</v>
          </cell>
          <cell r="T60">
            <v>99.4</v>
          </cell>
          <cell r="U60">
            <v>352.5</v>
          </cell>
          <cell r="V60">
            <v>469.4</v>
          </cell>
          <cell r="W60">
            <v>97.9</v>
          </cell>
          <cell r="X60">
            <v>64.400000000000006</v>
          </cell>
          <cell r="Z60">
            <v>7275</v>
          </cell>
          <cell r="AA60">
            <v>82</v>
          </cell>
          <cell r="AB60">
            <v>59.5</v>
          </cell>
          <cell r="AC60">
            <v>96.3</v>
          </cell>
          <cell r="AD60">
            <v>95.3</v>
          </cell>
          <cell r="AE60">
            <v>99.4</v>
          </cell>
          <cell r="AF60">
            <v>342.1</v>
          </cell>
          <cell r="AG60">
            <v>454.9</v>
          </cell>
          <cell r="AH60">
            <v>97.3</v>
          </cell>
          <cell r="AI60">
            <v>60.2</v>
          </cell>
        </row>
        <row r="61">
          <cell r="B61" t="str">
            <v>Lincolnshire</v>
          </cell>
          <cell r="D61">
            <v>4239</v>
          </cell>
          <cell r="E61">
            <v>81.099999999999994</v>
          </cell>
          <cell r="F61">
            <v>55.7</v>
          </cell>
          <cell r="G61">
            <v>95.4</v>
          </cell>
          <cell r="H61">
            <v>93.7</v>
          </cell>
          <cell r="I61">
            <v>99.5</v>
          </cell>
          <cell r="J61">
            <v>334.2</v>
          </cell>
          <cell r="K61">
            <v>456.1</v>
          </cell>
          <cell r="L61">
            <v>96.3</v>
          </cell>
          <cell r="M61">
            <v>56.7</v>
          </cell>
          <cell r="O61">
            <v>4035</v>
          </cell>
          <cell r="P61">
            <v>88.2</v>
          </cell>
          <cell r="Q61">
            <v>68.099999999999994</v>
          </cell>
          <cell r="R61">
            <v>98</v>
          </cell>
          <cell r="S61">
            <v>96.9</v>
          </cell>
          <cell r="T61">
            <v>99.7</v>
          </cell>
          <cell r="U61">
            <v>359.6</v>
          </cell>
          <cell r="V61">
            <v>492.8</v>
          </cell>
          <cell r="W61">
            <v>98.5</v>
          </cell>
          <cell r="X61">
            <v>68.599999999999994</v>
          </cell>
          <cell r="Z61">
            <v>8274</v>
          </cell>
          <cell r="AA61">
            <v>84.5</v>
          </cell>
          <cell r="AB61">
            <v>61.8</v>
          </cell>
          <cell r="AC61">
            <v>96.7</v>
          </cell>
          <cell r="AD61">
            <v>95.3</v>
          </cell>
          <cell r="AE61">
            <v>99.6</v>
          </cell>
          <cell r="AF61">
            <v>346.6</v>
          </cell>
          <cell r="AG61">
            <v>474</v>
          </cell>
          <cell r="AH61">
            <v>97.4</v>
          </cell>
          <cell r="AI61">
            <v>62.5</v>
          </cell>
        </row>
        <row r="62">
          <cell r="B62" t="str">
            <v>Northamptonshire</v>
          </cell>
          <cell r="D62">
            <v>4047</v>
          </cell>
          <cell r="E62">
            <v>76.2</v>
          </cell>
          <cell r="F62">
            <v>53.3</v>
          </cell>
          <cell r="G62">
            <v>94.4</v>
          </cell>
          <cell r="H62">
            <v>92.8</v>
          </cell>
          <cell r="I62">
            <v>99</v>
          </cell>
          <cell r="J62">
            <v>324.3</v>
          </cell>
          <cell r="K62">
            <v>435.4</v>
          </cell>
          <cell r="L62">
            <v>95.5</v>
          </cell>
          <cell r="M62">
            <v>54.4</v>
          </cell>
          <cell r="O62">
            <v>3925</v>
          </cell>
          <cell r="P62">
            <v>84</v>
          </cell>
          <cell r="Q62">
            <v>63</v>
          </cell>
          <cell r="R62">
            <v>96.6</v>
          </cell>
          <cell r="S62">
            <v>95.4</v>
          </cell>
          <cell r="T62">
            <v>99.5</v>
          </cell>
          <cell r="U62">
            <v>349.4</v>
          </cell>
          <cell r="V62">
            <v>481.2</v>
          </cell>
          <cell r="W62">
            <v>97.3</v>
          </cell>
          <cell r="X62">
            <v>63.9</v>
          </cell>
          <cell r="Z62">
            <v>7972</v>
          </cell>
          <cell r="AA62">
            <v>80</v>
          </cell>
          <cell r="AB62">
            <v>58.1</v>
          </cell>
          <cell r="AC62">
            <v>95.5</v>
          </cell>
          <cell r="AD62">
            <v>94.1</v>
          </cell>
          <cell r="AE62">
            <v>99.2</v>
          </cell>
          <cell r="AF62">
            <v>336.7</v>
          </cell>
          <cell r="AG62">
            <v>457.9</v>
          </cell>
          <cell r="AH62">
            <v>96.4</v>
          </cell>
          <cell r="AI62">
            <v>59.1</v>
          </cell>
        </row>
        <row r="63">
          <cell r="B63" t="str">
            <v>Nottingham</v>
          </cell>
          <cell r="D63">
            <v>1414</v>
          </cell>
          <cell r="E63">
            <v>72.3</v>
          </cell>
          <cell r="F63">
            <v>45.1</v>
          </cell>
          <cell r="G63">
            <v>87.3</v>
          </cell>
          <cell r="H63">
            <v>84</v>
          </cell>
          <cell r="I63">
            <v>97.9</v>
          </cell>
          <cell r="J63">
            <v>297</v>
          </cell>
          <cell r="K63">
            <v>384.1</v>
          </cell>
          <cell r="L63">
            <v>91.1</v>
          </cell>
          <cell r="M63">
            <v>45.9</v>
          </cell>
          <cell r="O63">
            <v>1305</v>
          </cell>
          <cell r="P63">
            <v>83.9</v>
          </cell>
          <cell r="Q63">
            <v>55.9</v>
          </cell>
          <cell r="R63">
            <v>94.3</v>
          </cell>
          <cell r="S63">
            <v>91.3</v>
          </cell>
          <cell r="T63">
            <v>99.2</v>
          </cell>
          <cell r="U63">
            <v>340.5</v>
          </cell>
          <cell r="V63">
            <v>467.8</v>
          </cell>
          <cell r="W63">
            <v>96.8</v>
          </cell>
          <cell r="X63">
            <v>56.4</v>
          </cell>
          <cell r="Z63">
            <v>2719</v>
          </cell>
          <cell r="AA63">
            <v>77.900000000000006</v>
          </cell>
          <cell r="AB63">
            <v>50.3</v>
          </cell>
          <cell r="AC63">
            <v>90.7</v>
          </cell>
          <cell r="AD63">
            <v>87.5</v>
          </cell>
          <cell r="AE63">
            <v>98.5</v>
          </cell>
          <cell r="AF63">
            <v>317.89999999999998</v>
          </cell>
          <cell r="AG63">
            <v>424.3</v>
          </cell>
          <cell r="AH63">
            <v>93.8</v>
          </cell>
          <cell r="AI63">
            <v>50.9</v>
          </cell>
        </row>
        <row r="64">
          <cell r="B64" t="str">
            <v>Nottinghamshire</v>
          </cell>
          <cell r="D64">
            <v>4389</v>
          </cell>
          <cell r="E64">
            <v>86.2</v>
          </cell>
          <cell r="F64">
            <v>57.4</v>
          </cell>
          <cell r="G64">
            <v>95.8</v>
          </cell>
          <cell r="H64">
            <v>94.2</v>
          </cell>
          <cell r="I64">
            <v>99.4</v>
          </cell>
          <cell r="J64">
            <v>338.9</v>
          </cell>
          <cell r="K64">
            <v>476.4</v>
          </cell>
          <cell r="L64">
            <v>96.7</v>
          </cell>
          <cell r="M64">
            <v>57.8</v>
          </cell>
          <cell r="O64">
            <v>4280</v>
          </cell>
          <cell r="P64">
            <v>90.6</v>
          </cell>
          <cell r="Q64">
            <v>69.400000000000006</v>
          </cell>
          <cell r="R64">
            <v>97.8</v>
          </cell>
          <cell r="S64">
            <v>96.3</v>
          </cell>
          <cell r="T64">
            <v>99.6</v>
          </cell>
          <cell r="U64">
            <v>361.5</v>
          </cell>
          <cell r="V64">
            <v>516.29999999999995</v>
          </cell>
          <cell r="W64">
            <v>98.4</v>
          </cell>
          <cell r="X64">
            <v>69.8</v>
          </cell>
          <cell r="Z64">
            <v>8669</v>
          </cell>
          <cell r="AA64">
            <v>88.4</v>
          </cell>
          <cell r="AB64">
            <v>63.4</v>
          </cell>
          <cell r="AC64">
            <v>96.7</v>
          </cell>
          <cell r="AD64">
            <v>95.2</v>
          </cell>
          <cell r="AE64">
            <v>99.5</v>
          </cell>
          <cell r="AF64">
            <v>350</v>
          </cell>
          <cell r="AG64">
            <v>496.1</v>
          </cell>
          <cell r="AH64">
            <v>97.5</v>
          </cell>
          <cell r="AI64">
            <v>63.7</v>
          </cell>
        </row>
        <row r="65">
          <cell r="B65" t="str">
            <v>Rutland</v>
          </cell>
          <cell r="D65">
            <v>250</v>
          </cell>
          <cell r="E65">
            <v>81.599999999999994</v>
          </cell>
          <cell r="F65">
            <v>58.4</v>
          </cell>
          <cell r="G65">
            <v>98.8</v>
          </cell>
          <cell r="H65">
            <v>98.8</v>
          </cell>
          <cell r="I65">
            <v>100</v>
          </cell>
          <cell r="J65">
            <v>337.3</v>
          </cell>
          <cell r="K65">
            <v>439</v>
          </cell>
          <cell r="L65">
            <v>98.8</v>
          </cell>
          <cell r="M65">
            <v>60</v>
          </cell>
          <cell r="O65">
            <v>223</v>
          </cell>
          <cell r="P65">
            <v>87.4</v>
          </cell>
          <cell r="Q65">
            <v>77.099999999999994</v>
          </cell>
          <cell r="R65">
            <v>100</v>
          </cell>
          <cell r="S65">
            <v>100</v>
          </cell>
          <cell r="T65">
            <v>100</v>
          </cell>
          <cell r="U65">
            <v>367.6</v>
          </cell>
          <cell r="V65">
            <v>492.4</v>
          </cell>
          <cell r="W65">
            <v>100</v>
          </cell>
          <cell r="X65">
            <v>77.599999999999994</v>
          </cell>
          <cell r="Z65">
            <v>473</v>
          </cell>
          <cell r="AA65">
            <v>84.4</v>
          </cell>
          <cell r="AB65">
            <v>67.2</v>
          </cell>
          <cell r="AC65">
            <v>99.4</v>
          </cell>
          <cell r="AD65">
            <v>99.4</v>
          </cell>
          <cell r="AE65">
            <v>100</v>
          </cell>
          <cell r="AF65">
            <v>351.5</v>
          </cell>
          <cell r="AG65">
            <v>464.2</v>
          </cell>
          <cell r="AH65">
            <v>99.4</v>
          </cell>
          <cell r="AI65">
            <v>68.3</v>
          </cell>
        </row>
        <row r="66">
          <cell r="B66" t="str">
            <v>West Midlands</v>
          </cell>
          <cell r="D66">
            <v>33086</v>
          </cell>
          <cell r="E66">
            <v>82.7</v>
          </cell>
          <cell r="F66">
            <v>55</v>
          </cell>
          <cell r="G66">
            <v>95.3</v>
          </cell>
          <cell r="H66">
            <v>93.1</v>
          </cell>
          <cell r="I66">
            <v>99.3</v>
          </cell>
          <cell r="J66">
            <v>333.4</v>
          </cell>
          <cell r="K66">
            <v>463.6</v>
          </cell>
          <cell r="L66">
            <v>95.7</v>
          </cell>
          <cell r="M66">
            <v>55.5</v>
          </cell>
          <cell r="O66">
            <v>31344</v>
          </cell>
          <cell r="P66">
            <v>88.6</v>
          </cell>
          <cell r="Q66">
            <v>65.099999999999994</v>
          </cell>
          <cell r="R66">
            <v>97.3</v>
          </cell>
          <cell r="S66">
            <v>95.7</v>
          </cell>
          <cell r="T66">
            <v>99.6</v>
          </cell>
          <cell r="U66">
            <v>357.5</v>
          </cell>
          <cell r="V66">
            <v>509.7</v>
          </cell>
          <cell r="W66">
            <v>97.8</v>
          </cell>
          <cell r="X66">
            <v>65.5</v>
          </cell>
          <cell r="Z66">
            <v>64430</v>
          </cell>
          <cell r="AA66">
            <v>85.6</v>
          </cell>
          <cell r="AB66">
            <v>59.9</v>
          </cell>
          <cell r="AC66">
            <v>96.3</v>
          </cell>
          <cell r="AD66">
            <v>94.4</v>
          </cell>
          <cell r="AE66">
            <v>99.4</v>
          </cell>
          <cell r="AF66">
            <v>345.1</v>
          </cell>
          <cell r="AG66">
            <v>486</v>
          </cell>
          <cell r="AH66">
            <v>96.7</v>
          </cell>
          <cell r="AI66">
            <v>60.4</v>
          </cell>
        </row>
        <row r="67">
          <cell r="B67" t="str">
            <v>Birmingham</v>
          </cell>
          <cell r="D67">
            <v>6309</v>
          </cell>
          <cell r="E67">
            <v>85.4</v>
          </cell>
          <cell r="F67">
            <v>55</v>
          </cell>
          <cell r="G67">
            <v>95.4</v>
          </cell>
          <cell r="H67">
            <v>91.6</v>
          </cell>
          <cell r="I67">
            <v>99.2</v>
          </cell>
          <cell r="J67">
            <v>338.2</v>
          </cell>
          <cell r="K67">
            <v>474</v>
          </cell>
          <cell r="L67">
            <v>94.1</v>
          </cell>
          <cell r="M67">
            <v>55.7</v>
          </cell>
          <cell r="O67">
            <v>6152</v>
          </cell>
          <cell r="P67">
            <v>89.8</v>
          </cell>
          <cell r="Q67">
            <v>64.8</v>
          </cell>
          <cell r="R67">
            <v>97.6</v>
          </cell>
          <cell r="S67">
            <v>95.7</v>
          </cell>
          <cell r="T67">
            <v>99.6</v>
          </cell>
          <cell r="U67">
            <v>361.5</v>
          </cell>
          <cell r="V67">
            <v>520.9</v>
          </cell>
          <cell r="W67">
            <v>97.9</v>
          </cell>
          <cell r="X67">
            <v>65.2</v>
          </cell>
          <cell r="Z67">
            <v>12461</v>
          </cell>
          <cell r="AA67">
            <v>87.6</v>
          </cell>
          <cell r="AB67">
            <v>59.8</v>
          </cell>
          <cell r="AC67">
            <v>96.5</v>
          </cell>
          <cell r="AD67">
            <v>93.6</v>
          </cell>
          <cell r="AE67">
            <v>99.4</v>
          </cell>
          <cell r="AF67">
            <v>349.7</v>
          </cell>
          <cell r="AG67">
            <v>497.2</v>
          </cell>
          <cell r="AH67">
            <v>95.9</v>
          </cell>
          <cell r="AI67">
            <v>60.4</v>
          </cell>
        </row>
        <row r="68">
          <cell r="B68" t="str">
            <v>Coventry</v>
          </cell>
          <cell r="D68">
            <v>1811</v>
          </cell>
          <cell r="E68">
            <v>86.2</v>
          </cell>
          <cell r="F68">
            <v>51.8</v>
          </cell>
          <cell r="G68">
            <v>95.9</v>
          </cell>
          <cell r="H68">
            <v>93.7</v>
          </cell>
          <cell r="I68">
            <v>99.1</v>
          </cell>
          <cell r="J68">
            <v>339.1</v>
          </cell>
          <cell r="K68">
            <v>503.1</v>
          </cell>
          <cell r="L68">
            <v>96.1</v>
          </cell>
          <cell r="M68">
            <v>52.1</v>
          </cell>
          <cell r="O68">
            <v>1777</v>
          </cell>
          <cell r="P68">
            <v>88.5</v>
          </cell>
          <cell r="Q68">
            <v>60.9</v>
          </cell>
          <cell r="R68">
            <v>96.5</v>
          </cell>
          <cell r="S68">
            <v>94.7</v>
          </cell>
          <cell r="T68">
            <v>99.2</v>
          </cell>
          <cell r="U68">
            <v>354.1</v>
          </cell>
          <cell r="V68">
            <v>516.4</v>
          </cell>
          <cell r="W68">
            <v>97.3</v>
          </cell>
          <cell r="X68">
            <v>61.4</v>
          </cell>
          <cell r="Z68">
            <v>3588</v>
          </cell>
          <cell r="AA68">
            <v>87.3</v>
          </cell>
          <cell r="AB68">
            <v>56.4</v>
          </cell>
          <cell r="AC68">
            <v>96.2</v>
          </cell>
          <cell r="AD68">
            <v>94.2</v>
          </cell>
          <cell r="AE68">
            <v>99.1</v>
          </cell>
          <cell r="AF68">
            <v>346.5</v>
          </cell>
          <cell r="AG68">
            <v>509.7</v>
          </cell>
          <cell r="AH68">
            <v>96.7</v>
          </cell>
          <cell r="AI68">
            <v>56.7</v>
          </cell>
        </row>
        <row r="69">
          <cell r="B69" t="str">
            <v>Dudley</v>
          </cell>
          <cell r="D69">
            <v>2073</v>
          </cell>
          <cell r="E69">
            <v>77.5</v>
          </cell>
          <cell r="F69">
            <v>55.6</v>
          </cell>
          <cell r="G69">
            <v>95.5</v>
          </cell>
          <cell r="H69">
            <v>93</v>
          </cell>
          <cell r="I69">
            <v>99.3</v>
          </cell>
          <cell r="J69">
            <v>328</v>
          </cell>
          <cell r="K69">
            <v>441.8</v>
          </cell>
          <cell r="L69">
            <v>96.1</v>
          </cell>
          <cell r="M69">
            <v>56.3</v>
          </cell>
          <cell r="O69">
            <v>1856</v>
          </cell>
          <cell r="P69">
            <v>85.5</v>
          </cell>
          <cell r="Q69">
            <v>64.3</v>
          </cell>
          <cell r="R69">
            <v>97.1</v>
          </cell>
          <cell r="S69">
            <v>95.5</v>
          </cell>
          <cell r="T69">
            <v>99.8</v>
          </cell>
          <cell r="U69">
            <v>350.6</v>
          </cell>
          <cell r="V69">
            <v>484.2</v>
          </cell>
          <cell r="W69">
            <v>98.3</v>
          </cell>
          <cell r="X69">
            <v>65</v>
          </cell>
          <cell r="Z69">
            <v>3929</v>
          </cell>
          <cell r="AA69">
            <v>81.2</v>
          </cell>
          <cell r="AB69">
            <v>59.7</v>
          </cell>
          <cell r="AC69">
            <v>96.3</v>
          </cell>
          <cell r="AD69">
            <v>94.1</v>
          </cell>
          <cell r="AE69">
            <v>99.5</v>
          </cell>
          <cell r="AF69">
            <v>338.7</v>
          </cell>
          <cell r="AG69">
            <v>461.8</v>
          </cell>
          <cell r="AH69">
            <v>97.1</v>
          </cell>
          <cell r="AI69">
            <v>60.4</v>
          </cell>
        </row>
        <row r="70">
          <cell r="B70" t="str">
            <v>Herefordshire, County of</v>
          </cell>
          <cell r="D70">
            <v>940</v>
          </cell>
          <cell r="E70">
            <v>80.5</v>
          </cell>
          <cell r="F70">
            <v>50.1</v>
          </cell>
          <cell r="G70">
            <v>95.3</v>
          </cell>
          <cell r="H70">
            <v>92.3</v>
          </cell>
          <cell r="I70">
            <v>98.6</v>
          </cell>
          <cell r="J70">
            <v>329.6</v>
          </cell>
          <cell r="K70">
            <v>447.8</v>
          </cell>
          <cell r="L70">
            <v>94.4</v>
          </cell>
          <cell r="M70">
            <v>50.6</v>
          </cell>
          <cell r="O70">
            <v>885</v>
          </cell>
          <cell r="P70">
            <v>88.7</v>
          </cell>
          <cell r="Q70">
            <v>62.5</v>
          </cell>
          <cell r="R70">
            <v>97.6</v>
          </cell>
          <cell r="S70">
            <v>95.5</v>
          </cell>
          <cell r="T70">
            <v>99.1</v>
          </cell>
          <cell r="U70">
            <v>359.1</v>
          </cell>
          <cell r="V70">
            <v>509.9</v>
          </cell>
          <cell r="W70">
            <v>96.7</v>
          </cell>
          <cell r="X70">
            <v>62.5</v>
          </cell>
          <cell r="Z70">
            <v>1825</v>
          </cell>
          <cell r="AA70">
            <v>84.5</v>
          </cell>
          <cell r="AB70">
            <v>56.1</v>
          </cell>
          <cell r="AC70">
            <v>96.4</v>
          </cell>
          <cell r="AD70">
            <v>93.9</v>
          </cell>
          <cell r="AE70">
            <v>98.8</v>
          </cell>
          <cell r="AF70">
            <v>343.9</v>
          </cell>
          <cell r="AG70">
            <v>477.9</v>
          </cell>
          <cell r="AH70">
            <v>95.5</v>
          </cell>
          <cell r="AI70">
            <v>56.4</v>
          </cell>
        </row>
        <row r="71">
          <cell r="B71" t="str">
            <v>Sandwell</v>
          </cell>
          <cell r="D71">
            <v>1977</v>
          </cell>
          <cell r="E71">
            <v>85.7</v>
          </cell>
          <cell r="F71">
            <v>48.9</v>
          </cell>
          <cell r="G71">
            <v>95.3</v>
          </cell>
          <cell r="H71">
            <v>92.9</v>
          </cell>
          <cell r="I71">
            <v>99.4</v>
          </cell>
          <cell r="J71">
            <v>326.89999999999998</v>
          </cell>
          <cell r="K71">
            <v>461.2</v>
          </cell>
          <cell r="L71">
            <v>96.4</v>
          </cell>
          <cell r="M71">
            <v>49.1</v>
          </cell>
          <cell r="O71">
            <v>1691</v>
          </cell>
          <cell r="P71">
            <v>90.1</v>
          </cell>
          <cell r="Q71">
            <v>60.3</v>
          </cell>
          <cell r="R71">
            <v>97.2</v>
          </cell>
          <cell r="S71">
            <v>94.9</v>
          </cell>
          <cell r="T71">
            <v>99.6</v>
          </cell>
          <cell r="U71">
            <v>352.7</v>
          </cell>
          <cell r="V71">
            <v>520.5</v>
          </cell>
          <cell r="W71">
            <v>97.8</v>
          </cell>
          <cell r="X71">
            <v>60.5</v>
          </cell>
          <cell r="Z71">
            <v>3668</v>
          </cell>
          <cell r="AA71">
            <v>87.7</v>
          </cell>
          <cell r="AB71">
            <v>54.1</v>
          </cell>
          <cell r="AC71">
            <v>96.2</v>
          </cell>
          <cell r="AD71">
            <v>93.8</v>
          </cell>
          <cell r="AE71">
            <v>99.5</v>
          </cell>
          <cell r="AF71">
            <v>338.8</v>
          </cell>
          <cell r="AG71">
            <v>488.5</v>
          </cell>
          <cell r="AH71">
            <v>97</v>
          </cell>
          <cell r="AI71">
            <v>54.4</v>
          </cell>
        </row>
        <row r="72">
          <cell r="B72" t="str">
            <v>Shropshire</v>
          </cell>
          <cell r="D72">
            <v>1650</v>
          </cell>
          <cell r="E72">
            <v>75.099999999999994</v>
          </cell>
          <cell r="F72">
            <v>54.7</v>
          </cell>
          <cell r="G72">
            <v>96.4</v>
          </cell>
          <cell r="H72">
            <v>94.7</v>
          </cell>
          <cell r="I72">
            <v>99.2</v>
          </cell>
          <cell r="J72">
            <v>325.10000000000002</v>
          </cell>
          <cell r="K72">
            <v>431</v>
          </cell>
          <cell r="L72">
            <v>96.9</v>
          </cell>
          <cell r="M72">
            <v>55.3</v>
          </cell>
          <cell r="O72">
            <v>1608</v>
          </cell>
          <cell r="P72">
            <v>83</v>
          </cell>
          <cell r="Q72">
            <v>66.2</v>
          </cell>
          <cell r="R72">
            <v>97.5</v>
          </cell>
          <cell r="S72">
            <v>96.5</v>
          </cell>
          <cell r="T72">
            <v>99.4</v>
          </cell>
          <cell r="U72">
            <v>349.4</v>
          </cell>
          <cell r="V72">
            <v>475.6</v>
          </cell>
          <cell r="W72">
            <v>98.1</v>
          </cell>
          <cell r="X72">
            <v>66.8</v>
          </cell>
          <cell r="Z72">
            <v>3258</v>
          </cell>
          <cell r="AA72">
            <v>79</v>
          </cell>
          <cell r="AB72">
            <v>60.4</v>
          </cell>
          <cell r="AC72">
            <v>96.9</v>
          </cell>
          <cell r="AD72">
            <v>95.6</v>
          </cell>
          <cell r="AE72">
            <v>99.3</v>
          </cell>
          <cell r="AF72">
            <v>337.1</v>
          </cell>
          <cell r="AG72">
            <v>453</v>
          </cell>
          <cell r="AH72">
            <v>97.5</v>
          </cell>
          <cell r="AI72">
            <v>61</v>
          </cell>
        </row>
        <row r="73">
          <cell r="B73" t="str">
            <v>Solihull</v>
          </cell>
          <cell r="D73">
            <v>1584</v>
          </cell>
          <cell r="E73">
            <v>87.4</v>
          </cell>
          <cell r="F73">
            <v>63.3</v>
          </cell>
          <cell r="G73">
            <v>97.2</v>
          </cell>
          <cell r="H73">
            <v>96</v>
          </cell>
          <cell r="I73">
            <v>99.6</v>
          </cell>
          <cell r="J73">
            <v>343.5</v>
          </cell>
          <cell r="K73">
            <v>484.8</v>
          </cell>
          <cell r="L73">
            <v>97.9</v>
          </cell>
          <cell r="M73">
            <v>63.9</v>
          </cell>
          <cell r="O73">
            <v>1446</v>
          </cell>
          <cell r="P73">
            <v>92</v>
          </cell>
          <cell r="Q73">
            <v>71.2</v>
          </cell>
          <cell r="R73">
            <v>98.3</v>
          </cell>
          <cell r="S73">
            <v>97.2</v>
          </cell>
          <cell r="T73">
            <v>99.7</v>
          </cell>
          <cell r="U73">
            <v>362.7</v>
          </cell>
          <cell r="V73">
            <v>529</v>
          </cell>
          <cell r="W73">
            <v>99</v>
          </cell>
          <cell r="X73">
            <v>71.400000000000006</v>
          </cell>
          <cell r="Z73">
            <v>3030</v>
          </cell>
          <cell r="AA73">
            <v>89.6</v>
          </cell>
          <cell r="AB73">
            <v>67.099999999999994</v>
          </cell>
          <cell r="AC73">
            <v>97.7</v>
          </cell>
          <cell r="AD73">
            <v>96.5</v>
          </cell>
          <cell r="AE73">
            <v>99.6</v>
          </cell>
          <cell r="AF73">
            <v>352.7</v>
          </cell>
          <cell r="AG73">
            <v>505.9</v>
          </cell>
          <cell r="AH73">
            <v>98.4</v>
          </cell>
          <cell r="AI73">
            <v>67.5</v>
          </cell>
        </row>
        <row r="74">
          <cell r="B74" t="str">
            <v>Staffordshire</v>
          </cell>
          <cell r="D74">
            <v>4922</v>
          </cell>
          <cell r="E74">
            <v>80</v>
          </cell>
          <cell r="F74">
            <v>54</v>
          </cell>
          <cell r="G74">
            <v>95.2</v>
          </cell>
          <cell r="H74">
            <v>93.4</v>
          </cell>
          <cell r="I74">
            <v>99.5</v>
          </cell>
          <cell r="J74">
            <v>330</v>
          </cell>
          <cell r="K74">
            <v>452.4</v>
          </cell>
          <cell r="L74">
            <v>96.1</v>
          </cell>
          <cell r="M74">
            <v>54.8</v>
          </cell>
          <cell r="O74">
            <v>4782</v>
          </cell>
          <cell r="P74">
            <v>87.9</v>
          </cell>
          <cell r="Q74">
            <v>65.900000000000006</v>
          </cell>
          <cell r="R74">
            <v>97.2</v>
          </cell>
          <cell r="S74">
            <v>95.6</v>
          </cell>
          <cell r="T74">
            <v>99.7</v>
          </cell>
          <cell r="U74">
            <v>355.4</v>
          </cell>
          <cell r="V74">
            <v>503.4</v>
          </cell>
          <cell r="W74">
            <v>97.7</v>
          </cell>
          <cell r="X74">
            <v>66.5</v>
          </cell>
          <cell r="Z74">
            <v>9704</v>
          </cell>
          <cell r="AA74">
            <v>83.9</v>
          </cell>
          <cell r="AB74">
            <v>59.9</v>
          </cell>
          <cell r="AC74">
            <v>96.2</v>
          </cell>
          <cell r="AD74">
            <v>94.5</v>
          </cell>
          <cell r="AE74">
            <v>99.6</v>
          </cell>
          <cell r="AF74">
            <v>342.5</v>
          </cell>
          <cell r="AG74">
            <v>477.5</v>
          </cell>
          <cell r="AH74">
            <v>96.9</v>
          </cell>
          <cell r="AI74">
            <v>60.6</v>
          </cell>
        </row>
        <row r="75">
          <cell r="B75" t="str">
            <v>Stoke-on-Trent</v>
          </cell>
          <cell r="D75">
            <v>1383</v>
          </cell>
          <cell r="E75">
            <v>78.3</v>
          </cell>
          <cell r="F75">
            <v>44.8</v>
          </cell>
          <cell r="G75">
            <v>92.8</v>
          </cell>
          <cell r="H75">
            <v>91.4</v>
          </cell>
          <cell r="I75">
            <v>98.9</v>
          </cell>
          <cell r="J75">
            <v>316.5</v>
          </cell>
          <cell r="K75">
            <v>433.4</v>
          </cell>
          <cell r="L75">
            <v>95.2</v>
          </cell>
          <cell r="M75">
            <v>45.2</v>
          </cell>
          <cell r="O75">
            <v>1255</v>
          </cell>
          <cell r="P75">
            <v>87.5</v>
          </cell>
          <cell r="Q75">
            <v>55.5</v>
          </cell>
          <cell r="R75">
            <v>96.9</v>
          </cell>
          <cell r="S75">
            <v>95</v>
          </cell>
          <cell r="T75">
            <v>99.4</v>
          </cell>
          <cell r="U75">
            <v>347.2</v>
          </cell>
          <cell r="V75">
            <v>487.8</v>
          </cell>
          <cell r="W75">
            <v>97.9</v>
          </cell>
          <cell r="X75">
            <v>55.8</v>
          </cell>
          <cell r="Z75">
            <v>2638</v>
          </cell>
          <cell r="AA75">
            <v>82.7</v>
          </cell>
          <cell r="AB75">
            <v>49.9</v>
          </cell>
          <cell r="AC75">
            <v>94.7</v>
          </cell>
          <cell r="AD75">
            <v>93.1</v>
          </cell>
          <cell r="AE75">
            <v>99.2</v>
          </cell>
          <cell r="AF75">
            <v>331.1</v>
          </cell>
          <cell r="AG75">
            <v>459.3</v>
          </cell>
          <cell r="AH75">
            <v>96.5</v>
          </cell>
          <cell r="AI75">
            <v>50.2</v>
          </cell>
        </row>
        <row r="76">
          <cell r="B76" t="str">
            <v>Telford and Wrekin</v>
          </cell>
          <cell r="D76">
            <v>1081</v>
          </cell>
          <cell r="E76">
            <v>85.4</v>
          </cell>
          <cell r="F76">
            <v>55</v>
          </cell>
          <cell r="G76">
            <v>94.6</v>
          </cell>
          <cell r="H76">
            <v>92.6</v>
          </cell>
          <cell r="I76">
            <v>99.6</v>
          </cell>
          <cell r="J76">
            <v>340</v>
          </cell>
          <cell r="K76">
            <v>483.2</v>
          </cell>
          <cell r="L76">
            <v>95.6</v>
          </cell>
          <cell r="M76">
            <v>55.3</v>
          </cell>
          <cell r="O76">
            <v>1017</v>
          </cell>
          <cell r="P76">
            <v>91.1</v>
          </cell>
          <cell r="Q76">
            <v>62.3</v>
          </cell>
          <cell r="R76">
            <v>97.2</v>
          </cell>
          <cell r="S76">
            <v>95.7</v>
          </cell>
          <cell r="T76">
            <v>99.9</v>
          </cell>
          <cell r="U76">
            <v>359.1</v>
          </cell>
          <cell r="V76">
            <v>528.29999999999995</v>
          </cell>
          <cell r="W76">
            <v>97.3</v>
          </cell>
          <cell r="X76">
            <v>62.3</v>
          </cell>
          <cell r="Z76">
            <v>2098</v>
          </cell>
          <cell r="AA76">
            <v>88.1</v>
          </cell>
          <cell r="AB76">
            <v>58.6</v>
          </cell>
          <cell r="AC76">
            <v>95.9</v>
          </cell>
          <cell r="AD76">
            <v>94.1</v>
          </cell>
          <cell r="AE76">
            <v>99.8</v>
          </cell>
          <cell r="AF76">
            <v>349.3</v>
          </cell>
          <cell r="AG76">
            <v>505.1</v>
          </cell>
          <cell r="AH76">
            <v>96.4</v>
          </cell>
          <cell r="AI76">
            <v>58.7</v>
          </cell>
        </row>
        <row r="77">
          <cell r="B77" t="str">
            <v>Walsall</v>
          </cell>
          <cell r="D77">
            <v>1789</v>
          </cell>
          <cell r="E77">
            <v>85.2</v>
          </cell>
          <cell r="F77">
            <v>53.2</v>
          </cell>
          <cell r="G77">
            <v>93.5</v>
          </cell>
          <cell r="H77">
            <v>91.6</v>
          </cell>
          <cell r="I77">
            <v>98.8</v>
          </cell>
          <cell r="J77">
            <v>331.8</v>
          </cell>
          <cell r="K77">
            <v>470.1</v>
          </cell>
          <cell r="L77">
            <v>95.8</v>
          </cell>
          <cell r="M77">
            <v>53.8</v>
          </cell>
          <cell r="O77">
            <v>1671</v>
          </cell>
          <cell r="P77">
            <v>89.2</v>
          </cell>
          <cell r="Q77">
            <v>64.5</v>
          </cell>
          <cell r="R77">
            <v>96.1</v>
          </cell>
          <cell r="S77">
            <v>94.3</v>
          </cell>
          <cell r="T77">
            <v>99.3</v>
          </cell>
          <cell r="U77">
            <v>357.2</v>
          </cell>
          <cell r="V77">
            <v>516.79999999999995</v>
          </cell>
          <cell r="W77">
            <v>97.3</v>
          </cell>
          <cell r="X77">
            <v>64.8</v>
          </cell>
          <cell r="Z77">
            <v>3460</v>
          </cell>
          <cell r="AA77">
            <v>87.1</v>
          </cell>
          <cell r="AB77">
            <v>58.7</v>
          </cell>
          <cell r="AC77">
            <v>94.7</v>
          </cell>
          <cell r="AD77">
            <v>92.9</v>
          </cell>
          <cell r="AE77">
            <v>99</v>
          </cell>
          <cell r="AF77">
            <v>344.1</v>
          </cell>
          <cell r="AG77">
            <v>492.7</v>
          </cell>
          <cell r="AH77">
            <v>96.5</v>
          </cell>
          <cell r="AI77">
            <v>59.1</v>
          </cell>
        </row>
        <row r="78">
          <cell r="B78" t="str">
            <v>Warwickshire</v>
          </cell>
          <cell r="D78">
            <v>3093</v>
          </cell>
          <cell r="E78">
            <v>82.9</v>
          </cell>
          <cell r="F78">
            <v>61.4</v>
          </cell>
          <cell r="G78">
            <v>96.2</v>
          </cell>
          <cell r="H78">
            <v>94.6</v>
          </cell>
          <cell r="I78">
            <v>99.4</v>
          </cell>
          <cell r="J78">
            <v>342</v>
          </cell>
          <cell r="K78">
            <v>484.6</v>
          </cell>
          <cell r="L78">
            <v>96.2</v>
          </cell>
          <cell r="M78">
            <v>61.8</v>
          </cell>
          <cell r="O78">
            <v>2969</v>
          </cell>
          <cell r="P78">
            <v>90.3</v>
          </cell>
          <cell r="Q78">
            <v>69.2</v>
          </cell>
          <cell r="R78">
            <v>97.7</v>
          </cell>
          <cell r="S78">
            <v>96.9</v>
          </cell>
          <cell r="T78">
            <v>99.7</v>
          </cell>
          <cell r="U78">
            <v>368.1</v>
          </cell>
          <cell r="V78">
            <v>531.29999999999995</v>
          </cell>
          <cell r="W78">
            <v>98</v>
          </cell>
          <cell r="X78">
            <v>69.5</v>
          </cell>
          <cell r="Z78">
            <v>6062</v>
          </cell>
          <cell r="AA78">
            <v>86.5</v>
          </cell>
          <cell r="AB78">
            <v>65.3</v>
          </cell>
          <cell r="AC78">
            <v>96.9</v>
          </cell>
          <cell r="AD78">
            <v>95.8</v>
          </cell>
          <cell r="AE78">
            <v>99.5</v>
          </cell>
          <cell r="AF78">
            <v>354.8</v>
          </cell>
          <cell r="AG78">
            <v>507.5</v>
          </cell>
          <cell r="AH78">
            <v>97.1</v>
          </cell>
          <cell r="AI78">
            <v>65.5</v>
          </cell>
        </row>
        <row r="79">
          <cell r="B79" t="str">
            <v>Wolverhampton</v>
          </cell>
          <cell r="D79">
            <v>1294</v>
          </cell>
          <cell r="E79">
            <v>85.2</v>
          </cell>
          <cell r="F79">
            <v>55.3</v>
          </cell>
          <cell r="G79">
            <v>93.7</v>
          </cell>
          <cell r="H79">
            <v>92.1</v>
          </cell>
          <cell r="I79">
            <v>99</v>
          </cell>
          <cell r="J79">
            <v>331.9</v>
          </cell>
          <cell r="K79">
            <v>468.2</v>
          </cell>
          <cell r="L79">
            <v>94</v>
          </cell>
          <cell r="M79">
            <v>55.6</v>
          </cell>
          <cell r="O79">
            <v>1358</v>
          </cell>
          <cell r="P79">
            <v>89.2</v>
          </cell>
          <cell r="Q79">
            <v>66.400000000000006</v>
          </cell>
          <cell r="R79">
            <v>96.2</v>
          </cell>
          <cell r="S79">
            <v>94.8</v>
          </cell>
          <cell r="T79">
            <v>99.3</v>
          </cell>
          <cell r="U79">
            <v>360.8</v>
          </cell>
          <cell r="V79">
            <v>516</v>
          </cell>
          <cell r="W79">
            <v>96.9</v>
          </cell>
          <cell r="X79">
            <v>66.599999999999994</v>
          </cell>
          <cell r="Z79">
            <v>2652</v>
          </cell>
          <cell r="AA79">
            <v>87.3</v>
          </cell>
          <cell r="AB79">
            <v>61</v>
          </cell>
          <cell r="AC79">
            <v>95</v>
          </cell>
          <cell r="AD79">
            <v>93.5</v>
          </cell>
          <cell r="AE79">
            <v>99.1</v>
          </cell>
          <cell r="AF79">
            <v>346.7</v>
          </cell>
          <cell r="AG79">
            <v>492.6</v>
          </cell>
          <cell r="AH79">
            <v>95.5</v>
          </cell>
          <cell r="AI79">
            <v>61.3</v>
          </cell>
        </row>
        <row r="80">
          <cell r="B80" t="str">
            <v>Worcestershire</v>
          </cell>
          <cell r="D80">
            <v>3180</v>
          </cell>
          <cell r="E80">
            <v>81.599999999999994</v>
          </cell>
          <cell r="F80">
            <v>57.8</v>
          </cell>
          <cell r="G80">
            <v>95.8</v>
          </cell>
          <cell r="H80">
            <v>94.6</v>
          </cell>
          <cell r="I80">
            <v>99.5</v>
          </cell>
          <cell r="J80">
            <v>331.9</v>
          </cell>
          <cell r="K80">
            <v>445.5</v>
          </cell>
          <cell r="L80">
            <v>96.7</v>
          </cell>
          <cell r="M80">
            <v>58.4</v>
          </cell>
          <cell r="O80">
            <v>2877</v>
          </cell>
          <cell r="P80">
            <v>87.1</v>
          </cell>
          <cell r="Q80">
            <v>68.5</v>
          </cell>
          <cell r="R80">
            <v>97.3</v>
          </cell>
          <cell r="S80">
            <v>96.4</v>
          </cell>
          <cell r="T80">
            <v>99.7</v>
          </cell>
          <cell r="U80">
            <v>354.6</v>
          </cell>
          <cell r="V80">
            <v>484.9</v>
          </cell>
          <cell r="W80">
            <v>98.1</v>
          </cell>
          <cell r="X80">
            <v>69.2</v>
          </cell>
          <cell r="Z80">
            <v>6057</v>
          </cell>
          <cell r="AA80">
            <v>84.2</v>
          </cell>
          <cell r="AB80">
            <v>62.9</v>
          </cell>
          <cell r="AC80">
            <v>96.5</v>
          </cell>
          <cell r="AD80">
            <v>95.4</v>
          </cell>
          <cell r="AE80">
            <v>99.6</v>
          </cell>
          <cell r="AF80">
            <v>342.7</v>
          </cell>
          <cell r="AG80">
            <v>464.2</v>
          </cell>
          <cell r="AH80">
            <v>97.3</v>
          </cell>
          <cell r="AI80">
            <v>63.5</v>
          </cell>
        </row>
        <row r="81">
          <cell r="B81" t="str">
            <v>East</v>
          </cell>
          <cell r="D81">
            <v>33186</v>
          </cell>
          <cell r="E81">
            <v>76.099999999999994</v>
          </cell>
          <cell r="F81">
            <v>54.8</v>
          </cell>
          <cell r="G81">
            <v>94.9</v>
          </cell>
          <cell r="H81">
            <v>93.2</v>
          </cell>
          <cell r="I81">
            <v>99.2</v>
          </cell>
          <cell r="J81">
            <v>327.39999999999998</v>
          </cell>
          <cell r="K81">
            <v>436.5</v>
          </cell>
          <cell r="L81">
            <v>96.1</v>
          </cell>
          <cell r="M81">
            <v>55.9</v>
          </cell>
          <cell r="O81">
            <v>31769</v>
          </cell>
          <cell r="P81">
            <v>83.2</v>
          </cell>
          <cell r="Q81">
            <v>65.099999999999994</v>
          </cell>
          <cell r="R81">
            <v>96.7</v>
          </cell>
          <cell r="S81">
            <v>95.5</v>
          </cell>
          <cell r="T81">
            <v>99.5</v>
          </cell>
          <cell r="U81">
            <v>350</v>
          </cell>
          <cell r="V81">
            <v>476.8</v>
          </cell>
          <cell r="W81">
            <v>97.6</v>
          </cell>
          <cell r="X81">
            <v>65.900000000000006</v>
          </cell>
          <cell r="Z81">
            <v>64955</v>
          </cell>
          <cell r="AA81">
            <v>79.599999999999994</v>
          </cell>
          <cell r="AB81">
            <v>59.8</v>
          </cell>
          <cell r="AC81">
            <v>95.8</v>
          </cell>
          <cell r="AD81">
            <v>94.3</v>
          </cell>
          <cell r="AE81">
            <v>99.3</v>
          </cell>
          <cell r="AF81">
            <v>338.5</v>
          </cell>
          <cell r="AG81">
            <v>456.2</v>
          </cell>
          <cell r="AH81">
            <v>96.8</v>
          </cell>
          <cell r="AI81">
            <v>60.8</v>
          </cell>
        </row>
        <row r="82">
          <cell r="B82" t="str">
            <v>Bedford</v>
          </cell>
          <cell r="D82">
            <v>989</v>
          </cell>
          <cell r="E82">
            <v>73.900000000000006</v>
          </cell>
          <cell r="F82">
            <v>54.2</v>
          </cell>
          <cell r="G82">
            <v>93.9</v>
          </cell>
          <cell r="H82">
            <v>93.2</v>
          </cell>
          <cell r="I82">
            <v>99.1</v>
          </cell>
          <cell r="J82">
            <v>320.10000000000002</v>
          </cell>
          <cell r="K82">
            <v>436.7</v>
          </cell>
          <cell r="L82">
            <v>97.1</v>
          </cell>
          <cell r="M82">
            <v>56</v>
          </cell>
          <cell r="O82">
            <v>902</v>
          </cell>
          <cell r="P82">
            <v>87.1</v>
          </cell>
          <cell r="Q82">
            <v>65.7</v>
          </cell>
          <cell r="R82">
            <v>97.8</v>
          </cell>
          <cell r="S82">
            <v>96.3</v>
          </cell>
          <cell r="T82">
            <v>99.9</v>
          </cell>
          <cell r="U82">
            <v>357.5</v>
          </cell>
          <cell r="V82">
            <v>499</v>
          </cell>
          <cell r="W82">
            <v>98.6</v>
          </cell>
          <cell r="X82">
            <v>66.3</v>
          </cell>
          <cell r="Z82">
            <v>1891</v>
          </cell>
          <cell r="AA82">
            <v>80.2</v>
          </cell>
          <cell r="AB82">
            <v>59.7</v>
          </cell>
          <cell r="AC82">
            <v>95.8</v>
          </cell>
          <cell r="AD82">
            <v>94.7</v>
          </cell>
          <cell r="AE82">
            <v>99.5</v>
          </cell>
          <cell r="AF82">
            <v>337.9</v>
          </cell>
          <cell r="AG82">
            <v>466.4</v>
          </cell>
          <cell r="AH82">
            <v>97.8</v>
          </cell>
          <cell r="AI82">
            <v>60.9</v>
          </cell>
        </row>
        <row r="83">
          <cell r="B83" t="str">
            <v>Cambridgeshire</v>
          </cell>
          <cell r="D83">
            <v>3094</v>
          </cell>
          <cell r="E83">
            <v>76</v>
          </cell>
          <cell r="F83">
            <v>55.8</v>
          </cell>
          <cell r="G83">
            <v>93.9</v>
          </cell>
          <cell r="H83">
            <v>92.7</v>
          </cell>
          <cell r="I83">
            <v>99.3</v>
          </cell>
          <cell r="J83">
            <v>327.2</v>
          </cell>
          <cell r="K83">
            <v>419.9</v>
          </cell>
          <cell r="L83">
            <v>95</v>
          </cell>
          <cell r="M83">
            <v>57.5</v>
          </cell>
          <cell r="O83">
            <v>2964</v>
          </cell>
          <cell r="P83">
            <v>82.1</v>
          </cell>
          <cell r="Q83">
            <v>66.400000000000006</v>
          </cell>
          <cell r="R83">
            <v>96.1</v>
          </cell>
          <cell r="S83">
            <v>95</v>
          </cell>
          <cell r="T83">
            <v>99.3</v>
          </cell>
          <cell r="U83">
            <v>347.4</v>
          </cell>
          <cell r="V83">
            <v>454.2</v>
          </cell>
          <cell r="W83">
            <v>97</v>
          </cell>
          <cell r="X83">
            <v>67.599999999999994</v>
          </cell>
          <cell r="Z83">
            <v>6058</v>
          </cell>
          <cell r="AA83">
            <v>79</v>
          </cell>
          <cell r="AB83">
            <v>61</v>
          </cell>
          <cell r="AC83">
            <v>95</v>
          </cell>
          <cell r="AD83">
            <v>93.8</v>
          </cell>
          <cell r="AE83">
            <v>99.3</v>
          </cell>
          <cell r="AF83">
            <v>337.1</v>
          </cell>
          <cell r="AG83">
            <v>436.7</v>
          </cell>
          <cell r="AH83">
            <v>95.9</v>
          </cell>
          <cell r="AI83">
            <v>62.4</v>
          </cell>
        </row>
        <row r="84">
          <cell r="B84" t="str">
            <v>Central Bedfordshire</v>
          </cell>
          <cell r="D84">
            <v>1502</v>
          </cell>
          <cell r="E84">
            <v>77.8</v>
          </cell>
          <cell r="F84">
            <v>52.1</v>
          </cell>
          <cell r="G84">
            <v>94.9</v>
          </cell>
          <cell r="H84">
            <v>93.3</v>
          </cell>
          <cell r="I84">
            <v>98.7</v>
          </cell>
          <cell r="J84">
            <v>327.10000000000002</v>
          </cell>
          <cell r="K84">
            <v>451.5</v>
          </cell>
          <cell r="L84">
            <v>95.6</v>
          </cell>
          <cell r="M84">
            <v>52.7</v>
          </cell>
          <cell r="O84">
            <v>1344</v>
          </cell>
          <cell r="P84">
            <v>86.5</v>
          </cell>
          <cell r="Q84">
            <v>64</v>
          </cell>
          <cell r="R84">
            <v>97.1</v>
          </cell>
          <cell r="S84">
            <v>96.3</v>
          </cell>
          <cell r="T84">
            <v>99.5</v>
          </cell>
          <cell r="U84">
            <v>353.4</v>
          </cell>
          <cell r="V84">
            <v>499</v>
          </cell>
          <cell r="W84">
            <v>97.1</v>
          </cell>
          <cell r="X84">
            <v>64.400000000000006</v>
          </cell>
          <cell r="Z84">
            <v>2846</v>
          </cell>
          <cell r="AA84">
            <v>81.900000000000006</v>
          </cell>
          <cell r="AB84">
            <v>57.7</v>
          </cell>
          <cell r="AC84">
            <v>96</v>
          </cell>
          <cell r="AD84">
            <v>94.7</v>
          </cell>
          <cell r="AE84">
            <v>99.1</v>
          </cell>
          <cell r="AF84">
            <v>339.5</v>
          </cell>
          <cell r="AG84">
            <v>473.9</v>
          </cell>
          <cell r="AH84">
            <v>96.3</v>
          </cell>
          <cell r="AI84">
            <v>58.2</v>
          </cell>
        </row>
        <row r="85">
          <cell r="B85" t="str">
            <v>Essex</v>
          </cell>
          <cell r="D85">
            <v>8079</v>
          </cell>
          <cell r="E85">
            <v>76.7</v>
          </cell>
          <cell r="F85">
            <v>55.4</v>
          </cell>
          <cell r="G85">
            <v>94.2</v>
          </cell>
          <cell r="H85">
            <v>92.6</v>
          </cell>
          <cell r="I85">
            <v>99.1</v>
          </cell>
          <cell r="J85">
            <v>326</v>
          </cell>
          <cell r="K85">
            <v>438.9</v>
          </cell>
          <cell r="L85">
            <v>96.1</v>
          </cell>
          <cell r="M85">
            <v>56.5</v>
          </cell>
          <cell r="O85">
            <v>7623</v>
          </cell>
          <cell r="P85">
            <v>83.7</v>
          </cell>
          <cell r="Q85">
            <v>65.8</v>
          </cell>
          <cell r="R85">
            <v>96.4</v>
          </cell>
          <cell r="S85">
            <v>95.1</v>
          </cell>
          <cell r="T85">
            <v>99.4</v>
          </cell>
          <cell r="U85">
            <v>350.1</v>
          </cell>
          <cell r="V85">
            <v>483.8</v>
          </cell>
          <cell r="W85">
            <v>97.7</v>
          </cell>
          <cell r="X85">
            <v>66.599999999999994</v>
          </cell>
          <cell r="Z85">
            <v>15702</v>
          </cell>
          <cell r="AA85">
            <v>80.099999999999994</v>
          </cell>
          <cell r="AB85">
            <v>60.5</v>
          </cell>
          <cell r="AC85">
            <v>95.3</v>
          </cell>
          <cell r="AD85">
            <v>93.8</v>
          </cell>
          <cell r="AE85">
            <v>99.2</v>
          </cell>
          <cell r="AF85">
            <v>337.7</v>
          </cell>
          <cell r="AG85">
            <v>460.7</v>
          </cell>
          <cell r="AH85">
            <v>96.9</v>
          </cell>
          <cell r="AI85">
            <v>61.4</v>
          </cell>
        </row>
        <row r="86">
          <cell r="B86" t="str">
            <v>Hertfordshire</v>
          </cell>
          <cell r="D86">
            <v>6599</v>
          </cell>
          <cell r="E86">
            <v>81</v>
          </cell>
          <cell r="F86">
            <v>61.1</v>
          </cell>
          <cell r="G86">
            <v>96.1</v>
          </cell>
          <cell r="H86">
            <v>94.7</v>
          </cell>
          <cell r="I86">
            <v>99.4</v>
          </cell>
          <cell r="J86">
            <v>342.3</v>
          </cell>
          <cell r="K86">
            <v>454.3</v>
          </cell>
          <cell r="L86">
            <v>96.5</v>
          </cell>
          <cell r="M86">
            <v>61.8</v>
          </cell>
          <cell r="O86">
            <v>6366</v>
          </cell>
          <cell r="P86">
            <v>86.9</v>
          </cell>
          <cell r="Q86">
            <v>71.7</v>
          </cell>
          <cell r="R86">
            <v>97.9</v>
          </cell>
          <cell r="S86">
            <v>97.1</v>
          </cell>
          <cell r="T86">
            <v>99.7</v>
          </cell>
          <cell r="U86">
            <v>363.4</v>
          </cell>
          <cell r="V86">
            <v>489.8</v>
          </cell>
          <cell r="W86">
            <v>98.2</v>
          </cell>
          <cell r="X86">
            <v>72.5</v>
          </cell>
          <cell r="Z86">
            <v>12965</v>
          </cell>
          <cell r="AA86">
            <v>83.9</v>
          </cell>
          <cell r="AB86">
            <v>66.3</v>
          </cell>
          <cell r="AC86">
            <v>97</v>
          </cell>
          <cell r="AD86">
            <v>95.9</v>
          </cell>
          <cell r="AE86">
            <v>99.5</v>
          </cell>
          <cell r="AF86">
            <v>352.6</v>
          </cell>
          <cell r="AG86">
            <v>471.7</v>
          </cell>
          <cell r="AH86">
            <v>97.4</v>
          </cell>
          <cell r="AI86">
            <v>67.099999999999994</v>
          </cell>
        </row>
        <row r="87">
          <cell r="B87" t="str">
            <v>Luton</v>
          </cell>
          <cell r="D87">
            <v>1245</v>
          </cell>
          <cell r="E87">
            <v>85</v>
          </cell>
          <cell r="F87">
            <v>53.2</v>
          </cell>
          <cell r="G87">
            <v>96.9</v>
          </cell>
          <cell r="H87">
            <v>94.6</v>
          </cell>
          <cell r="I87">
            <v>99</v>
          </cell>
          <cell r="J87">
            <v>338</v>
          </cell>
          <cell r="K87">
            <v>467.9</v>
          </cell>
          <cell r="L87">
            <v>96.8</v>
          </cell>
          <cell r="M87">
            <v>54</v>
          </cell>
          <cell r="O87">
            <v>1191</v>
          </cell>
          <cell r="P87">
            <v>85.6</v>
          </cell>
          <cell r="Q87">
            <v>64.400000000000006</v>
          </cell>
          <cell r="R87">
            <v>96.7</v>
          </cell>
          <cell r="S87">
            <v>95.3</v>
          </cell>
          <cell r="T87">
            <v>99.2</v>
          </cell>
          <cell r="U87">
            <v>350.9</v>
          </cell>
          <cell r="V87">
            <v>493.7</v>
          </cell>
          <cell r="W87">
            <v>97.8</v>
          </cell>
          <cell r="X87">
            <v>65.400000000000006</v>
          </cell>
          <cell r="Z87">
            <v>2436</v>
          </cell>
          <cell r="AA87">
            <v>85.3</v>
          </cell>
          <cell r="AB87">
            <v>58.7</v>
          </cell>
          <cell r="AC87">
            <v>96.8</v>
          </cell>
          <cell r="AD87">
            <v>95</v>
          </cell>
          <cell r="AE87">
            <v>99.1</v>
          </cell>
          <cell r="AF87">
            <v>344.3</v>
          </cell>
          <cell r="AG87">
            <v>480.5</v>
          </cell>
          <cell r="AH87">
            <v>97.3</v>
          </cell>
          <cell r="AI87">
            <v>59.6</v>
          </cell>
        </row>
        <row r="88">
          <cell r="B88" t="str">
            <v>Norfolk</v>
          </cell>
          <cell r="D88">
            <v>4565</v>
          </cell>
          <cell r="E88">
            <v>67.7</v>
          </cell>
          <cell r="F88">
            <v>49.5</v>
          </cell>
          <cell r="G88">
            <v>95</v>
          </cell>
          <cell r="H88">
            <v>92.6</v>
          </cell>
          <cell r="I88">
            <v>99</v>
          </cell>
          <cell r="J88">
            <v>314.5</v>
          </cell>
          <cell r="K88">
            <v>407.4</v>
          </cell>
          <cell r="L88">
            <v>96.1</v>
          </cell>
          <cell r="M88">
            <v>50.9</v>
          </cell>
          <cell r="O88">
            <v>4379</v>
          </cell>
          <cell r="P88">
            <v>75.2</v>
          </cell>
          <cell r="Q88">
            <v>59.4</v>
          </cell>
          <cell r="R88">
            <v>96.6</v>
          </cell>
          <cell r="S88">
            <v>94.8</v>
          </cell>
          <cell r="T88">
            <v>99.3</v>
          </cell>
          <cell r="U88">
            <v>335.5</v>
          </cell>
          <cell r="V88">
            <v>443.2</v>
          </cell>
          <cell r="W88">
            <v>97.2</v>
          </cell>
          <cell r="X88">
            <v>60.3</v>
          </cell>
          <cell r="Z88">
            <v>8944</v>
          </cell>
          <cell r="AA88">
            <v>71.400000000000006</v>
          </cell>
          <cell r="AB88">
            <v>54.4</v>
          </cell>
          <cell r="AC88">
            <v>95.8</v>
          </cell>
          <cell r="AD88">
            <v>93.6</v>
          </cell>
          <cell r="AE88">
            <v>99.2</v>
          </cell>
          <cell r="AF88">
            <v>324.8</v>
          </cell>
          <cell r="AG88">
            <v>424.9</v>
          </cell>
          <cell r="AH88">
            <v>96.7</v>
          </cell>
          <cell r="AI88">
            <v>55.5</v>
          </cell>
        </row>
        <row r="89">
          <cell r="B89" t="str">
            <v>Peterborough</v>
          </cell>
          <cell r="D89">
            <v>1118</v>
          </cell>
          <cell r="E89">
            <v>83.6</v>
          </cell>
          <cell r="F89">
            <v>50.5</v>
          </cell>
          <cell r="G89">
            <v>93.7</v>
          </cell>
          <cell r="H89">
            <v>92.1</v>
          </cell>
          <cell r="I89">
            <v>99.3</v>
          </cell>
          <cell r="J89">
            <v>326.3</v>
          </cell>
          <cell r="K89">
            <v>444.1</v>
          </cell>
          <cell r="L89">
            <v>95.9</v>
          </cell>
          <cell r="M89">
            <v>51.8</v>
          </cell>
          <cell r="O89">
            <v>1128</v>
          </cell>
          <cell r="P89">
            <v>88.7</v>
          </cell>
          <cell r="Q89">
            <v>61.8</v>
          </cell>
          <cell r="R89">
            <v>95.4</v>
          </cell>
          <cell r="S89">
            <v>93.4</v>
          </cell>
          <cell r="T89">
            <v>99.6</v>
          </cell>
          <cell r="U89">
            <v>347.7</v>
          </cell>
          <cell r="V89">
            <v>483.7</v>
          </cell>
          <cell r="W89">
            <v>96.9</v>
          </cell>
          <cell r="X89">
            <v>62.3</v>
          </cell>
          <cell r="Z89">
            <v>2246</v>
          </cell>
          <cell r="AA89">
            <v>86.2</v>
          </cell>
          <cell r="AB89">
            <v>56.2</v>
          </cell>
          <cell r="AC89">
            <v>94.6</v>
          </cell>
          <cell r="AD89">
            <v>92.8</v>
          </cell>
          <cell r="AE89">
            <v>99.4</v>
          </cell>
          <cell r="AF89">
            <v>337.1</v>
          </cell>
          <cell r="AG89">
            <v>464</v>
          </cell>
          <cell r="AH89">
            <v>96.4</v>
          </cell>
          <cell r="AI89">
            <v>57.1</v>
          </cell>
        </row>
        <row r="90">
          <cell r="B90" t="str">
            <v>Southend-on-Sea</v>
          </cell>
          <cell r="D90">
            <v>1159</v>
          </cell>
          <cell r="E90">
            <v>78.3</v>
          </cell>
          <cell r="F90">
            <v>58.1</v>
          </cell>
          <cell r="G90">
            <v>91.5</v>
          </cell>
          <cell r="H90">
            <v>90</v>
          </cell>
          <cell r="I90">
            <v>98.6</v>
          </cell>
          <cell r="J90">
            <v>330.9</v>
          </cell>
          <cell r="K90">
            <v>450.6</v>
          </cell>
          <cell r="L90">
            <v>93.4</v>
          </cell>
          <cell r="M90">
            <v>58.8</v>
          </cell>
          <cell r="O90">
            <v>1067</v>
          </cell>
          <cell r="P90">
            <v>86.5</v>
          </cell>
          <cell r="Q90">
            <v>66.099999999999994</v>
          </cell>
          <cell r="R90">
            <v>95</v>
          </cell>
          <cell r="S90">
            <v>93.5</v>
          </cell>
          <cell r="T90">
            <v>99.3</v>
          </cell>
          <cell r="U90">
            <v>358.9</v>
          </cell>
          <cell r="V90">
            <v>522.1</v>
          </cell>
          <cell r="W90">
            <v>96.3</v>
          </cell>
          <cell r="X90">
            <v>66.400000000000006</v>
          </cell>
          <cell r="Z90">
            <v>2226</v>
          </cell>
          <cell r="AA90">
            <v>82.2</v>
          </cell>
          <cell r="AB90">
            <v>61.9</v>
          </cell>
          <cell r="AC90">
            <v>93.2</v>
          </cell>
          <cell r="AD90">
            <v>91.7</v>
          </cell>
          <cell r="AE90">
            <v>99</v>
          </cell>
          <cell r="AF90">
            <v>344.3</v>
          </cell>
          <cell r="AG90">
            <v>484.9</v>
          </cell>
          <cell r="AH90">
            <v>94.8</v>
          </cell>
          <cell r="AI90">
            <v>62.4</v>
          </cell>
        </row>
        <row r="91">
          <cell r="B91" t="str">
            <v>Suffolk</v>
          </cell>
          <cell r="D91">
            <v>3958</v>
          </cell>
          <cell r="E91">
            <v>68.400000000000006</v>
          </cell>
          <cell r="F91">
            <v>49.7</v>
          </cell>
          <cell r="G91">
            <v>95.3</v>
          </cell>
          <cell r="H91">
            <v>93.4</v>
          </cell>
          <cell r="I91">
            <v>99.2</v>
          </cell>
          <cell r="J91">
            <v>316.5</v>
          </cell>
          <cell r="K91">
            <v>417.5</v>
          </cell>
          <cell r="L91">
            <v>96.7</v>
          </cell>
          <cell r="M91">
            <v>51.1</v>
          </cell>
          <cell r="O91">
            <v>3837</v>
          </cell>
          <cell r="P91">
            <v>79.099999999999994</v>
          </cell>
          <cell r="Q91">
            <v>59.7</v>
          </cell>
          <cell r="R91">
            <v>96.3</v>
          </cell>
          <cell r="S91">
            <v>95.2</v>
          </cell>
          <cell r="T91">
            <v>99.5</v>
          </cell>
          <cell r="U91">
            <v>340.9</v>
          </cell>
          <cell r="V91">
            <v>459.6</v>
          </cell>
          <cell r="W91">
            <v>97.2</v>
          </cell>
          <cell r="X91">
            <v>60.5</v>
          </cell>
          <cell r="Z91">
            <v>7795</v>
          </cell>
          <cell r="AA91">
            <v>73.599999999999994</v>
          </cell>
          <cell r="AB91">
            <v>54.6</v>
          </cell>
          <cell r="AC91">
            <v>95.8</v>
          </cell>
          <cell r="AD91">
            <v>94.3</v>
          </cell>
          <cell r="AE91">
            <v>99.4</v>
          </cell>
          <cell r="AF91">
            <v>328.5</v>
          </cell>
          <cell r="AG91">
            <v>438.3</v>
          </cell>
          <cell r="AH91">
            <v>96.9</v>
          </cell>
          <cell r="AI91">
            <v>55.8</v>
          </cell>
        </row>
        <row r="92">
          <cell r="B92" t="str">
            <v>Thurrock</v>
          </cell>
          <cell r="D92">
            <v>878</v>
          </cell>
          <cell r="E92">
            <v>86.7</v>
          </cell>
          <cell r="F92">
            <v>56</v>
          </cell>
          <cell r="G92">
            <v>97</v>
          </cell>
          <cell r="H92">
            <v>94.1</v>
          </cell>
          <cell r="I92">
            <v>99.7</v>
          </cell>
          <cell r="J92">
            <v>337.8</v>
          </cell>
          <cell r="K92">
            <v>475.5</v>
          </cell>
          <cell r="L92">
            <v>96.5</v>
          </cell>
          <cell r="M92">
            <v>56.2</v>
          </cell>
          <cell r="O92">
            <v>968</v>
          </cell>
          <cell r="P92">
            <v>88.8</v>
          </cell>
          <cell r="Q92">
            <v>62.6</v>
          </cell>
          <cell r="R92">
            <v>97.7</v>
          </cell>
          <cell r="S92">
            <v>96.3</v>
          </cell>
          <cell r="T92">
            <v>99.9</v>
          </cell>
          <cell r="U92">
            <v>351.8</v>
          </cell>
          <cell r="V92">
            <v>495.8</v>
          </cell>
          <cell r="W92">
            <v>98.2</v>
          </cell>
          <cell r="X92">
            <v>63.2</v>
          </cell>
          <cell r="Z92">
            <v>1846</v>
          </cell>
          <cell r="AA92">
            <v>87.8</v>
          </cell>
          <cell r="AB92">
            <v>59.5</v>
          </cell>
          <cell r="AC92">
            <v>97.4</v>
          </cell>
          <cell r="AD92">
            <v>95.2</v>
          </cell>
          <cell r="AE92">
            <v>99.8</v>
          </cell>
          <cell r="AF92">
            <v>345.2</v>
          </cell>
          <cell r="AG92">
            <v>486.2</v>
          </cell>
          <cell r="AH92">
            <v>97.4</v>
          </cell>
          <cell r="AI92">
            <v>59.9</v>
          </cell>
        </row>
        <row r="93">
          <cell r="B93" t="str">
            <v>Inner London</v>
          </cell>
          <cell r="D93">
            <v>12002</v>
          </cell>
          <cell r="E93">
            <v>80.2</v>
          </cell>
          <cell r="F93">
            <v>59.3</v>
          </cell>
          <cell r="G93">
            <v>94.7</v>
          </cell>
          <cell r="H93">
            <v>93.2</v>
          </cell>
          <cell r="I93">
            <v>98.9</v>
          </cell>
          <cell r="J93">
            <v>329.5</v>
          </cell>
          <cell r="K93">
            <v>434.2</v>
          </cell>
          <cell r="L93">
            <v>95.9</v>
          </cell>
          <cell r="M93">
            <v>60.5</v>
          </cell>
          <cell r="O93">
            <v>12362</v>
          </cell>
          <cell r="P93">
            <v>85.3</v>
          </cell>
          <cell r="Q93">
            <v>66.8</v>
          </cell>
          <cell r="R93">
            <v>97.2</v>
          </cell>
          <cell r="S93">
            <v>95.5</v>
          </cell>
          <cell r="T93">
            <v>99.4</v>
          </cell>
          <cell r="U93">
            <v>351.4</v>
          </cell>
          <cell r="V93">
            <v>470.7</v>
          </cell>
          <cell r="W93">
            <v>97.6</v>
          </cell>
          <cell r="X93">
            <v>67.599999999999994</v>
          </cell>
          <cell r="Z93">
            <v>24364</v>
          </cell>
          <cell r="AA93">
            <v>82.8</v>
          </cell>
          <cell r="AB93">
            <v>63.1</v>
          </cell>
          <cell r="AC93">
            <v>96</v>
          </cell>
          <cell r="AD93">
            <v>94.4</v>
          </cell>
          <cell r="AE93">
            <v>99.2</v>
          </cell>
          <cell r="AF93">
            <v>340.6</v>
          </cell>
          <cell r="AG93">
            <v>452.8</v>
          </cell>
          <cell r="AH93">
            <v>96.8</v>
          </cell>
          <cell r="AI93">
            <v>64.099999999999994</v>
          </cell>
        </row>
        <row r="94">
          <cell r="B94" t="str">
            <v>Camden</v>
          </cell>
          <cell r="D94">
            <v>627</v>
          </cell>
          <cell r="E94">
            <v>69.099999999999994</v>
          </cell>
          <cell r="F94">
            <v>49.6</v>
          </cell>
          <cell r="G94">
            <v>92.7</v>
          </cell>
          <cell r="H94">
            <v>91.7</v>
          </cell>
          <cell r="I94">
            <v>97.9</v>
          </cell>
          <cell r="J94">
            <v>316.2</v>
          </cell>
          <cell r="K94">
            <v>408.9</v>
          </cell>
          <cell r="L94">
            <v>94.4</v>
          </cell>
          <cell r="M94">
            <v>51.7</v>
          </cell>
          <cell r="O94">
            <v>881</v>
          </cell>
          <cell r="P94">
            <v>83.5</v>
          </cell>
          <cell r="Q94">
            <v>68.099999999999994</v>
          </cell>
          <cell r="R94">
            <v>97.3</v>
          </cell>
          <cell r="S94">
            <v>96</v>
          </cell>
          <cell r="T94">
            <v>99.8</v>
          </cell>
          <cell r="U94">
            <v>353.6</v>
          </cell>
          <cell r="V94">
            <v>461.2</v>
          </cell>
          <cell r="W94">
            <v>98.3</v>
          </cell>
          <cell r="X94">
            <v>69.099999999999994</v>
          </cell>
          <cell r="Z94">
            <v>1508</v>
          </cell>
          <cell r="AA94">
            <v>77.5</v>
          </cell>
          <cell r="AB94">
            <v>60.4</v>
          </cell>
          <cell r="AC94">
            <v>95.4</v>
          </cell>
          <cell r="AD94">
            <v>94.2</v>
          </cell>
          <cell r="AE94">
            <v>99</v>
          </cell>
          <cell r="AF94">
            <v>338.1</v>
          </cell>
          <cell r="AG94">
            <v>439.5</v>
          </cell>
          <cell r="AH94">
            <v>96.7</v>
          </cell>
          <cell r="AI94">
            <v>61.9</v>
          </cell>
        </row>
        <row r="95">
          <cell r="B95" t="str">
            <v>Hackney</v>
          </cell>
          <cell r="D95">
            <v>682</v>
          </cell>
          <cell r="E95">
            <v>77.599999999999994</v>
          </cell>
          <cell r="F95">
            <v>58.7</v>
          </cell>
          <cell r="G95">
            <v>94.3</v>
          </cell>
          <cell r="H95">
            <v>91.5</v>
          </cell>
          <cell r="I95">
            <v>98.8</v>
          </cell>
          <cell r="J95">
            <v>325.3</v>
          </cell>
          <cell r="K95">
            <v>404.5</v>
          </cell>
          <cell r="L95">
            <v>94.3</v>
          </cell>
          <cell r="M95">
            <v>60</v>
          </cell>
          <cell r="O95">
            <v>967</v>
          </cell>
          <cell r="P95">
            <v>81.099999999999994</v>
          </cell>
          <cell r="Q95">
            <v>63.1</v>
          </cell>
          <cell r="R95">
            <v>95.8</v>
          </cell>
          <cell r="S95">
            <v>94</v>
          </cell>
          <cell r="T95">
            <v>99.1</v>
          </cell>
          <cell r="U95">
            <v>341</v>
          </cell>
          <cell r="V95">
            <v>431.5</v>
          </cell>
          <cell r="W95">
            <v>96.4</v>
          </cell>
          <cell r="X95">
            <v>64.099999999999994</v>
          </cell>
          <cell r="Z95">
            <v>1649</v>
          </cell>
          <cell r="AA95">
            <v>79.599999999999994</v>
          </cell>
          <cell r="AB95">
            <v>61.2</v>
          </cell>
          <cell r="AC95">
            <v>95.1</v>
          </cell>
          <cell r="AD95">
            <v>93</v>
          </cell>
          <cell r="AE95">
            <v>99</v>
          </cell>
          <cell r="AF95">
            <v>334.5</v>
          </cell>
          <cell r="AG95">
            <v>420.3</v>
          </cell>
          <cell r="AH95">
            <v>95.5</v>
          </cell>
          <cell r="AI95">
            <v>62.4</v>
          </cell>
        </row>
        <row r="96">
          <cell r="B96" t="str">
            <v>Hammersmith and Fulham</v>
          </cell>
          <cell r="D96">
            <v>558</v>
          </cell>
          <cell r="E96">
            <v>79.900000000000006</v>
          </cell>
          <cell r="F96">
            <v>60.8</v>
          </cell>
          <cell r="G96">
            <v>95</v>
          </cell>
          <cell r="H96">
            <v>93.9</v>
          </cell>
          <cell r="I96">
            <v>99.8</v>
          </cell>
          <cell r="J96">
            <v>347.1</v>
          </cell>
          <cell r="K96">
            <v>448.5</v>
          </cell>
          <cell r="L96">
            <v>96.6</v>
          </cell>
          <cell r="M96">
            <v>61.1</v>
          </cell>
          <cell r="O96">
            <v>597</v>
          </cell>
          <cell r="P96">
            <v>86.8</v>
          </cell>
          <cell r="Q96">
            <v>71.900000000000006</v>
          </cell>
          <cell r="R96">
            <v>97.3</v>
          </cell>
          <cell r="S96">
            <v>96.6</v>
          </cell>
          <cell r="T96">
            <v>100</v>
          </cell>
          <cell r="U96">
            <v>363.9</v>
          </cell>
          <cell r="V96">
            <v>471.6</v>
          </cell>
          <cell r="W96">
            <v>98</v>
          </cell>
          <cell r="X96">
            <v>72</v>
          </cell>
          <cell r="Z96">
            <v>1155</v>
          </cell>
          <cell r="AA96">
            <v>83.5</v>
          </cell>
          <cell r="AB96">
            <v>66.5</v>
          </cell>
          <cell r="AC96">
            <v>96.2</v>
          </cell>
          <cell r="AD96">
            <v>95.3</v>
          </cell>
          <cell r="AE96">
            <v>99.9</v>
          </cell>
          <cell r="AF96">
            <v>355.8</v>
          </cell>
          <cell r="AG96">
            <v>460.4</v>
          </cell>
          <cell r="AH96">
            <v>97.3</v>
          </cell>
          <cell r="AI96">
            <v>66.8</v>
          </cell>
        </row>
        <row r="97">
          <cell r="B97" t="str">
            <v>Haringey</v>
          </cell>
          <cell r="D97">
            <v>1107</v>
          </cell>
          <cell r="E97">
            <v>81.400000000000006</v>
          </cell>
          <cell r="F97">
            <v>60.4</v>
          </cell>
          <cell r="G97">
            <v>93.6</v>
          </cell>
          <cell r="H97">
            <v>91.8</v>
          </cell>
          <cell r="I97">
            <v>99.3</v>
          </cell>
          <cell r="J97">
            <v>328.7</v>
          </cell>
          <cell r="K97">
            <v>416</v>
          </cell>
          <cell r="L97">
            <v>94.9</v>
          </cell>
          <cell r="M97">
            <v>61.3</v>
          </cell>
          <cell r="O97">
            <v>1076</v>
          </cell>
          <cell r="P97">
            <v>85.6</v>
          </cell>
          <cell r="Q97">
            <v>66.599999999999994</v>
          </cell>
          <cell r="R97">
            <v>96.4</v>
          </cell>
          <cell r="S97">
            <v>95.5</v>
          </cell>
          <cell r="T97">
            <v>99.3</v>
          </cell>
          <cell r="U97">
            <v>351.6</v>
          </cell>
          <cell r="V97">
            <v>448.8</v>
          </cell>
          <cell r="W97">
            <v>97</v>
          </cell>
          <cell r="X97">
            <v>67.3</v>
          </cell>
          <cell r="Z97">
            <v>2183</v>
          </cell>
          <cell r="AA97">
            <v>83.5</v>
          </cell>
          <cell r="AB97">
            <v>63.5</v>
          </cell>
          <cell r="AC97">
            <v>95</v>
          </cell>
          <cell r="AD97">
            <v>93.6</v>
          </cell>
          <cell r="AE97">
            <v>99.3</v>
          </cell>
          <cell r="AF97">
            <v>340</v>
          </cell>
          <cell r="AG97">
            <v>432.2</v>
          </cell>
          <cell r="AH97">
            <v>95.9</v>
          </cell>
          <cell r="AI97">
            <v>64.3</v>
          </cell>
        </row>
        <row r="98">
          <cell r="B98" t="str">
            <v>Islington</v>
          </cell>
          <cell r="D98">
            <v>772</v>
          </cell>
          <cell r="E98">
            <v>85.8</v>
          </cell>
          <cell r="F98">
            <v>63.7</v>
          </cell>
          <cell r="G98">
            <v>96.6</v>
          </cell>
          <cell r="H98">
            <v>95.3</v>
          </cell>
          <cell r="I98">
            <v>98.6</v>
          </cell>
          <cell r="J98">
            <v>336.8</v>
          </cell>
          <cell r="K98">
            <v>440.7</v>
          </cell>
          <cell r="L98">
            <v>97.2</v>
          </cell>
          <cell r="M98">
            <v>64.8</v>
          </cell>
          <cell r="O98">
            <v>664</v>
          </cell>
          <cell r="P98">
            <v>79.7</v>
          </cell>
          <cell r="Q98">
            <v>63.3</v>
          </cell>
          <cell r="R98">
            <v>97.6</v>
          </cell>
          <cell r="S98">
            <v>97</v>
          </cell>
          <cell r="T98">
            <v>99.1</v>
          </cell>
          <cell r="U98">
            <v>343.4</v>
          </cell>
          <cell r="V98">
            <v>452.7</v>
          </cell>
          <cell r="W98">
            <v>97.6</v>
          </cell>
          <cell r="X98">
            <v>64.5</v>
          </cell>
          <cell r="Z98">
            <v>1436</v>
          </cell>
          <cell r="AA98">
            <v>82.9</v>
          </cell>
          <cell r="AB98">
            <v>63.5</v>
          </cell>
          <cell r="AC98">
            <v>97.1</v>
          </cell>
          <cell r="AD98">
            <v>96.1</v>
          </cell>
          <cell r="AE98">
            <v>98.8</v>
          </cell>
          <cell r="AF98">
            <v>339.9</v>
          </cell>
          <cell r="AG98">
            <v>446.3</v>
          </cell>
          <cell r="AH98">
            <v>97.4</v>
          </cell>
          <cell r="AI98">
            <v>64.599999999999994</v>
          </cell>
        </row>
        <row r="99">
          <cell r="B99" t="str">
            <v>Kensington and Chelsea</v>
          </cell>
          <cell r="D99">
            <v>328</v>
          </cell>
          <cell r="E99">
            <v>94.8</v>
          </cell>
          <cell r="F99">
            <v>83.2</v>
          </cell>
          <cell r="G99">
            <v>97.6</v>
          </cell>
          <cell r="H99">
            <v>96.6</v>
          </cell>
          <cell r="I99">
            <v>99.4</v>
          </cell>
          <cell r="J99">
            <v>377.6</v>
          </cell>
          <cell r="K99">
            <v>581.29999999999995</v>
          </cell>
          <cell r="L99">
            <v>97.3</v>
          </cell>
          <cell r="M99">
            <v>83.2</v>
          </cell>
          <cell r="O99">
            <v>283</v>
          </cell>
          <cell r="P99">
            <v>89</v>
          </cell>
          <cell r="Q99">
            <v>76.7</v>
          </cell>
          <cell r="R99">
            <v>96.1</v>
          </cell>
          <cell r="S99">
            <v>95.4</v>
          </cell>
          <cell r="T99">
            <v>98.2</v>
          </cell>
          <cell r="U99">
            <v>365.2</v>
          </cell>
          <cell r="V99">
            <v>558.4</v>
          </cell>
          <cell r="W99">
            <v>96.8</v>
          </cell>
          <cell r="X99">
            <v>76.7</v>
          </cell>
          <cell r="Z99">
            <v>611</v>
          </cell>
          <cell r="AA99">
            <v>92.1</v>
          </cell>
          <cell r="AB99">
            <v>80.2</v>
          </cell>
          <cell r="AC99">
            <v>96.9</v>
          </cell>
          <cell r="AD99">
            <v>96.1</v>
          </cell>
          <cell r="AE99">
            <v>98.9</v>
          </cell>
          <cell r="AF99">
            <v>371.9</v>
          </cell>
          <cell r="AG99">
            <v>570.70000000000005</v>
          </cell>
          <cell r="AH99">
            <v>97.1</v>
          </cell>
          <cell r="AI99">
            <v>80.2</v>
          </cell>
        </row>
        <row r="100">
          <cell r="B100" t="str">
            <v>Lambeth</v>
          </cell>
          <cell r="D100">
            <v>935</v>
          </cell>
          <cell r="E100">
            <v>83.1</v>
          </cell>
          <cell r="F100">
            <v>63.3</v>
          </cell>
          <cell r="G100">
            <v>94.7</v>
          </cell>
          <cell r="H100">
            <v>93.6</v>
          </cell>
          <cell r="I100">
            <v>99.4</v>
          </cell>
          <cell r="J100">
            <v>328.4</v>
          </cell>
          <cell r="K100">
            <v>428.8</v>
          </cell>
          <cell r="L100">
            <v>95.9</v>
          </cell>
          <cell r="M100">
            <v>64.7</v>
          </cell>
          <cell r="O100">
            <v>946</v>
          </cell>
          <cell r="P100">
            <v>89.7</v>
          </cell>
          <cell r="Q100">
            <v>68.400000000000006</v>
          </cell>
          <cell r="R100">
            <v>97</v>
          </cell>
          <cell r="S100">
            <v>95.8</v>
          </cell>
          <cell r="T100">
            <v>99.5</v>
          </cell>
          <cell r="U100">
            <v>349.6</v>
          </cell>
          <cell r="V100">
            <v>468.1</v>
          </cell>
          <cell r="W100">
            <v>97.7</v>
          </cell>
          <cell r="X100">
            <v>69.7</v>
          </cell>
          <cell r="Z100">
            <v>1881</v>
          </cell>
          <cell r="AA100">
            <v>86.4</v>
          </cell>
          <cell r="AB100">
            <v>65.900000000000006</v>
          </cell>
          <cell r="AC100">
            <v>95.9</v>
          </cell>
          <cell r="AD100">
            <v>94.7</v>
          </cell>
          <cell r="AE100">
            <v>99.4</v>
          </cell>
          <cell r="AF100">
            <v>339</v>
          </cell>
          <cell r="AG100">
            <v>448.6</v>
          </cell>
          <cell r="AH100">
            <v>96.8</v>
          </cell>
          <cell r="AI100">
            <v>67.2</v>
          </cell>
        </row>
        <row r="101">
          <cell r="B101" t="str">
            <v>Lewisham</v>
          </cell>
          <cell r="D101">
            <v>1191</v>
          </cell>
          <cell r="E101">
            <v>77.2</v>
          </cell>
          <cell r="F101">
            <v>52.6</v>
          </cell>
          <cell r="G101">
            <v>93</v>
          </cell>
          <cell r="H101">
            <v>91</v>
          </cell>
          <cell r="I101">
            <v>98.3</v>
          </cell>
          <cell r="J101">
            <v>313.8</v>
          </cell>
          <cell r="K101">
            <v>405.3</v>
          </cell>
          <cell r="L101">
            <v>94.8</v>
          </cell>
          <cell r="M101">
            <v>53.7</v>
          </cell>
          <cell r="O101">
            <v>1155</v>
          </cell>
          <cell r="P101">
            <v>81</v>
          </cell>
          <cell r="Q101">
            <v>63.5</v>
          </cell>
          <cell r="R101">
            <v>95.4</v>
          </cell>
          <cell r="S101">
            <v>92.7</v>
          </cell>
          <cell r="T101">
            <v>98.8</v>
          </cell>
          <cell r="U101">
            <v>334.8</v>
          </cell>
          <cell r="V101">
            <v>444.4</v>
          </cell>
          <cell r="W101">
            <v>96.9</v>
          </cell>
          <cell r="X101">
            <v>64.8</v>
          </cell>
          <cell r="Z101">
            <v>2346</v>
          </cell>
          <cell r="AA101">
            <v>79</v>
          </cell>
          <cell r="AB101">
            <v>58</v>
          </cell>
          <cell r="AC101">
            <v>94.2</v>
          </cell>
          <cell r="AD101">
            <v>91.9</v>
          </cell>
          <cell r="AE101">
            <v>98.6</v>
          </cell>
          <cell r="AF101">
            <v>324.10000000000002</v>
          </cell>
          <cell r="AG101">
            <v>424.6</v>
          </cell>
          <cell r="AH101">
            <v>95.8</v>
          </cell>
          <cell r="AI101">
            <v>59.2</v>
          </cell>
        </row>
        <row r="102">
          <cell r="B102" t="str">
            <v>Newham</v>
          </cell>
          <cell r="D102">
            <v>1699</v>
          </cell>
          <cell r="E102">
            <v>75.8</v>
          </cell>
          <cell r="F102">
            <v>52.7</v>
          </cell>
          <cell r="G102">
            <v>95.4</v>
          </cell>
          <cell r="H102">
            <v>93.8</v>
          </cell>
          <cell r="I102">
            <v>99.5</v>
          </cell>
          <cell r="J102">
            <v>323.39999999999998</v>
          </cell>
          <cell r="K102">
            <v>434.6</v>
          </cell>
          <cell r="L102">
            <v>96.9</v>
          </cell>
          <cell r="M102">
            <v>53.9</v>
          </cell>
          <cell r="O102">
            <v>1769</v>
          </cell>
          <cell r="P102">
            <v>82.2</v>
          </cell>
          <cell r="Q102">
            <v>63.8</v>
          </cell>
          <cell r="R102">
            <v>97.7</v>
          </cell>
          <cell r="S102">
            <v>95.5</v>
          </cell>
          <cell r="T102">
            <v>99.7</v>
          </cell>
          <cell r="U102">
            <v>346.2</v>
          </cell>
          <cell r="V102">
            <v>463.4</v>
          </cell>
          <cell r="W102">
            <v>97.9</v>
          </cell>
          <cell r="X102">
            <v>64.2</v>
          </cell>
          <cell r="Z102">
            <v>3468</v>
          </cell>
          <cell r="AA102">
            <v>79.099999999999994</v>
          </cell>
          <cell r="AB102">
            <v>58.4</v>
          </cell>
          <cell r="AC102">
            <v>96.6</v>
          </cell>
          <cell r="AD102">
            <v>94.6</v>
          </cell>
          <cell r="AE102">
            <v>99.6</v>
          </cell>
          <cell r="AF102">
            <v>335</v>
          </cell>
          <cell r="AG102">
            <v>449.3</v>
          </cell>
          <cell r="AH102">
            <v>97.4</v>
          </cell>
          <cell r="AI102">
            <v>59.1</v>
          </cell>
        </row>
        <row r="103">
          <cell r="B103" t="str">
            <v>Southwark</v>
          </cell>
          <cell r="D103">
            <v>1164</v>
          </cell>
          <cell r="E103">
            <v>80.8</v>
          </cell>
          <cell r="F103">
            <v>62.5</v>
          </cell>
          <cell r="G103">
            <v>93.6</v>
          </cell>
          <cell r="H103">
            <v>93</v>
          </cell>
          <cell r="I103">
            <v>98.2</v>
          </cell>
          <cell r="J103">
            <v>325</v>
          </cell>
          <cell r="K103">
            <v>431.1</v>
          </cell>
          <cell r="L103">
            <v>95.4</v>
          </cell>
          <cell r="M103">
            <v>64.5</v>
          </cell>
          <cell r="O103">
            <v>1182</v>
          </cell>
          <cell r="P103">
            <v>89.3</v>
          </cell>
          <cell r="Q103">
            <v>67.900000000000006</v>
          </cell>
          <cell r="R103">
            <v>97.5</v>
          </cell>
          <cell r="S103">
            <v>95.9</v>
          </cell>
          <cell r="T103">
            <v>99.7</v>
          </cell>
          <cell r="U103">
            <v>356.9</v>
          </cell>
          <cell r="V103">
            <v>509.7</v>
          </cell>
          <cell r="W103">
            <v>97.9</v>
          </cell>
          <cell r="X103">
            <v>68.900000000000006</v>
          </cell>
          <cell r="Z103">
            <v>2346</v>
          </cell>
          <cell r="AA103">
            <v>85.1</v>
          </cell>
          <cell r="AB103">
            <v>65.2</v>
          </cell>
          <cell r="AC103">
            <v>95.6</v>
          </cell>
          <cell r="AD103">
            <v>94.4</v>
          </cell>
          <cell r="AE103">
            <v>99</v>
          </cell>
          <cell r="AF103">
            <v>341.1</v>
          </cell>
          <cell r="AG103">
            <v>470.7</v>
          </cell>
          <cell r="AH103">
            <v>96.7</v>
          </cell>
          <cell r="AI103">
            <v>66.7</v>
          </cell>
        </row>
        <row r="104">
          <cell r="B104" t="str">
            <v>Tower Hamlets</v>
          </cell>
          <cell r="D104">
            <v>1281</v>
          </cell>
          <cell r="E104">
            <v>81.900000000000006</v>
          </cell>
          <cell r="F104">
            <v>62.4</v>
          </cell>
          <cell r="G104">
            <v>96.6</v>
          </cell>
          <cell r="H104">
            <v>94.4</v>
          </cell>
          <cell r="I104">
            <v>99.6</v>
          </cell>
          <cell r="J104">
            <v>332.2</v>
          </cell>
          <cell r="K104">
            <v>439.9</v>
          </cell>
          <cell r="L104">
            <v>97.4</v>
          </cell>
          <cell r="M104">
            <v>62.9</v>
          </cell>
          <cell r="O104">
            <v>1240</v>
          </cell>
          <cell r="P104">
            <v>89.9</v>
          </cell>
          <cell r="Q104">
            <v>67.2</v>
          </cell>
          <cell r="R104">
            <v>98.2</v>
          </cell>
          <cell r="S104">
            <v>95.2</v>
          </cell>
          <cell r="T104">
            <v>99.4</v>
          </cell>
          <cell r="U104">
            <v>355.7</v>
          </cell>
          <cell r="V104">
            <v>477.4</v>
          </cell>
          <cell r="W104">
            <v>97.9</v>
          </cell>
          <cell r="X104">
            <v>67.400000000000006</v>
          </cell>
          <cell r="Z104">
            <v>2521</v>
          </cell>
          <cell r="AA104">
            <v>85.8</v>
          </cell>
          <cell r="AB104">
            <v>64.7</v>
          </cell>
          <cell r="AC104">
            <v>97.4</v>
          </cell>
          <cell r="AD104">
            <v>94.8</v>
          </cell>
          <cell r="AE104">
            <v>99.5</v>
          </cell>
          <cell r="AF104">
            <v>343.8</v>
          </cell>
          <cell r="AG104">
            <v>458.3</v>
          </cell>
          <cell r="AH104">
            <v>97.7</v>
          </cell>
          <cell r="AI104">
            <v>65.099999999999994</v>
          </cell>
        </row>
        <row r="105">
          <cell r="B105" t="str">
            <v>Wandsworth</v>
          </cell>
          <cell r="D105">
            <v>1007</v>
          </cell>
          <cell r="E105">
            <v>81.099999999999994</v>
          </cell>
          <cell r="F105">
            <v>57.4</v>
          </cell>
          <cell r="G105">
            <v>92.6</v>
          </cell>
          <cell r="H105">
            <v>92.1</v>
          </cell>
          <cell r="I105">
            <v>97.7</v>
          </cell>
          <cell r="J105">
            <v>334.8</v>
          </cell>
          <cell r="K105">
            <v>460.3</v>
          </cell>
          <cell r="L105">
            <v>94</v>
          </cell>
          <cell r="M105">
            <v>59</v>
          </cell>
          <cell r="O105">
            <v>839</v>
          </cell>
          <cell r="P105">
            <v>85.3</v>
          </cell>
          <cell r="Q105">
            <v>65.900000000000006</v>
          </cell>
          <cell r="R105">
            <v>97.5</v>
          </cell>
          <cell r="S105">
            <v>96.4</v>
          </cell>
          <cell r="T105">
            <v>99.2</v>
          </cell>
          <cell r="U105">
            <v>359.2</v>
          </cell>
          <cell r="V105">
            <v>514.1</v>
          </cell>
          <cell r="W105">
            <v>97.6</v>
          </cell>
          <cell r="X105">
            <v>66.900000000000006</v>
          </cell>
          <cell r="Z105">
            <v>1846</v>
          </cell>
          <cell r="AA105">
            <v>83</v>
          </cell>
          <cell r="AB105">
            <v>61.3</v>
          </cell>
          <cell r="AC105">
            <v>94.8</v>
          </cell>
          <cell r="AD105">
            <v>94</v>
          </cell>
          <cell r="AE105">
            <v>98.4</v>
          </cell>
          <cell r="AF105">
            <v>345.9</v>
          </cell>
          <cell r="AG105">
            <v>484.8</v>
          </cell>
          <cell r="AH105">
            <v>95.7</v>
          </cell>
          <cell r="AI105">
            <v>62.6</v>
          </cell>
        </row>
        <row r="106">
          <cell r="B106" t="str">
            <v>Westminster</v>
          </cell>
          <cell r="D106">
            <v>651</v>
          </cell>
          <cell r="E106">
            <v>84.3</v>
          </cell>
          <cell r="F106">
            <v>64.099999999999994</v>
          </cell>
          <cell r="G106">
            <v>97.7</v>
          </cell>
          <cell r="H106">
            <v>96.5</v>
          </cell>
          <cell r="I106">
            <v>99.2</v>
          </cell>
          <cell r="J106">
            <v>340.6</v>
          </cell>
          <cell r="K106">
            <v>441</v>
          </cell>
          <cell r="L106">
            <v>98</v>
          </cell>
          <cell r="M106">
            <v>65.900000000000006</v>
          </cell>
          <cell r="O106">
            <v>763</v>
          </cell>
          <cell r="P106">
            <v>89</v>
          </cell>
          <cell r="Q106">
            <v>74.3</v>
          </cell>
          <cell r="R106">
            <v>99.1</v>
          </cell>
          <cell r="S106">
            <v>98</v>
          </cell>
          <cell r="T106">
            <v>99.7</v>
          </cell>
          <cell r="U106">
            <v>369.6</v>
          </cell>
          <cell r="V106">
            <v>485.8</v>
          </cell>
          <cell r="W106">
            <v>98.7</v>
          </cell>
          <cell r="X106">
            <v>75.2</v>
          </cell>
          <cell r="Z106">
            <v>1414</v>
          </cell>
          <cell r="AA106">
            <v>86.8</v>
          </cell>
          <cell r="AB106">
            <v>69.599999999999994</v>
          </cell>
          <cell r="AC106">
            <v>98.4</v>
          </cell>
          <cell r="AD106">
            <v>97.3</v>
          </cell>
          <cell r="AE106">
            <v>99.5</v>
          </cell>
          <cell r="AF106">
            <v>356.3</v>
          </cell>
          <cell r="AG106">
            <v>465.2</v>
          </cell>
          <cell r="AH106">
            <v>98.4</v>
          </cell>
          <cell r="AI106">
            <v>70.900000000000006</v>
          </cell>
        </row>
        <row r="107">
          <cell r="B107" t="str">
            <v>Outer London</v>
          </cell>
          <cell r="D107">
            <v>26266</v>
          </cell>
          <cell r="E107">
            <v>82.3</v>
          </cell>
          <cell r="F107">
            <v>61.9</v>
          </cell>
          <cell r="G107">
            <v>95.8</v>
          </cell>
          <cell r="H107">
            <v>94.2</v>
          </cell>
          <cell r="I107">
            <v>99.3</v>
          </cell>
          <cell r="J107">
            <v>338.8</v>
          </cell>
          <cell r="K107">
            <v>453.1</v>
          </cell>
          <cell r="L107">
            <v>96.5</v>
          </cell>
          <cell r="M107">
            <v>62.9</v>
          </cell>
          <cell r="O107">
            <v>25644</v>
          </cell>
          <cell r="P107">
            <v>88.2</v>
          </cell>
          <cell r="Q107">
            <v>70.099999999999994</v>
          </cell>
          <cell r="R107">
            <v>97.5</v>
          </cell>
          <cell r="S107">
            <v>96.1</v>
          </cell>
          <cell r="T107">
            <v>99.6</v>
          </cell>
          <cell r="U107">
            <v>361.4</v>
          </cell>
          <cell r="V107">
            <v>493.6</v>
          </cell>
          <cell r="W107">
            <v>97.9</v>
          </cell>
          <cell r="X107">
            <v>70.7</v>
          </cell>
          <cell r="Z107">
            <v>51910</v>
          </cell>
          <cell r="AA107">
            <v>85.2</v>
          </cell>
          <cell r="AB107">
            <v>66</v>
          </cell>
          <cell r="AC107">
            <v>96.6</v>
          </cell>
          <cell r="AD107">
            <v>95.1</v>
          </cell>
          <cell r="AE107">
            <v>99.4</v>
          </cell>
          <cell r="AF107">
            <v>349.9</v>
          </cell>
          <cell r="AG107">
            <v>473.1</v>
          </cell>
          <cell r="AH107">
            <v>97.2</v>
          </cell>
          <cell r="AI107">
            <v>66.7</v>
          </cell>
        </row>
        <row r="108">
          <cell r="B108" t="str">
            <v>Barking and Dagenham</v>
          </cell>
          <cell r="D108">
            <v>1153</v>
          </cell>
          <cell r="E108">
            <v>81.400000000000006</v>
          </cell>
          <cell r="F108">
            <v>57.7</v>
          </cell>
          <cell r="G108">
            <v>93.9</v>
          </cell>
          <cell r="H108">
            <v>92</v>
          </cell>
          <cell r="I108">
            <v>99.4</v>
          </cell>
          <cell r="J108">
            <v>328.4</v>
          </cell>
          <cell r="K108">
            <v>441</v>
          </cell>
          <cell r="L108">
            <v>95.6</v>
          </cell>
          <cell r="M108">
            <v>58.3</v>
          </cell>
          <cell r="O108">
            <v>1067</v>
          </cell>
          <cell r="P108">
            <v>83.7</v>
          </cell>
          <cell r="Q108">
            <v>62.9</v>
          </cell>
          <cell r="R108">
            <v>94.8</v>
          </cell>
          <cell r="S108">
            <v>92.6</v>
          </cell>
          <cell r="T108">
            <v>99.5</v>
          </cell>
          <cell r="U108">
            <v>341.3</v>
          </cell>
          <cell r="V108">
            <v>456.2</v>
          </cell>
          <cell r="W108">
            <v>95.2</v>
          </cell>
          <cell r="X108">
            <v>63.5</v>
          </cell>
          <cell r="Z108">
            <v>2220</v>
          </cell>
          <cell r="AA108">
            <v>82.5</v>
          </cell>
          <cell r="AB108">
            <v>60.2</v>
          </cell>
          <cell r="AC108">
            <v>94.3</v>
          </cell>
          <cell r="AD108">
            <v>92.3</v>
          </cell>
          <cell r="AE108">
            <v>99.5</v>
          </cell>
          <cell r="AF108">
            <v>334.6</v>
          </cell>
          <cell r="AG108">
            <v>448.3</v>
          </cell>
          <cell r="AH108">
            <v>95.4</v>
          </cell>
          <cell r="AI108">
            <v>60.8</v>
          </cell>
        </row>
        <row r="109">
          <cell r="B109" t="str">
            <v>Barnet</v>
          </cell>
          <cell r="D109">
            <v>1841</v>
          </cell>
          <cell r="E109">
            <v>84</v>
          </cell>
          <cell r="F109">
            <v>68.5</v>
          </cell>
          <cell r="G109">
            <v>96.3</v>
          </cell>
          <cell r="H109">
            <v>94.9</v>
          </cell>
          <cell r="I109">
            <v>99.6</v>
          </cell>
          <cell r="J109">
            <v>356.8</v>
          </cell>
          <cell r="K109">
            <v>474.5</v>
          </cell>
          <cell r="L109">
            <v>96.6</v>
          </cell>
          <cell r="M109">
            <v>69.3</v>
          </cell>
          <cell r="O109">
            <v>1644</v>
          </cell>
          <cell r="P109">
            <v>90.3</v>
          </cell>
          <cell r="Q109">
            <v>74.8</v>
          </cell>
          <cell r="R109">
            <v>97</v>
          </cell>
          <cell r="S109">
            <v>95.3</v>
          </cell>
          <cell r="T109">
            <v>99.7</v>
          </cell>
          <cell r="U109">
            <v>374.6</v>
          </cell>
          <cell r="V109">
            <v>497.8</v>
          </cell>
          <cell r="W109">
            <v>97.1</v>
          </cell>
          <cell r="X109">
            <v>74.900000000000006</v>
          </cell>
          <cell r="Z109">
            <v>3485</v>
          </cell>
          <cell r="AA109">
            <v>87</v>
          </cell>
          <cell r="AB109">
            <v>71.5</v>
          </cell>
          <cell r="AC109">
            <v>96.6</v>
          </cell>
          <cell r="AD109">
            <v>95.1</v>
          </cell>
          <cell r="AE109">
            <v>99.6</v>
          </cell>
          <cell r="AF109">
            <v>365.2</v>
          </cell>
          <cell r="AG109">
            <v>485.5</v>
          </cell>
          <cell r="AH109">
            <v>96.9</v>
          </cell>
          <cell r="AI109">
            <v>71.900000000000006</v>
          </cell>
        </row>
        <row r="110">
          <cell r="B110" t="str">
            <v>Bexley</v>
          </cell>
          <cell r="D110">
            <v>1629</v>
          </cell>
          <cell r="E110">
            <v>86.2</v>
          </cell>
          <cell r="F110">
            <v>60.8</v>
          </cell>
          <cell r="G110">
            <v>96.2</v>
          </cell>
          <cell r="H110">
            <v>94.3</v>
          </cell>
          <cell r="I110">
            <v>99.6</v>
          </cell>
          <cell r="J110">
            <v>344.1</v>
          </cell>
          <cell r="K110">
            <v>472.8</v>
          </cell>
          <cell r="L110">
            <v>97.1</v>
          </cell>
          <cell r="M110">
            <v>61</v>
          </cell>
          <cell r="O110">
            <v>1574</v>
          </cell>
          <cell r="P110">
            <v>91.1</v>
          </cell>
          <cell r="Q110">
            <v>71.3</v>
          </cell>
          <cell r="R110">
            <v>98.1</v>
          </cell>
          <cell r="S110">
            <v>96.7</v>
          </cell>
          <cell r="T110">
            <v>99.9</v>
          </cell>
          <cell r="U110">
            <v>369.7</v>
          </cell>
          <cell r="V110">
            <v>513.79999999999995</v>
          </cell>
          <cell r="W110">
            <v>98.9</v>
          </cell>
          <cell r="X110">
            <v>71.8</v>
          </cell>
          <cell r="Z110">
            <v>3203</v>
          </cell>
          <cell r="AA110">
            <v>88.6</v>
          </cell>
          <cell r="AB110">
            <v>66</v>
          </cell>
          <cell r="AC110">
            <v>97.1</v>
          </cell>
          <cell r="AD110">
            <v>95.5</v>
          </cell>
          <cell r="AE110">
            <v>99.7</v>
          </cell>
          <cell r="AF110">
            <v>356.7</v>
          </cell>
          <cell r="AG110">
            <v>493</v>
          </cell>
          <cell r="AH110">
            <v>98</v>
          </cell>
          <cell r="AI110">
            <v>66.3</v>
          </cell>
        </row>
        <row r="111">
          <cell r="B111" t="str">
            <v>Brent</v>
          </cell>
          <cell r="D111">
            <v>1477</v>
          </cell>
          <cell r="E111">
            <v>76</v>
          </cell>
          <cell r="F111">
            <v>57.9</v>
          </cell>
          <cell r="G111">
            <v>94.4</v>
          </cell>
          <cell r="H111">
            <v>92.3</v>
          </cell>
          <cell r="I111">
            <v>99.2</v>
          </cell>
          <cell r="J111">
            <v>328.4</v>
          </cell>
          <cell r="K111">
            <v>415.1</v>
          </cell>
          <cell r="L111">
            <v>96.1</v>
          </cell>
          <cell r="M111">
            <v>59.2</v>
          </cell>
          <cell r="O111">
            <v>1421</v>
          </cell>
          <cell r="P111">
            <v>86.4</v>
          </cell>
          <cell r="Q111">
            <v>68.099999999999994</v>
          </cell>
          <cell r="R111">
            <v>97.7</v>
          </cell>
          <cell r="S111">
            <v>96.2</v>
          </cell>
          <cell r="T111">
            <v>99.8</v>
          </cell>
          <cell r="U111">
            <v>358.1</v>
          </cell>
          <cell r="V111">
            <v>462</v>
          </cell>
          <cell r="W111">
            <v>98.1</v>
          </cell>
          <cell r="X111">
            <v>68.5</v>
          </cell>
          <cell r="Z111">
            <v>2898</v>
          </cell>
          <cell r="AA111">
            <v>81.099999999999994</v>
          </cell>
          <cell r="AB111">
            <v>62.9</v>
          </cell>
          <cell r="AC111">
            <v>96.1</v>
          </cell>
          <cell r="AD111">
            <v>94.2</v>
          </cell>
          <cell r="AE111">
            <v>99.5</v>
          </cell>
          <cell r="AF111">
            <v>343</v>
          </cell>
          <cell r="AG111">
            <v>438.1</v>
          </cell>
          <cell r="AH111">
            <v>97.1</v>
          </cell>
          <cell r="AI111">
            <v>63.8</v>
          </cell>
        </row>
        <row r="112">
          <cell r="B112" t="str">
            <v>Bromley</v>
          </cell>
          <cell r="D112">
            <v>1685</v>
          </cell>
          <cell r="E112">
            <v>90.3</v>
          </cell>
          <cell r="F112">
            <v>71.7</v>
          </cell>
          <cell r="G112">
            <v>97.3</v>
          </cell>
          <cell r="H112">
            <v>96.2</v>
          </cell>
          <cell r="I112">
            <v>99.2</v>
          </cell>
          <cell r="J112">
            <v>353</v>
          </cell>
          <cell r="K112">
            <v>481.1</v>
          </cell>
          <cell r="L112">
            <v>97.6</v>
          </cell>
          <cell r="M112">
            <v>72.599999999999994</v>
          </cell>
          <cell r="O112">
            <v>1733</v>
          </cell>
          <cell r="P112">
            <v>95.4</v>
          </cell>
          <cell r="Q112">
            <v>76.099999999999994</v>
          </cell>
          <cell r="R112">
            <v>98.6</v>
          </cell>
          <cell r="S112">
            <v>97.2</v>
          </cell>
          <cell r="T112">
            <v>99.8</v>
          </cell>
          <cell r="U112">
            <v>371.9</v>
          </cell>
          <cell r="V112">
            <v>528.6</v>
          </cell>
          <cell r="W112">
            <v>99.1</v>
          </cell>
          <cell r="X112">
            <v>76.5</v>
          </cell>
          <cell r="Z112">
            <v>3418</v>
          </cell>
          <cell r="AA112">
            <v>92.9</v>
          </cell>
          <cell r="AB112">
            <v>73.900000000000006</v>
          </cell>
          <cell r="AC112">
            <v>98</v>
          </cell>
          <cell r="AD112">
            <v>96.7</v>
          </cell>
          <cell r="AE112">
            <v>99.5</v>
          </cell>
          <cell r="AF112">
            <v>362.5</v>
          </cell>
          <cell r="AG112">
            <v>505.2</v>
          </cell>
          <cell r="AH112">
            <v>98.4</v>
          </cell>
          <cell r="AI112">
            <v>74.599999999999994</v>
          </cell>
        </row>
        <row r="113">
          <cell r="B113" t="str">
            <v>Croydon</v>
          </cell>
          <cell r="D113">
            <v>1826</v>
          </cell>
          <cell r="E113">
            <v>82.1</v>
          </cell>
          <cell r="F113">
            <v>59.5</v>
          </cell>
          <cell r="G113">
            <v>95.3</v>
          </cell>
          <cell r="H113">
            <v>93.5</v>
          </cell>
          <cell r="I113">
            <v>99.2</v>
          </cell>
          <cell r="J113">
            <v>328.8</v>
          </cell>
          <cell r="K113">
            <v>445.2</v>
          </cell>
          <cell r="L113">
            <v>96.2</v>
          </cell>
          <cell r="M113">
            <v>60.5</v>
          </cell>
          <cell r="O113">
            <v>1939</v>
          </cell>
          <cell r="P113">
            <v>88.2</v>
          </cell>
          <cell r="Q113">
            <v>69</v>
          </cell>
          <cell r="R113">
            <v>97.7</v>
          </cell>
          <cell r="S113">
            <v>95.8</v>
          </cell>
          <cell r="T113">
            <v>99.5</v>
          </cell>
          <cell r="U113">
            <v>355.6</v>
          </cell>
          <cell r="V113">
            <v>493.1</v>
          </cell>
          <cell r="W113">
            <v>97.6</v>
          </cell>
          <cell r="X113">
            <v>69.7</v>
          </cell>
          <cell r="Z113">
            <v>3765</v>
          </cell>
          <cell r="AA113">
            <v>85.3</v>
          </cell>
          <cell r="AB113">
            <v>64.400000000000006</v>
          </cell>
          <cell r="AC113">
            <v>96.5</v>
          </cell>
          <cell r="AD113">
            <v>94.7</v>
          </cell>
          <cell r="AE113">
            <v>99.4</v>
          </cell>
          <cell r="AF113">
            <v>342.6</v>
          </cell>
          <cell r="AG113">
            <v>469.9</v>
          </cell>
          <cell r="AH113">
            <v>96.9</v>
          </cell>
          <cell r="AI113">
            <v>65.3</v>
          </cell>
        </row>
        <row r="114">
          <cell r="B114" t="str">
            <v>Ealing</v>
          </cell>
          <cell r="D114">
            <v>1424</v>
          </cell>
          <cell r="E114">
            <v>75.8</v>
          </cell>
          <cell r="F114">
            <v>56</v>
          </cell>
          <cell r="G114">
            <v>95.4</v>
          </cell>
          <cell r="H114">
            <v>93.5</v>
          </cell>
          <cell r="I114">
            <v>99.4</v>
          </cell>
          <cell r="J114">
            <v>329.3</v>
          </cell>
          <cell r="K114">
            <v>445.6</v>
          </cell>
          <cell r="L114">
            <v>96.3</v>
          </cell>
          <cell r="M114">
            <v>57</v>
          </cell>
          <cell r="O114">
            <v>1456</v>
          </cell>
          <cell r="P114">
            <v>84.1</v>
          </cell>
          <cell r="Q114">
            <v>65.8</v>
          </cell>
          <cell r="R114">
            <v>97.3</v>
          </cell>
          <cell r="S114">
            <v>95</v>
          </cell>
          <cell r="T114">
            <v>99.2</v>
          </cell>
          <cell r="U114">
            <v>353.2</v>
          </cell>
          <cell r="V114">
            <v>500.1</v>
          </cell>
          <cell r="W114">
            <v>97.9</v>
          </cell>
          <cell r="X114">
            <v>66.599999999999994</v>
          </cell>
          <cell r="Z114">
            <v>2880</v>
          </cell>
          <cell r="AA114">
            <v>80</v>
          </cell>
          <cell r="AB114">
            <v>60.9</v>
          </cell>
          <cell r="AC114">
            <v>96.3</v>
          </cell>
          <cell r="AD114">
            <v>94.3</v>
          </cell>
          <cell r="AE114">
            <v>99.3</v>
          </cell>
          <cell r="AF114">
            <v>341.3</v>
          </cell>
          <cell r="AG114">
            <v>473.2</v>
          </cell>
          <cell r="AH114">
            <v>97.1</v>
          </cell>
          <cell r="AI114">
            <v>61.8</v>
          </cell>
        </row>
        <row r="115">
          <cell r="B115" t="str">
            <v>Enfield</v>
          </cell>
          <cell r="D115">
            <v>1911</v>
          </cell>
          <cell r="E115">
            <v>78</v>
          </cell>
          <cell r="F115">
            <v>60.3</v>
          </cell>
          <cell r="G115">
            <v>94.5</v>
          </cell>
          <cell r="H115">
            <v>92.7</v>
          </cell>
          <cell r="I115">
            <v>98.5</v>
          </cell>
          <cell r="J115">
            <v>328.4</v>
          </cell>
          <cell r="K115">
            <v>429.6</v>
          </cell>
          <cell r="L115">
            <v>96</v>
          </cell>
          <cell r="M115">
            <v>62.2</v>
          </cell>
          <cell r="O115">
            <v>1875</v>
          </cell>
          <cell r="P115">
            <v>84.2</v>
          </cell>
          <cell r="Q115">
            <v>66</v>
          </cell>
          <cell r="R115">
            <v>97.3</v>
          </cell>
          <cell r="S115">
            <v>95.2</v>
          </cell>
          <cell r="T115">
            <v>99.4</v>
          </cell>
          <cell r="U115">
            <v>352</v>
          </cell>
          <cell r="V115">
            <v>460.4</v>
          </cell>
          <cell r="W115">
            <v>97.4</v>
          </cell>
          <cell r="X115">
            <v>67</v>
          </cell>
          <cell r="Z115">
            <v>3786</v>
          </cell>
          <cell r="AA115">
            <v>81</v>
          </cell>
          <cell r="AB115">
            <v>63.2</v>
          </cell>
          <cell r="AC115">
            <v>95.9</v>
          </cell>
          <cell r="AD115">
            <v>93.9</v>
          </cell>
          <cell r="AE115">
            <v>99</v>
          </cell>
          <cell r="AF115">
            <v>340.1</v>
          </cell>
          <cell r="AG115">
            <v>444.9</v>
          </cell>
          <cell r="AH115">
            <v>96.7</v>
          </cell>
          <cell r="AI115">
            <v>64.599999999999994</v>
          </cell>
        </row>
        <row r="116">
          <cell r="B116" t="str">
            <v>Greenwich</v>
          </cell>
          <cell r="D116">
            <v>1013</v>
          </cell>
          <cell r="E116">
            <v>88.4</v>
          </cell>
          <cell r="F116">
            <v>61.8</v>
          </cell>
          <cell r="G116">
            <v>95.9</v>
          </cell>
          <cell r="H116">
            <v>93.9</v>
          </cell>
          <cell r="I116">
            <v>99.5</v>
          </cell>
          <cell r="J116">
            <v>340.1</v>
          </cell>
          <cell r="K116">
            <v>450.7</v>
          </cell>
          <cell r="L116">
            <v>95.9</v>
          </cell>
          <cell r="M116">
            <v>62.7</v>
          </cell>
          <cell r="O116">
            <v>1127</v>
          </cell>
          <cell r="P116">
            <v>90.7</v>
          </cell>
          <cell r="Q116">
            <v>68.599999999999994</v>
          </cell>
          <cell r="R116">
            <v>98</v>
          </cell>
          <cell r="S116">
            <v>97</v>
          </cell>
          <cell r="T116">
            <v>99.8</v>
          </cell>
          <cell r="U116">
            <v>357.8</v>
          </cell>
          <cell r="V116">
            <v>493.7</v>
          </cell>
          <cell r="W116">
            <v>98.3</v>
          </cell>
          <cell r="X116">
            <v>68.7</v>
          </cell>
          <cell r="Z116">
            <v>2140</v>
          </cell>
          <cell r="AA116">
            <v>89.6</v>
          </cell>
          <cell r="AB116">
            <v>65.400000000000006</v>
          </cell>
          <cell r="AC116">
            <v>97</v>
          </cell>
          <cell r="AD116">
            <v>95.5</v>
          </cell>
          <cell r="AE116">
            <v>99.7</v>
          </cell>
          <cell r="AF116">
            <v>349.4</v>
          </cell>
          <cell r="AG116">
            <v>473.4</v>
          </cell>
          <cell r="AH116">
            <v>97.1</v>
          </cell>
          <cell r="AI116">
            <v>65.8</v>
          </cell>
        </row>
        <row r="117">
          <cell r="B117" t="str">
            <v>Harrow</v>
          </cell>
          <cell r="D117">
            <v>1034</v>
          </cell>
          <cell r="E117">
            <v>76.7</v>
          </cell>
          <cell r="F117">
            <v>57.4</v>
          </cell>
          <cell r="G117">
            <v>96.4</v>
          </cell>
          <cell r="H117">
            <v>95.2</v>
          </cell>
          <cell r="I117">
            <v>99.3</v>
          </cell>
          <cell r="J117">
            <v>334</v>
          </cell>
          <cell r="K117">
            <v>437.4</v>
          </cell>
          <cell r="L117">
            <v>96.7</v>
          </cell>
          <cell r="M117">
            <v>59.4</v>
          </cell>
          <cell r="O117">
            <v>1118</v>
          </cell>
          <cell r="P117">
            <v>87.3</v>
          </cell>
          <cell r="Q117">
            <v>72.7</v>
          </cell>
          <cell r="R117">
            <v>98.1</v>
          </cell>
          <cell r="S117">
            <v>97</v>
          </cell>
          <cell r="T117">
            <v>99.7</v>
          </cell>
          <cell r="U117">
            <v>362.1</v>
          </cell>
          <cell r="V117">
            <v>504.5</v>
          </cell>
          <cell r="W117">
            <v>98</v>
          </cell>
          <cell r="X117">
            <v>73.099999999999994</v>
          </cell>
          <cell r="Z117">
            <v>2152</v>
          </cell>
          <cell r="AA117">
            <v>82.2</v>
          </cell>
          <cell r="AB117">
            <v>65.400000000000006</v>
          </cell>
          <cell r="AC117">
            <v>97.3</v>
          </cell>
          <cell r="AD117">
            <v>96.1</v>
          </cell>
          <cell r="AE117">
            <v>99.5</v>
          </cell>
          <cell r="AF117">
            <v>348.6</v>
          </cell>
          <cell r="AG117">
            <v>472.3</v>
          </cell>
          <cell r="AH117">
            <v>97.4</v>
          </cell>
          <cell r="AI117">
            <v>66.5</v>
          </cell>
        </row>
        <row r="118">
          <cell r="B118" t="str">
            <v>Havering</v>
          </cell>
          <cell r="D118">
            <v>1544</v>
          </cell>
          <cell r="E118">
            <v>77.099999999999994</v>
          </cell>
          <cell r="F118">
            <v>60.8</v>
          </cell>
          <cell r="G118">
            <v>97.2</v>
          </cell>
          <cell r="H118">
            <v>96</v>
          </cell>
          <cell r="I118">
            <v>99.6</v>
          </cell>
          <cell r="J118">
            <v>328.5</v>
          </cell>
          <cell r="K118">
            <v>433.7</v>
          </cell>
          <cell r="L118">
            <v>97.7</v>
          </cell>
          <cell r="M118">
            <v>62.4</v>
          </cell>
          <cell r="O118">
            <v>1502</v>
          </cell>
          <cell r="P118">
            <v>81.2</v>
          </cell>
          <cell r="Q118">
            <v>66.7</v>
          </cell>
          <cell r="R118">
            <v>97.5</v>
          </cell>
          <cell r="S118">
            <v>96.1</v>
          </cell>
          <cell r="T118">
            <v>99.7</v>
          </cell>
          <cell r="U118">
            <v>346.4</v>
          </cell>
          <cell r="V118">
            <v>465.9</v>
          </cell>
          <cell r="W118">
            <v>98.1</v>
          </cell>
          <cell r="X118">
            <v>68.400000000000006</v>
          </cell>
          <cell r="Z118">
            <v>3046</v>
          </cell>
          <cell r="AA118">
            <v>79.099999999999994</v>
          </cell>
          <cell r="AB118">
            <v>63.7</v>
          </cell>
          <cell r="AC118">
            <v>97.3</v>
          </cell>
          <cell r="AD118">
            <v>96.1</v>
          </cell>
          <cell r="AE118">
            <v>99.6</v>
          </cell>
          <cell r="AF118">
            <v>337.3</v>
          </cell>
          <cell r="AG118">
            <v>449.6</v>
          </cell>
          <cell r="AH118">
            <v>97.9</v>
          </cell>
          <cell r="AI118">
            <v>65.400000000000006</v>
          </cell>
        </row>
        <row r="119">
          <cell r="B119" t="str">
            <v>Hillingdon</v>
          </cell>
          <cell r="D119">
            <v>1561</v>
          </cell>
          <cell r="E119">
            <v>84.8</v>
          </cell>
          <cell r="F119">
            <v>54.8</v>
          </cell>
          <cell r="G119">
            <v>95.5</v>
          </cell>
          <cell r="H119">
            <v>94.2</v>
          </cell>
          <cell r="I119">
            <v>99.4</v>
          </cell>
          <cell r="J119">
            <v>331.7</v>
          </cell>
          <cell r="K119">
            <v>451</v>
          </cell>
          <cell r="L119">
            <v>96.6</v>
          </cell>
          <cell r="M119">
            <v>55.3</v>
          </cell>
          <cell r="O119">
            <v>1462</v>
          </cell>
          <cell r="P119">
            <v>89.7</v>
          </cell>
          <cell r="Q119">
            <v>68.900000000000006</v>
          </cell>
          <cell r="R119">
            <v>97.4</v>
          </cell>
          <cell r="S119">
            <v>96.6</v>
          </cell>
          <cell r="T119">
            <v>99.4</v>
          </cell>
          <cell r="U119">
            <v>360.2</v>
          </cell>
          <cell r="V119">
            <v>517.20000000000005</v>
          </cell>
          <cell r="W119">
            <v>98.3</v>
          </cell>
          <cell r="X119">
            <v>69.3</v>
          </cell>
          <cell r="Z119">
            <v>3023</v>
          </cell>
          <cell r="AA119">
            <v>87.2</v>
          </cell>
          <cell r="AB119">
            <v>61.6</v>
          </cell>
          <cell r="AC119">
            <v>96.4</v>
          </cell>
          <cell r="AD119">
            <v>95.4</v>
          </cell>
          <cell r="AE119">
            <v>99.4</v>
          </cell>
          <cell r="AF119">
            <v>345.5</v>
          </cell>
          <cell r="AG119">
            <v>483</v>
          </cell>
          <cell r="AH119">
            <v>97.4</v>
          </cell>
          <cell r="AI119">
            <v>62.1</v>
          </cell>
        </row>
        <row r="120">
          <cell r="B120" t="str">
            <v>Hounslow</v>
          </cell>
          <cell r="D120">
            <v>1366</v>
          </cell>
          <cell r="E120">
            <v>84.3</v>
          </cell>
          <cell r="F120">
            <v>63.4</v>
          </cell>
          <cell r="G120">
            <v>96.6</v>
          </cell>
          <cell r="H120">
            <v>95.6</v>
          </cell>
          <cell r="I120">
            <v>99.7</v>
          </cell>
          <cell r="J120">
            <v>340.3</v>
          </cell>
          <cell r="K120">
            <v>451.1</v>
          </cell>
          <cell r="L120">
            <v>97.1</v>
          </cell>
          <cell r="M120">
            <v>64.099999999999994</v>
          </cell>
          <cell r="O120">
            <v>1337</v>
          </cell>
          <cell r="P120">
            <v>89.3</v>
          </cell>
          <cell r="Q120">
            <v>70.2</v>
          </cell>
          <cell r="R120">
            <v>97.9</v>
          </cell>
          <cell r="S120">
            <v>96.9</v>
          </cell>
          <cell r="T120">
            <v>100</v>
          </cell>
          <cell r="U120">
            <v>363.1</v>
          </cell>
          <cell r="V120">
            <v>484.6</v>
          </cell>
          <cell r="W120">
            <v>97.8</v>
          </cell>
          <cell r="X120">
            <v>70.5</v>
          </cell>
          <cell r="Z120">
            <v>2703</v>
          </cell>
          <cell r="AA120">
            <v>86.8</v>
          </cell>
          <cell r="AB120">
            <v>66.7</v>
          </cell>
          <cell r="AC120">
            <v>97.3</v>
          </cell>
          <cell r="AD120">
            <v>96.3</v>
          </cell>
          <cell r="AE120">
            <v>99.9</v>
          </cell>
          <cell r="AF120">
            <v>351.6</v>
          </cell>
          <cell r="AG120">
            <v>467.7</v>
          </cell>
          <cell r="AH120">
            <v>97.4</v>
          </cell>
          <cell r="AI120">
            <v>67.3</v>
          </cell>
        </row>
        <row r="121">
          <cell r="B121" t="str">
            <v>Kingston upon Thames</v>
          </cell>
          <cell r="D121">
            <v>786</v>
          </cell>
          <cell r="E121">
            <v>83.3</v>
          </cell>
          <cell r="F121">
            <v>68.099999999999994</v>
          </cell>
          <cell r="G121">
            <v>94</v>
          </cell>
          <cell r="H121">
            <v>93.1</v>
          </cell>
          <cell r="I121">
            <v>98</v>
          </cell>
          <cell r="J121">
            <v>347.3</v>
          </cell>
          <cell r="K121">
            <v>459.2</v>
          </cell>
          <cell r="L121">
            <v>95.3</v>
          </cell>
          <cell r="M121">
            <v>68.8</v>
          </cell>
          <cell r="O121">
            <v>793</v>
          </cell>
          <cell r="P121">
            <v>90.7</v>
          </cell>
          <cell r="Q121">
            <v>75</v>
          </cell>
          <cell r="R121">
            <v>97.1</v>
          </cell>
          <cell r="S121">
            <v>96.5</v>
          </cell>
          <cell r="T121">
            <v>99.5</v>
          </cell>
          <cell r="U121">
            <v>376.1</v>
          </cell>
          <cell r="V121">
            <v>514.4</v>
          </cell>
          <cell r="W121">
            <v>97.7</v>
          </cell>
          <cell r="X121">
            <v>75.3</v>
          </cell>
          <cell r="Z121">
            <v>1579</v>
          </cell>
          <cell r="AA121">
            <v>87</v>
          </cell>
          <cell r="AB121">
            <v>71.599999999999994</v>
          </cell>
          <cell r="AC121">
            <v>95.6</v>
          </cell>
          <cell r="AD121">
            <v>94.8</v>
          </cell>
          <cell r="AE121">
            <v>98.7</v>
          </cell>
          <cell r="AF121">
            <v>361.8</v>
          </cell>
          <cell r="AG121">
            <v>486.9</v>
          </cell>
          <cell r="AH121">
            <v>96.5</v>
          </cell>
          <cell r="AI121">
            <v>72.099999999999994</v>
          </cell>
        </row>
        <row r="122">
          <cell r="B122" t="str">
            <v>Merton</v>
          </cell>
          <cell r="D122">
            <v>842</v>
          </cell>
          <cell r="E122">
            <v>81.400000000000006</v>
          </cell>
          <cell r="F122">
            <v>61.4</v>
          </cell>
          <cell r="G122">
            <v>94.1</v>
          </cell>
          <cell r="H122">
            <v>91.8</v>
          </cell>
          <cell r="I122">
            <v>99</v>
          </cell>
          <cell r="J122">
            <v>330.3</v>
          </cell>
          <cell r="K122">
            <v>446.4</v>
          </cell>
          <cell r="L122">
            <v>94.1</v>
          </cell>
          <cell r="M122">
            <v>62.4</v>
          </cell>
          <cell r="O122">
            <v>758</v>
          </cell>
          <cell r="P122">
            <v>90.2</v>
          </cell>
          <cell r="Q122">
            <v>64</v>
          </cell>
          <cell r="R122">
            <v>96.3</v>
          </cell>
          <cell r="S122">
            <v>93.9</v>
          </cell>
          <cell r="T122">
            <v>99.3</v>
          </cell>
          <cell r="U122">
            <v>358.1</v>
          </cell>
          <cell r="V122">
            <v>493.5</v>
          </cell>
          <cell r="W122">
            <v>96.7</v>
          </cell>
          <cell r="X122">
            <v>64.099999999999994</v>
          </cell>
          <cell r="Z122">
            <v>1600</v>
          </cell>
          <cell r="AA122">
            <v>85.6</v>
          </cell>
          <cell r="AB122">
            <v>62.6</v>
          </cell>
          <cell r="AC122">
            <v>95.1</v>
          </cell>
          <cell r="AD122">
            <v>92.8</v>
          </cell>
          <cell r="AE122">
            <v>99.2</v>
          </cell>
          <cell r="AF122">
            <v>343.5</v>
          </cell>
          <cell r="AG122">
            <v>468.7</v>
          </cell>
          <cell r="AH122">
            <v>95.3</v>
          </cell>
          <cell r="AI122">
            <v>63.2</v>
          </cell>
        </row>
        <row r="123">
          <cell r="B123" t="str">
            <v>Redbridge</v>
          </cell>
          <cell r="D123">
            <v>1819</v>
          </cell>
          <cell r="E123">
            <v>84.4</v>
          </cell>
          <cell r="F123">
            <v>66</v>
          </cell>
          <cell r="G123">
            <v>96.3</v>
          </cell>
          <cell r="H123">
            <v>94.9</v>
          </cell>
          <cell r="I123">
            <v>99.2</v>
          </cell>
          <cell r="J123">
            <v>349.2</v>
          </cell>
          <cell r="K123">
            <v>470</v>
          </cell>
          <cell r="L123">
            <v>97.2</v>
          </cell>
          <cell r="M123">
            <v>66.8</v>
          </cell>
          <cell r="O123">
            <v>1600</v>
          </cell>
          <cell r="P123">
            <v>89.4</v>
          </cell>
          <cell r="Q123">
            <v>75</v>
          </cell>
          <cell r="R123">
            <v>97.8</v>
          </cell>
          <cell r="S123">
            <v>95.9</v>
          </cell>
          <cell r="T123">
            <v>99.6</v>
          </cell>
          <cell r="U123">
            <v>369.4</v>
          </cell>
          <cell r="V123">
            <v>501.4</v>
          </cell>
          <cell r="W123">
            <v>98.1</v>
          </cell>
          <cell r="X123">
            <v>75.3</v>
          </cell>
          <cell r="Z123">
            <v>3419</v>
          </cell>
          <cell r="AA123">
            <v>86.8</v>
          </cell>
          <cell r="AB123">
            <v>70.2</v>
          </cell>
          <cell r="AC123">
            <v>97</v>
          </cell>
          <cell r="AD123">
            <v>95.4</v>
          </cell>
          <cell r="AE123">
            <v>99.4</v>
          </cell>
          <cell r="AF123">
            <v>358.6</v>
          </cell>
          <cell r="AG123">
            <v>484.7</v>
          </cell>
          <cell r="AH123">
            <v>97.6</v>
          </cell>
          <cell r="AI123">
            <v>70.8</v>
          </cell>
        </row>
        <row r="124">
          <cell r="B124" t="str">
            <v>Richmond upon Thames</v>
          </cell>
          <cell r="D124">
            <v>669</v>
          </cell>
          <cell r="E124">
            <v>82.7</v>
          </cell>
          <cell r="F124">
            <v>63.5</v>
          </cell>
          <cell r="G124">
            <v>95.4</v>
          </cell>
          <cell r="H124">
            <v>94</v>
          </cell>
          <cell r="I124">
            <v>99.6</v>
          </cell>
          <cell r="J124">
            <v>337.6</v>
          </cell>
          <cell r="K124">
            <v>451.9</v>
          </cell>
          <cell r="L124">
            <v>96</v>
          </cell>
          <cell r="M124">
            <v>64.400000000000006</v>
          </cell>
          <cell r="O124">
            <v>653</v>
          </cell>
          <cell r="P124">
            <v>89.3</v>
          </cell>
          <cell r="Q124">
            <v>73.2</v>
          </cell>
          <cell r="R124">
            <v>97.2</v>
          </cell>
          <cell r="S124">
            <v>96.2</v>
          </cell>
          <cell r="T124">
            <v>99.5</v>
          </cell>
          <cell r="U124">
            <v>367.2</v>
          </cell>
          <cell r="V124">
            <v>494</v>
          </cell>
          <cell r="W124">
            <v>98</v>
          </cell>
          <cell r="X124">
            <v>73.400000000000006</v>
          </cell>
          <cell r="Z124">
            <v>1322</v>
          </cell>
          <cell r="AA124">
            <v>85.9</v>
          </cell>
          <cell r="AB124">
            <v>68.3</v>
          </cell>
          <cell r="AC124">
            <v>96.3</v>
          </cell>
          <cell r="AD124">
            <v>95.1</v>
          </cell>
          <cell r="AE124">
            <v>99.5</v>
          </cell>
          <cell r="AF124">
            <v>352.2</v>
          </cell>
          <cell r="AG124">
            <v>472.7</v>
          </cell>
          <cell r="AH124">
            <v>97</v>
          </cell>
          <cell r="AI124">
            <v>68.8</v>
          </cell>
        </row>
        <row r="125">
          <cell r="B125" t="str">
            <v>Sutton</v>
          </cell>
          <cell r="D125">
            <v>1359</v>
          </cell>
          <cell r="E125">
            <v>91.4</v>
          </cell>
          <cell r="F125">
            <v>74.7</v>
          </cell>
          <cell r="G125">
            <v>97.1</v>
          </cell>
          <cell r="H125">
            <v>96</v>
          </cell>
          <cell r="I125">
            <v>99.4</v>
          </cell>
          <cell r="J125">
            <v>371.5</v>
          </cell>
          <cell r="K125">
            <v>517.9</v>
          </cell>
          <cell r="L125">
            <v>97.6</v>
          </cell>
          <cell r="M125">
            <v>74.8</v>
          </cell>
          <cell r="O125">
            <v>1334</v>
          </cell>
          <cell r="P125">
            <v>92.1</v>
          </cell>
          <cell r="Q125">
            <v>79.400000000000006</v>
          </cell>
          <cell r="R125">
            <v>98</v>
          </cell>
          <cell r="S125">
            <v>97.6</v>
          </cell>
          <cell r="T125">
            <v>99.8</v>
          </cell>
          <cell r="U125">
            <v>381.7</v>
          </cell>
          <cell r="V125">
            <v>530.6</v>
          </cell>
          <cell r="W125">
            <v>98.5</v>
          </cell>
          <cell r="X125">
            <v>80</v>
          </cell>
          <cell r="Z125">
            <v>2693</v>
          </cell>
          <cell r="AA125">
            <v>91.7</v>
          </cell>
          <cell r="AB125">
            <v>77</v>
          </cell>
          <cell r="AC125">
            <v>97.5</v>
          </cell>
          <cell r="AD125">
            <v>96.8</v>
          </cell>
          <cell r="AE125">
            <v>99.6</v>
          </cell>
          <cell r="AF125">
            <v>376.5</v>
          </cell>
          <cell r="AG125">
            <v>524.20000000000005</v>
          </cell>
          <cell r="AH125">
            <v>98</v>
          </cell>
          <cell r="AI125">
            <v>77.400000000000006</v>
          </cell>
        </row>
        <row r="126">
          <cell r="B126" t="str">
            <v>Waltham Forest</v>
          </cell>
          <cell r="D126">
            <v>1327</v>
          </cell>
          <cell r="E126">
            <v>73.900000000000006</v>
          </cell>
          <cell r="F126">
            <v>50.5</v>
          </cell>
          <cell r="G126">
            <v>96.1</v>
          </cell>
          <cell r="H126">
            <v>93.9</v>
          </cell>
          <cell r="I126">
            <v>98.8</v>
          </cell>
          <cell r="J126">
            <v>323.10000000000002</v>
          </cell>
          <cell r="K126">
            <v>422</v>
          </cell>
          <cell r="L126">
            <v>95.3</v>
          </cell>
          <cell r="M126">
            <v>51.8</v>
          </cell>
          <cell r="O126">
            <v>1251</v>
          </cell>
          <cell r="P126">
            <v>83.6</v>
          </cell>
          <cell r="Q126">
            <v>63.2</v>
          </cell>
          <cell r="R126">
            <v>98.2</v>
          </cell>
          <cell r="S126">
            <v>97</v>
          </cell>
          <cell r="T126">
            <v>99.6</v>
          </cell>
          <cell r="U126">
            <v>350</v>
          </cell>
          <cell r="V126">
            <v>466.8</v>
          </cell>
          <cell r="W126">
            <v>98.4</v>
          </cell>
          <cell r="X126">
            <v>63.9</v>
          </cell>
          <cell r="Z126">
            <v>2578</v>
          </cell>
          <cell r="AA126">
            <v>78.599999999999994</v>
          </cell>
          <cell r="AB126">
            <v>56.7</v>
          </cell>
          <cell r="AC126">
            <v>97.1</v>
          </cell>
          <cell r="AD126">
            <v>95.4</v>
          </cell>
          <cell r="AE126">
            <v>99.2</v>
          </cell>
          <cell r="AF126">
            <v>336.1</v>
          </cell>
          <cell r="AG126">
            <v>443.8</v>
          </cell>
          <cell r="AH126">
            <v>96.8</v>
          </cell>
          <cell r="AI126">
            <v>57.7</v>
          </cell>
        </row>
        <row r="127">
          <cell r="B127" t="str">
            <v>South East</v>
          </cell>
          <cell r="D127">
            <v>45608</v>
          </cell>
          <cell r="E127">
            <v>78.7</v>
          </cell>
          <cell r="F127">
            <v>57.7</v>
          </cell>
          <cell r="G127">
            <v>94.8</v>
          </cell>
          <cell r="H127">
            <v>93.2</v>
          </cell>
          <cell r="I127">
            <v>99.2</v>
          </cell>
          <cell r="J127">
            <v>332.1</v>
          </cell>
          <cell r="K127">
            <v>446.7</v>
          </cell>
          <cell r="L127">
            <v>95.9</v>
          </cell>
          <cell r="M127">
            <v>58.7</v>
          </cell>
          <cell r="O127">
            <v>44019</v>
          </cell>
          <cell r="P127">
            <v>86.2</v>
          </cell>
          <cell r="Q127">
            <v>67.3</v>
          </cell>
          <cell r="R127">
            <v>96.9</v>
          </cell>
          <cell r="S127">
            <v>95.6</v>
          </cell>
          <cell r="T127">
            <v>99.5</v>
          </cell>
          <cell r="U127">
            <v>355.8</v>
          </cell>
          <cell r="V127">
            <v>491.9</v>
          </cell>
          <cell r="W127">
            <v>97.6</v>
          </cell>
          <cell r="X127">
            <v>67.900000000000006</v>
          </cell>
          <cell r="Z127">
            <v>89627</v>
          </cell>
          <cell r="AA127">
            <v>82.4</v>
          </cell>
          <cell r="AB127">
            <v>62.4</v>
          </cell>
          <cell r="AC127">
            <v>95.8</v>
          </cell>
          <cell r="AD127">
            <v>94.4</v>
          </cell>
          <cell r="AE127">
            <v>99.3</v>
          </cell>
          <cell r="AF127">
            <v>343.7</v>
          </cell>
          <cell r="AG127">
            <v>468.9</v>
          </cell>
          <cell r="AH127">
            <v>96.7</v>
          </cell>
          <cell r="AI127">
            <v>63.2</v>
          </cell>
        </row>
        <row r="128">
          <cell r="B128" t="str">
            <v>Bracknell Forest4</v>
          </cell>
          <cell r="D128">
            <v>539</v>
          </cell>
          <cell r="E128">
            <v>88.7</v>
          </cell>
          <cell r="F128">
            <v>50.6</v>
          </cell>
          <cell r="G128">
            <v>96.5</v>
          </cell>
          <cell r="H128">
            <v>85.7</v>
          </cell>
          <cell r="I128">
            <v>99.4</v>
          </cell>
          <cell r="J128">
            <v>343.9</v>
          </cell>
          <cell r="K128">
            <v>462.5</v>
          </cell>
          <cell r="L128">
            <v>87.9</v>
          </cell>
          <cell r="M128">
            <v>50.6</v>
          </cell>
          <cell r="O128">
            <v>542</v>
          </cell>
          <cell r="P128">
            <v>91.7</v>
          </cell>
          <cell r="Q128">
            <v>59</v>
          </cell>
          <cell r="R128">
            <v>97.4</v>
          </cell>
          <cell r="S128">
            <v>86.5</v>
          </cell>
          <cell r="T128">
            <v>98.9</v>
          </cell>
          <cell r="U128">
            <v>363.9</v>
          </cell>
          <cell r="V128">
            <v>503.5</v>
          </cell>
          <cell r="W128">
            <v>88.4</v>
          </cell>
          <cell r="X128">
            <v>59.6</v>
          </cell>
          <cell r="Z128">
            <v>1081</v>
          </cell>
          <cell r="AA128">
            <v>90.2</v>
          </cell>
          <cell r="AB128">
            <v>54.9</v>
          </cell>
          <cell r="AC128">
            <v>96.9</v>
          </cell>
          <cell r="AD128">
            <v>86.1</v>
          </cell>
          <cell r="AE128">
            <v>99.2</v>
          </cell>
          <cell r="AF128">
            <v>354</v>
          </cell>
          <cell r="AG128">
            <v>483.1</v>
          </cell>
          <cell r="AH128">
            <v>88.2</v>
          </cell>
          <cell r="AI128">
            <v>55.1</v>
          </cell>
        </row>
        <row r="129">
          <cell r="B129" t="str">
            <v>Brighton and Hove</v>
          </cell>
          <cell r="D129">
            <v>1148</v>
          </cell>
          <cell r="E129">
            <v>74.400000000000006</v>
          </cell>
          <cell r="F129">
            <v>59</v>
          </cell>
          <cell r="G129">
            <v>93.6</v>
          </cell>
          <cell r="H129">
            <v>92.1</v>
          </cell>
          <cell r="I129">
            <v>98.8</v>
          </cell>
          <cell r="J129">
            <v>321</v>
          </cell>
          <cell r="K129">
            <v>422</v>
          </cell>
          <cell r="L129">
            <v>94.9</v>
          </cell>
          <cell r="M129">
            <v>60.7</v>
          </cell>
          <cell r="O129">
            <v>1146</v>
          </cell>
          <cell r="P129">
            <v>82.8</v>
          </cell>
          <cell r="Q129">
            <v>65.400000000000006</v>
          </cell>
          <cell r="R129">
            <v>95.1</v>
          </cell>
          <cell r="S129">
            <v>93.8</v>
          </cell>
          <cell r="T129">
            <v>99</v>
          </cell>
          <cell r="U129">
            <v>342.1</v>
          </cell>
          <cell r="V129">
            <v>459.1</v>
          </cell>
          <cell r="W129">
            <v>96.4</v>
          </cell>
          <cell r="X129">
            <v>66.7</v>
          </cell>
          <cell r="Z129">
            <v>2294</v>
          </cell>
          <cell r="AA129">
            <v>78.599999999999994</v>
          </cell>
          <cell r="AB129">
            <v>62.2</v>
          </cell>
          <cell r="AC129">
            <v>94.4</v>
          </cell>
          <cell r="AD129">
            <v>92.9</v>
          </cell>
          <cell r="AE129">
            <v>98.9</v>
          </cell>
          <cell r="AF129">
            <v>331.5</v>
          </cell>
          <cell r="AG129">
            <v>440.5</v>
          </cell>
          <cell r="AH129">
            <v>95.7</v>
          </cell>
          <cell r="AI129">
            <v>63.7</v>
          </cell>
        </row>
        <row r="130">
          <cell r="B130" t="str">
            <v>Buckinghamshire</v>
          </cell>
          <cell r="D130">
            <v>2874</v>
          </cell>
          <cell r="E130">
            <v>81.900000000000006</v>
          </cell>
          <cell r="F130">
            <v>67.3</v>
          </cell>
          <cell r="G130">
            <v>96.1</v>
          </cell>
          <cell r="H130">
            <v>95.1</v>
          </cell>
          <cell r="I130">
            <v>99.1</v>
          </cell>
          <cell r="J130">
            <v>353.8</v>
          </cell>
          <cell r="K130">
            <v>471.5</v>
          </cell>
          <cell r="L130">
            <v>97</v>
          </cell>
          <cell r="M130">
            <v>68.2</v>
          </cell>
          <cell r="O130">
            <v>2680</v>
          </cell>
          <cell r="P130">
            <v>88.7</v>
          </cell>
          <cell r="Q130">
            <v>75.599999999999994</v>
          </cell>
          <cell r="R130">
            <v>97.8</v>
          </cell>
          <cell r="S130">
            <v>97</v>
          </cell>
          <cell r="T130">
            <v>99.9</v>
          </cell>
          <cell r="U130">
            <v>374.7</v>
          </cell>
          <cell r="V130">
            <v>514.79999999999995</v>
          </cell>
          <cell r="W130">
            <v>98.5</v>
          </cell>
          <cell r="X130">
            <v>76.099999999999994</v>
          </cell>
          <cell r="Z130">
            <v>5554</v>
          </cell>
          <cell r="AA130">
            <v>85.2</v>
          </cell>
          <cell r="AB130">
            <v>71.3</v>
          </cell>
          <cell r="AC130">
            <v>96.9</v>
          </cell>
          <cell r="AD130">
            <v>96</v>
          </cell>
          <cell r="AE130">
            <v>99.5</v>
          </cell>
          <cell r="AF130">
            <v>363.9</v>
          </cell>
          <cell r="AG130">
            <v>492.4</v>
          </cell>
          <cell r="AH130">
            <v>97.7</v>
          </cell>
          <cell r="AI130">
            <v>72</v>
          </cell>
        </row>
        <row r="131">
          <cell r="B131" t="str">
            <v>East Sussex</v>
          </cell>
          <cell r="D131">
            <v>2717</v>
          </cell>
          <cell r="E131">
            <v>78.5</v>
          </cell>
          <cell r="F131">
            <v>55.4</v>
          </cell>
          <cell r="G131">
            <v>93.7</v>
          </cell>
          <cell r="H131">
            <v>91.5</v>
          </cell>
          <cell r="I131">
            <v>98.7</v>
          </cell>
          <cell r="J131">
            <v>322.10000000000002</v>
          </cell>
          <cell r="K131">
            <v>436.6</v>
          </cell>
          <cell r="L131">
            <v>96.2</v>
          </cell>
          <cell r="M131">
            <v>56.6</v>
          </cell>
          <cell r="O131">
            <v>2636</v>
          </cell>
          <cell r="P131">
            <v>86.2</v>
          </cell>
          <cell r="Q131">
            <v>64.599999999999994</v>
          </cell>
          <cell r="R131">
            <v>96.9</v>
          </cell>
          <cell r="S131">
            <v>95.2</v>
          </cell>
          <cell r="T131">
            <v>99.2</v>
          </cell>
          <cell r="U131">
            <v>348.2</v>
          </cell>
          <cell r="V131">
            <v>477.5</v>
          </cell>
          <cell r="W131">
            <v>98</v>
          </cell>
          <cell r="X131">
            <v>65.099999999999994</v>
          </cell>
          <cell r="Z131">
            <v>5353</v>
          </cell>
          <cell r="AA131">
            <v>82.3</v>
          </cell>
          <cell r="AB131">
            <v>59.9</v>
          </cell>
          <cell r="AC131">
            <v>95.3</v>
          </cell>
          <cell r="AD131">
            <v>93.3</v>
          </cell>
          <cell r="AE131">
            <v>99</v>
          </cell>
          <cell r="AF131">
            <v>334.9</v>
          </cell>
          <cell r="AG131">
            <v>456.8</v>
          </cell>
          <cell r="AH131">
            <v>97.1</v>
          </cell>
          <cell r="AI131">
            <v>60.8</v>
          </cell>
        </row>
        <row r="132">
          <cell r="B132" t="str">
            <v>Hampshire</v>
          </cell>
          <cell r="D132">
            <v>7137</v>
          </cell>
          <cell r="E132">
            <v>74.5</v>
          </cell>
          <cell r="F132">
            <v>55.1</v>
          </cell>
          <cell r="G132">
            <v>95.3</v>
          </cell>
          <cell r="H132">
            <v>94.2</v>
          </cell>
          <cell r="I132">
            <v>99.3</v>
          </cell>
          <cell r="J132">
            <v>326.7</v>
          </cell>
          <cell r="K132">
            <v>430.7</v>
          </cell>
          <cell r="L132">
            <v>96.5</v>
          </cell>
          <cell r="M132">
            <v>56</v>
          </cell>
          <cell r="O132">
            <v>6804</v>
          </cell>
          <cell r="P132">
            <v>83.7</v>
          </cell>
          <cell r="Q132">
            <v>65.099999999999994</v>
          </cell>
          <cell r="R132">
            <v>97.2</v>
          </cell>
          <cell r="S132">
            <v>96.1</v>
          </cell>
          <cell r="T132">
            <v>99.7</v>
          </cell>
          <cell r="U132">
            <v>350.3</v>
          </cell>
          <cell r="V132">
            <v>475.5</v>
          </cell>
          <cell r="W132">
            <v>97.9</v>
          </cell>
          <cell r="X132">
            <v>65.900000000000006</v>
          </cell>
          <cell r="Z132">
            <v>13941</v>
          </cell>
          <cell r="AA132">
            <v>79</v>
          </cell>
          <cell r="AB132">
            <v>60</v>
          </cell>
          <cell r="AC132">
            <v>96.2</v>
          </cell>
          <cell r="AD132">
            <v>95.1</v>
          </cell>
          <cell r="AE132">
            <v>99.5</v>
          </cell>
          <cell r="AF132">
            <v>338.2</v>
          </cell>
          <cell r="AG132">
            <v>452.6</v>
          </cell>
          <cell r="AH132">
            <v>97.2</v>
          </cell>
          <cell r="AI132">
            <v>60.8</v>
          </cell>
        </row>
        <row r="133">
          <cell r="B133" t="str">
            <v>Isle of Wight</v>
          </cell>
          <cell r="D133">
            <v>788</v>
          </cell>
          <cell r="E133">
            <v>62.2</v>
          </cell>
          <cell r="F133">
            <v>42.4</v>
          </cell>
          <cell r="G133">
            <v>88.7</v>
          </cell>
          <cell r="H133">
            <v>87.7</v>
          </cell>
          <cell r="I133">
            <v>98.9</v>
          </cell>
          <cell r="J133">
            <v>286.5</v>
          </cell>
          <cell r="K133">
            <v>360.1</v>
          </cell>
          <cell r="L133">
            <v>92.8</v>
          </cell>
          <cell r="M133">
            <v>44.9</v>
          </cell>
          <cell r="O133">
            <v>696</v>
          </cell>
          <cell r="P133">
            <v>76</v>
          </cell>
          <cell r="Q133">
            <v>55.9</v>
          </cell>
          <cell r="R133">
            <v>95.5</v>
          </cell>
          <cell r="S133">
            <v>94.3</v>
          </cell>
          <cell r="T133">
            <v>99.3</v>
          </cell>
          <cell r="U133">
            <v>324.8</v>
          </cell>
          <cell r="V133">
            <v>426.2</v>
          </cell>
          <cell r="W133">
            <v>96.3</v>
          </cell>
          <cell r="X133">
            <v>57</v>
          </cell>
          <cell r="Z133">
            <v>1484</v>
          </cell>
          <cell r="AA133">
            <v>68.7</v>
          </cell>
          <cell r="AB133">
            <v>48.7</v>
          </cell>
          <cell r="AC133">
            <v>91.9</v>
          </cell>
          <cell r="AD133">
            <v>90.8</v>
          </cell>
          <cell r="AE133">
            <v>99.1</v>
          </cell>
          <cell r="AF133">
            <v>304.5</v>
          </cell>
          <cell r="AG133">
            <v>391.1</v>
          </cell>
          <cell r="AH133">
            <v>94.4</v>
          </cell>
          <cell r="AI133">
            <v>50.6</v>
          </cell>
        </row>
        <row r="134">
          <cell r="B134" t="str">
            <v>Kent</v>
          </cell>
          <cell r="D134">
            <v>8390</v>
          </cell>
          <cell r="E134">
            <v>83.3</v>
          </cell>
          <cell r="F134">
            <v>58.5</v>
          </cell>
          <cell r="G134">
            <v>94.8</v>
          </cell>
          <cell r="H134">
            <v>93.1</v>
          </cell>
          <cell r="I134">
            <v>99.2</v>
          </cell>
          <cell r="J134">
            <v>338.5</v>
          </cell>
          <cell r="K134">
            <v>463.3</v>
          </cell>
          <cell r="L134">
            <v>96.2</v>
          </cell>
          <cell r="M134">
            <v>59.2</v>
          </cell>
          <cell r="O134">
            <v>8308</v>
          </cell>
          <cell r="P134">
            <v>89.7</v>
          </cell>
          <cell r="Q134">
            <v>67.7</v>
          </cell>
          <cell r="R134">
            <v>97</v>
          </cell>
          <cell r="S134">
            <v>95.4</v>
          </cell>
          <cell r="T134">
            <v>99.6</v>
          </cell>
          <cell r="U134">
            <v>362.7</v>
          </cell>
          <cell r="V134">
            <v>516.70000000000005</v>
          </cell>
          <cell r="W134">
            <v>97.8</v>
          </cell>
          <cell r="X134">
            <v>68.099999999999994</v>
          </cell>
          <cell r="Z134">
            <v>16698</v>
          </cell>
          <cell r="AA134">
            <v>86.5</v>
          </cell>
          <cell r="AB134">
            <v>63.1</v>
          </cell>
          <cell r="AC134">
            <v>95.9</v>
          </cell>
          <cell r="AD134">
            <v>94.3</v>
          </cell>
          <cell r="AE134">
            <v>99.4</v>
          </cell>
          <cell r="AF134">
            <v>350.6</v>
          </cell>
          <cell r="AG134">
            <v>489.9</v>
          </cell>
          <cell r="AH134">
            <v>97</v>
          </cell>
          <cell r="AI134">
            <v>63.6</v>
          </cell>
        </row>
        <row r="135">
          <cell r="B135" t="str">
            <v>Medway</v>
          </cell>
          <cell r="D135">
            <v>1613</v>
          </cell>
          <cell r="E135">
            <v>86.2</v>
          </cell>
          <cell r="F135">
            <v>57</v>
          </cell>
          <cell r="G135">
            <v>94.2</v>
          </cell>
          <cell r="H135">
            <v>92.1</v>
          </cell>
          <cell r="I135">
            <v>99.1</v>
          </cell>
          <cell r="J135">
            <v>337.6</v>
          </cell>
          <cell r="K135">
            <v>463.2</v>
          </cell>
          <cell r="L135">
            <v>96.1</v>
          </cell>
          <cell r="M135">
            <v>57.2</v>
          </cell>
          <cell r="O135">
            <v>1629</v>
          </cell>
          <cell r="P135">
            <v>90.4</v>
          </cell>
          <cell r="Q135">
            <v>64.8</v>
          </cell>
          <cell r="R135">
            <v>96.6</v>
          </cell>
          <cell r="S135">
            <v>94.9</v>
          </cell>
          <cell r="T135">
            <v>99.4</v>
          </cell>
          <cell r="U135">
            <v>360.3</v>
          </cell>
          <cell r="V135">
            <v>538.79999999999995</v>
          </cell>
          <cell r="W135">
            <v>97.7</v>
          </cell>
          <cell r="X135">
            <v>65.3</v>
          </cell>
          <cell r="Z135">
            <v>3242</v>
          </cell>
          <cell r="AA135">
            <v>88.3</v>
          </cell>
          <cell r="AB135">
            <v>60.9</v>
          </cell>
          <cell r="AC135">
            <v>95.4</v>
          </cell>
          <cell r="AD135">
            <v>93.5</v>
          </cell>
          <cell r="AE135">
            <v>99.3</v>
          </cell>
          <cell r="AF135">
            <v>349</v>
          </cell>
          <cell r="AG135">
            <v>501.2</v>
          </cell>
          <cell r="AH135">
            <v>96.9</v>
          </cell>
          <cell r="AI135">
            <v>61.2</v>
          </cell>
        </row>
        <row r="136">
          <cell r="B136" t="str">
            <v>Milton Keynes</v>
          </cell>
          <cell r="D136">
            <v>1398</v>
          </cell>
          <cell r="E136">
            <v>85.9</v>
          </cell>
          <cell r="F136">
            <v>57.3</v>
          </cell>
          <cell r="G136">
            <v>95.6</v>
          </cell>
          <cell r="H136">
            <v>94.6</v>
          </cell>
          <cell r="I136">
            <v>99.4</v>
          </cell>
          <cell r="J136">
            <v>345.5</v>
          </cell>
          <cell r="K136">
            <v>526.1</v>
          </cell>
          <cell r="L136">
            <v>96.7</v>
          </cell>
          <cell r="M136">
            <v>57.9</v>
          </cell>
          <cell r="O136">
            <v>1379</v>
          </cell>
          <cell r="P136">
            <v>90.9</v>
          </cell>
          <cell r="Q136">
            <v>65.3</v>
          </cell>
          <cell r="R136">
            <v>97.8</v>
          </cell>
          <cell r="S136">
            <v>96.4</v>
          </cell>
          <cell r="T136">
            <v>99.6</v>
          </cell>
          <cell r="U136">
            <v>364.1</v>
          </cell>
          <cell r="V136">
            <v>555.20000000000005</v>
          </cell>
          <cell r="W136">
            <v>98.2</v>
          </cell>
          <cell r="X136">
            <v>65.7</v>
          </cell>
          <cell r="Z136">
            <v>2777</v>
          </cell>
          <cell r="AA136">
            <v>88.4</v>
          </cell>
          <cell r="AB136">
            <v>61.3</v>
          </cell>
          <cell r="AC136">
            <v>96.7</v>
          </cell>
          <cell r="AD136">
            <v>95.5</v>
          </cell>
          <cell r="AE136">
            <v>99.5</v>
          </cell>
          <cell r="AF136">
            <v>354.7</v>
          </cell>
          <cell r="AG136">
            <v>540.6</v>
          </cell>
          <cell r="AH136">
            <v>97.4</v>
          </cell>
          <cell r="AI136">
            <v>61.8</v>
          </cell>
        </row>
        <row r="137">
          <cell r="B137" t="str">
            <v>Oxfordshire</v>
          </cell>
          <cell r="D137">
            <v>3193</v>
          </cell>
          <cell r="E137">
            <v>72.900000000000006</v>
          </cell>
          <cell r="F137">
            <v>56.1</v>
          </cell>
          <cell r="G137">
            <v>95.3</v>
          </cell>
          <cell r="H137">
            <v>93.6</v>
          </cell>
          <cell r="I137">
            <v>99.1</v>
          </cell>
          <cell r="J137">
            <v>325.10000000000002</v>
          </cell>
          <cell r="K137">
            <v>423.6</v>
          </cell>
          <cell r="L137">
            <v>96.5</v>
          </cell>
          <cell r="M137">
            <v>57.3</v>
          </cell>
          <cell r="O137">
            <v>3068</v>
          </cell>
          <cell r="P137">
            <v>80.900000000000006</v>
          </cell>
          <cell r="Q137">
            <v>65.2</v>
          </cell>
          <cell r="R137">
            <v>96.6</v>
          </cell>
          <cell r="S137">
            <v>95.4</v>
          </cell>
          <cell r="T137">
            <v>99.1</v>
          </cell>
          <cell r="U137">
            <v>346.3</v>
          </cell>
          <cell r="V137">
            <v>458.7</v>
          </cell>
          <cell r="W137">
            <v>97.7</v>
          </cell>
          <cell r="X137">
            <v>66.099999999999994</v>
          </cell>
          <cell r="Z137">
            <v>6261</v>
          </cell>
          <cell r="AA137">
            <v>76.8</v>
          </cell>
          <cell r="AB137">
            <v>60.6</v>
          </cell>
          <cell r="AC137">
            <v>95.9</v>
          </cell>
          <cell r="AD137">
            <v>94.5</v>
          </cell>
          <cell r="AE137">
            <v>99.1</v>
          </cell>
          <cell r="AF137">
            <v>335.5</v>
          </cell>
          <cell r="AG137">
            <v>440.8</v>
          </cell>
          <cell r="AH137">
            <v>97.1</v>
          </cell>
          <cell r="AI137">
            <v>61.6</v>
          </cell>
        </row>
        <row r="138">
          <cell r="B138" t="str">
            <v>Portsmouth</v>
          </cell>
          <cell r="D138">
            <v>941</v>
          </cell>
          <cell r="E138">
            <v>59.4</v>
          </cell>
          <cell r="F138">
            <v>39.700000000000003</v>
          </cell>
          <cell r="G138">
            <v>87</v>
          </cell>
          <cell r="H138">
            <v>85.1</v>
          </cell>
          <cell r="I138">
            <v>98.6</v>
          </cell>
          <cell r="J138">
            <v>282.10000000000002</v>
          </cell>
          <cell r="K138">
            <v>357.1</v>
          </cell>
          <cell r="L138">
            <v>88.7</v>
          </cell>
          <cell r="M138">
            <v>40.299999999999997</v>
          </cell>
          <cell r="O138">
            <v>923</v>
          </cell>
          <cell r="P138">
            <v>71.599999999999994</v>
          </cell>
          <cell r="Q138">
            <v>55.6</v>
          </cell>
          <cell r="R138">
            <v>93.4</v>
          </cell>
          <cell r="S138">
            <v>91.5</v>
          </cell>
          <cell r="T138">
            <v>99.2</v>
          </cell>
          <cell r="U138">
            <v>321.39999999999998</v>
          </cell>
          <cell r="V138">
            <v>418.6</v>
          </cell>
          <cell r="W138">
            <v>95</v>
          </cell>
          <cell r="X138">
            <v>56.9</v>
          </cell>
          <cell r="Z138">
            <v>1864</v>
          </cell>
          <cell r="AA138">
            <v>65.5</v>
          </cell>
          <cell r="AB138">
            <v>47.6</v>
          </cell>
          <cell r="AC138">
            <v>90.2</v>
          </cell>
          <cell r="AD138">
            <v>88.3</v>
          </cell>
          <cell r="AE138">
            <v>98.9</v>
          </cell>
          <cell r="AF138">
            <v>301.60000000000002</v>
          </cell>
          <cell r="AG138">
            <v>387.6</v>
          </cell>
          <cell r="AH138">
            <v>91.8</v>
          </cell>
          <cell r="AI138">
            <v>48.5</v>
          </cell>
        </row>
        <row r="139">
          <cell r="B139" t="str">
            <v>Reading</v>
          </cell>
          <cell r="D139">
            <v>561</v>
          </cell>
          <cell r="E139">
            <v>88.8</v>
          </cell>
          <cell r="F139">
            <v>60.1</v>
          </cell>
          <cell r="G139">
            <v>96.1</v>
          </cell>
          <cell r="H139">
            <v>92.7</v>
          </cell>
          <cell r="I139">
            <v>99.1</v>
          </cell>
          <cell r="J139">
            <v>357.4</v>
          </cell>
          <cell r="K139">
            <v>486.6</v>
          </cell>
          <cell r="L139">
            <v>95.2</v>
          </cell>
          <cell r="M139">
            <v>60.4</v>
          </cell>
          <cell r="O139">
            <v>531</v>
          </cell>
          <cell r="P139">
            <v>90</v>
          </cell>
          <cell r="Q139">
            <v>67.2</v>
          </cell>
          <cell r="R139">
            <v>97.4</v>
          </cell>
          <cell r="S139">
            <v>94.9</v>
          </cell>
          <cell r="T139">
            <v>99.4</v>
          </cell>
          <cell r="U139">
            <v>367.3</v>
          </cell>
          <cell r="V139">
            <v>533</v>
          </cell>
          <cell r="W139">
            <v>98.1</v>
          </cell>
          <cell r="X139">
            <v>67.400000000000006</v>
          </cell>
          <cell r="Z139">
            <v>1092</v>
          </cell>
          <cell r="AA139">
            <v>89.4</v>
          </cell>
          <cell r="AB139">
            <v>63.6</v>
          </cell>
          <cell r="AC139">
            <v>96.7</v>
          </cell>
          <cell r="AD139">
            <v>93.8</v>
          </cell>
          <cell r="AE139">
            <v>99.3</v>
          </cell>
          <cell r="AF139">
            <v>362.2</v>
          </cell>
          <cell r="AG139">
            <v>509.2</v>
          </cell>
          <cell r="AH139">
            <v>96.6</v>
          </cell>
          <cell r="AI139">
            <v>63.8</v>
          </cell>
        </row>
        <row r="140">
          <cell r="B140" t="str">
            <v>Slough</v>
          </cell>
          <cell r="D140">
            <v>823</v>
          </cell>
          <cell r="E140">
            <v>91.5</v>
          </cell>
          <cell r="F140">
            <v>67.900000000000006</v>
          </cell>
          <cell r="G140">
            <v>97.1</v>
          </cell>
          <cell r="H140">
            <v>94.8</v>
          </cell>
          <cell r="I140">
            <v>99.4</v>
          </cell>
          <cell r="J140">
            <v>361.9</v>
          </cell>
          <cell r="K140">
            <v>496.7</v>
          </cell>
          <cell r="L140">
            <v>97.2</v>
          </cell>
          <cell r="M140">
            <v>68.5</v>
          </cell>
          <cell r="O140">
            <v>847</v>
          </cell>
          <cell r="P140">
            <v>93.5</v>
          </cell>
          <cell r="Q140">
            <v>74.900000000000006</v>
          </cell>
          <cell r="R140">
            <v>98.1</v>
          </cell>
          <cell r="S140">
            <v>97.8</v>
          </cell>
          <cell r="T140">
            <v>99.8</v>
          </cell>
          <cell r="U140">
            <v>375.5</v>
          </cell>
          <cell r="V140">
            <v>518.6</v>
          </cell>
          <cell r="W140">
            <v>98.7</v>
          </cell>
          <cell r="X140">
            <v>74.900000000000006</v>
          </cell>
          <cell r="Z140">
            <v>1670</v>
          </cell>
          <cell r="AA140">
            <v>92.5</v>
          </cell>
          <cell r="AB140">
            <v>71.400000000000006</v>
          </cell>
          <cell r="AC140">
            <v>97.6</v>
          </cell>
          <cell r="AD140">
            <v>96.3</v>
          </cell>
          <cell r="AE140">
            <v>99.6</v>
          </cell>
          <cell r="AF140">
            <v>368.8</v>
          </cell>
          <cell r="AG140">
            <v>507.8</v>
          </cell>
          <cell r="AH140">
            <v>98</v>
          </cell>
          <cell r="AI140">
            <v>71.7</v>
          </cell>
        </row>
        <row r="141">
          <cell r="B141" t="str">
            <v>Southampton</v>
          </cell>
          <cell r="D141">
            <v>1026</v>
          </cell>
          <cell r="E141">
            <v>78.099999999999994</v>
          </cell>
          <cell r="F141">
            <v>52.7</v>
          </cell>
          <cell r="G141">
            <v>92.6</v>
          </cell>
          <cell r="H141">
            <v>90.6</v>
          </cell>
          <cell r="I141">
            <v>99</v>
          </cell>
          <cell r="J141">
            <v>313.8</v>
          </cell>
          <cell r="K141">
            <v>413.7</v>
          </cell>
          <cell r="L141">
            <v>95.4</v>
          </cell>
          <cell r="M141">
            <v>53.9</v>
          </cell>
          <cell r="O141">
            <v>1057</v>
          </cell>
          <cell r="P141">
            <v>86.4</v>
          </cell>
          <cell r="Q141">
            <v>63.3</v>
          </cell>
          <cell r="R141">
            <v>97.1</v>
          </cell>
          <cell r="S141">
            <v>94.8</v>
          </cell>
          <cell r="T141">
            <v>99.8</v>
          </cell>
          <cell r="U141">
            <v>349</v>
          </cell>
          <cell r="V141">
            <v>477.5</v>
          </cell>
          <cell r="W141">
            <v>98.4</v>
          </cell>
          <cell r="X141">
            <v>63.7</v>
          </cell>
          <cell r="Z141">
            <v>2083</v>
          </cell>
          <cell r="AA141">
            <v>82.3</v>
          </cell>
          <cell r="AB141">
            <v>58.1</v>
          </cell>
          <cell r="AC141">
            <v>94.9</v>
          </cell>
          <cell r="AD141">
            <v>92.8</v>
          </cell>
          <cell r="AE141">
            <v>99.4</v>
          </cell>
          <cell r="AF141">
            <v>331.7</v>
          </cell>
          <cell r="AG141">
            <v>446</v>
          </cell>
          <cell r="AH141">
            <v>96.9</v>
          </cell>
          <cell r="AI141">
            <v>58.9</v>
          </cell>
        </row>
        <row r="142">
          <cell r="B142" t="str">
            <v>Surrey</v>
          </cell>
          <cell r="D142">
            <v>5515</v>
          </cell>
          <cell r="E142">
            <v>80.900000000000006</v>
          </cell>
          <cell r="F142">
            <v>63.3</v>
          </cell>
          <cell r="G142">
            <v>95.5</v>
          </cell>
          <cell r="H142">
            <v>94.5</v>
          </cell>
          <cell r="I142">
            <v>99.3</v>
          </cell>
          <cell r="J142">
            <v>337.6</v>
          </cell>
          <cell r="K142">
            <v>457</v>
          </cell>
          <cell r="L142">
            <v>96.1</v>
          </cell>
          <cell r="M142">
            <v>64.7</v>
          </cell>
          <cell r="O142">
            <v>5144</v>
          </cell>
          <cell r="P142">
            <v>87.1</v>
          </cell>
          <cell r="Q142">
            <v>71.900000000000006</v>
          </cell>
          <cell r="R142">
            <v>96.9</v>
          </cell>
          <cell r="S142">
            <v>96.2</v>
          </cell>
          <cell r="T142">
            <v>99.4</v>
          </cell>
          <cell r="U142">
            <v>358.1</v>
          </cell>
          <cell r="V142">
            <v>490.7</v>
          </cell>
          <cell r="W142">
            <v>97.3</v>
          </cell>
          <cell r="X142">
            <v>72.8</v>
          </cell>
          <cell r="Z142">
            <v>10659</v>
          </cell>
          <cell r="AA142">
            <v>83.9</v>
          </cell>
          <cell r="AB142">
            <v>67.5</v>
          </cell>
          <cell r="AC142">
            <v>96.2</v>
          </cell>
          <cell r="AD142">
            <v>95.3</v>
          </cell>
          <cell r="AE142">
            <v>99.3</v>
          </cell>
          <cell r="AF142">
            <v>347.5</v>
          </cell>
          <cell r="AG142">
            <v>473.3</v>
          </cell>
          <cell r="AH142">
            <v>96.7</v>
          </cell>
          <cell r="AI142">
            <v>68.599999999999994</v>
          </cell>
        </row>
        <row r="143">
          <cell r="B143" t="str">
            <v>West Berkshire</v>
          </cell>
          <cell r="D143">
            <v>1012</v>
          </cell>
          <cell r="E143">
            <v>72.3</v>
          </cell>
          <cell r="F143">
            <v>56.6</v>
          </cell>
          <cell r="G143">
            <v>96.2</v>
          </cell>
          <cell r="H143">
            <v>94.4</v>
          </cell>
          <cell r="I143">
            <v>98.8</v>
          </cell>
          <cell r="J143">
            <v>330</v>
          </cell>
          <cell r="K143">
            <v>437.9</v>
          </cell>
          <cell r="L143">
            <v>96</v>
          </cell>
          <cell r="M143">
            <v>57.7</v>
          </cell>
          <cell r="O143">
            <v>970</v>
          </cell>
          <cell r="P143">
            <v>81</v>
          </cell>
          <cell r="Q143">
            <v>66.099999999999994</v>
          </cell>
          <cell r="R143">
            <v>97.2</v>
          </cell>
          <cell r="S143">
            <v>96.3</v>
          </cell>
          <cell r="T143">
            <v>99.6</v>
          </cell>
          <cell r="U143">
            <v>351</v>
          </cell>
          <cell r="V143">
            <v>472.8</v>
          </cell>
          <cell r="W143">
            <v>98</v>
          </cell>
          <cell r="X143">
            <v>66.8</v>
          </cell>
          <cell r="Z143">
            <v>1982</v>
          </cell>
          <cell r="AA143">
            <v>76.599999999999994</v>
          </cell>
          <cell r="AB143">
            <v>61.3</v>
          </cell>
          <cell r="AC143">
            <v>96.7</v>
          </cell>
          <cell r="AD143">
            <v>95.3</v>
          </cell>
          <cell r="AE143">
            <v>99.2</v>
          </cell>
          <cell r="AF143">
            <v>340.3</v>
          </cell>
          <cell r="AG143">
            <v>455</v>
          </cell>
          <cell r="AH143">
            <v>97</v>
          </cell>
          <cell r="AI143">
            <v>62.2</v>
          </cell>
        </row>
        <row r="144">
          <cell r="B144" t="str">
            <v>West Sussex</v>
          </cell>
          <cell r="D144">
            <v>4250</v>
          </cell>
          <cell r="E144">
            <v>74.5</v>
          </cell>
          <cell r="F144">
            <v>53.6</v>
          </cell>
          <cell r="G144">
            <v>94.3</v>
          </cell>
          <cell r="H144">
            <v>93.2</v>
          </cell>
          <cell r="I144">
            <v>99.3</v>
          </cell>
          <cell r="J144">
            <v>325</v>
          </cell>
          <cell r="K144">
            <v>430.1</v>
          </cell>
          <cell r="L144">
            <v>95.6</v>
          </cell>
          <cell r="M144">
            <v>54.5</v>
          </cell>
          <cell r="O144">
            <v>4035</v>
          </cell>
          <cell r="P144">
            <v>83.7</v>
          </cell>
          <cell r="Q144">
            <v>66.400000000000006</v>
          </cell>
          <cell r="R144">
            <v>96.5</v>
          </cell>
          <cell r="S144">
            <v>95.5</v>
          </cell>
          <cell r="T144">
            <v>99.5</v>
          </cell>
          <cell r="U144">
            <v>352</v>
          </cell>
          <cell r="V144">
            <v>473.7</v>
          </cell>
          <cell r="W144">
            <v>97.2</v>
          </cell>
          <cell r="X144">
            <v>67.099999999999994</v>
          </cell>
          <cell r="Z144">
            <v>8285</v>
          </cell>
          <cell r="AA144">
            <v>79</v>
          </cell>
          <cell r="AB144">
            <v>59.9</v>
          </cell>
          <cell r="AC144">
            <v>95.4</v>
          </cell>
          <cell r="AD144">
            <v>94.3</v>
          </cell>
          <cell r="AE144">
            <v>99.4</v>
          </cell>
          <cell r="AF144">
            <v>338.2</v>
          </cell>
          <cell r="AG144">
            <v>451.3</v>
          </cell>
          <cell r="AH144">
            <v>96.4</v>
          </cell>
          <cell r="AI144">
            <v>60.6</v>
          </cell>
        </row>
        <row r="145">
          <cell r="B145" t="str">
            <v>Windsor and Maidenhead</v>
          </cell>
          <cell r="D145">
            <v>814</v>
          </cell>
          <cell r="E145">
            <v>84.4</v>
          </cell>
          <cell r="F145">
            <v>65.099999999999994</v>
          </cell>
          <cell r="G145">
            <v>97.7</v>
          </cell>
          <cell r="H145">
            <v>97.1</v>
          </cell>
          <cell r="I145">
            <v>99.5</v>
          </cell>
          <cell r="J145">
            <v>344.7</v>
          </cell>
          <cell r="K145">
            <v>478.5</v>
          </cell>
          <cell r="L145">
            <v>97.9</v>
          </cell>
          <cell r="M145">
            <v>66.5</v>
          </cell>
          <cell r="O145">
            <v>801</v>
          </cell>
          <cell r="P145">
            <v>89.5</v>
          </cell>
          <cell r="Q145">
            <v>71.5</v>
          </cell>
          <cell r="R145">
            <v>97.5</v>
          </cell>
          <cell r="S145">
            <v>96.8</v>
          </cell>
          <cell r="T145">
            <v>99.3</v>
          </cell>
          <cell r="U145">
            <v>362.5</v>
          </cell>
          <cell r="V145">
            <v>521.20000000000005</v>
          </cell>
          <cell r="W145">
            <v>98.8</v>
          </cell>
          <cell r="X145">
            <v>72.3</v>
          </cell>
          <cell r="Z145">
            <v>1615</v>
          </cell>
          <cell r="AA145">
            <v>86.9</v>
          </cell>
          <cell r="AB145">
            <v>68.3</v>
          </cell>
          <cell r="AC145">
            <v>97.6</v>
          </cell>
          <cell r="AD145">
            <v>96.9</v>
          </cell>
          <cell r="AE145">
            <v>99.4</v>
          </cell>
          <cell r="AF145">
            <v>353.5</v>
          </cell>
          <cell r="AG145">
            <v>499.7</v>
          </cell>
          <cell r="AH145">
            <v>98.3</v>
          </cell>
          <cell r="AI145">
            <v>69.3</v>
          </cell>
        </row>
        <row r="146">
          <cell r="B146" t="str">
            <v>Wokingham</v>
          </cell>
          <cell r="D146">
            <v>869</v>
          </cell>
          <cell r="E146">
            <v>79.3</v>
          </cell>
          <cell r="F146">
            <v>63.2</v>
          </cell>
          <cell r="G146">
            <v>95.3</v>
          </cell>
          <cell r="H146">
            <v>94.2</v>
          </cell>
          <cell r="I146">
            <v>98.6</v>
          </cell>
          <cell r="J146">
            <v>337.5</v>
          </cell>
          <cell r="K146">
            <v>454.1</v>
          </cell>
          <cell r="L146">
            <v>95.6</v>
          </cell>
          <cell r="M146">
            <v>65.5</v>
          </cell>
          <cell r="O146">
            <v>823</v>
          </cell>
          <cell r="P146">
            <v>92</v>
          </cell>
          <cell r="Q146">
            <v>78.5</v>
          </cell>
          <cell r="R146">
            <v>98.5</v>
          </cell>
          <cell r="S146">
            <v>98.3</v>
          </cell>
          <cell r="T146">
            <v>99.8</v>
          </cell>
          <cell r="U146">
            <v>369.7</v>
          </cell>
          <cell r="V146">
            <v>504.4</v>
          </cell>
          <cell r="W146">
            <v>98.8</v>
          </cell>
          <cell r="X146">
            <v>79</v>
          </cell>
          <cell r="Z146">
            <v>1692</v>
          </cell>
          <cell r="AA146">
            <v>85.5</v>
          </cell>
          <cell r="AB146">
            <v>70.599999999999994</v>
          </cell>
          <cell r="AC146">
            <v>96.9</v>
          </cell>
          <cell r="AD146">
            <v>96.2</v>
          </cell>
          <cell r="AE146">
            <v>99.2</v>
          </cell>
          <cell r="AF146">
            <v>353.1</v>
          </cell>
          <cell r="AG146">
            <v>478.6</v>
          </cell>
          <cell r="AH146">
            <v>97.2</v>
          </cell>
          <cell r="AI146">
            <v>72</v>
          </cell>
        </row>
        <row r="147">
          <cell r="B147" t="str">
            <v>South West</v>
          </cell>
          <cell r="D147">
            <v>28836</v>
          </cell>
          <cell r="E147">
            <v>75.8</v>
          </cell>
          <cell r="F147">
            <v>53.9</v>
          </cell>
          <cell r="G147">
            <v>95.1</v>
          </cell>
          <cell r="H147">
            <v>92.8</v>
          </cell>
          <cell r="I147">
            <v>99.3</v>
          </cell>
          <cell r="J147">
            <v>327.10000000000002</v>
          </cell>
          <cell r="K147">
            <v>437.5</v>
          </cell>
          <cell r="L147">
            <v>95.2</v>
          </cell>
          <cell r="M147">
            <v>55</v>
          </cell>
          <cell r="O147">
            <v>27513</v>
          </cell>
          <cell r="P147">
            <v>84</v>
          </cell>
          <cell r="Q147">
            <v>65.3</v>
          </cell>
          <cell r="R147">
            <v>97.1</v>
          </cell>
          <cell r="S147">
            <v>95.5</v>
          </cell>
          <cell r="T147">
            <v>99.6</v>
          </cell>
          <cell r="U147">
            <v>351.7</v>
          </cell>
          <cell r="V147">
            <v>480.6</v>
          </cell>
          <cell r="W147">
            <v>97.5</v>
          </cell>
          <cell r="X147">
            <v>65.900000000000006</v>
          </cell>
          <cell r="Z147">
            <v>56349</v>
          </cell>
          <cell r="AA147">
            <v>79.8</v>
          </cell>
          <cell r="AB147">
            <v>59.5</v>
          </cell>
          <cell r="AC147">
            <v>96.1</v>
          </cell>
          <cell r="AD147">
            <v>94.1</v>
          </cell>
          <cell r="AE147">
            <v>99.4</v>
          </cell>
          <cell r="AF147">
            <v>339.1</v>
          </cell>
          <cell r="AG147">
            <v>458.6</v>
          </cell>
          <cell r="AH147">
            <v>96.3</v>
          </cell>
          <cell r="AI147">
            <v>60.3</v>
          </cell>
        </row>
        <row r="148">
          <cell r="B148" t="str">
            <v>Bath and North East Somerset</v>
          </cell>
          <cell r="D148">
            <v>1076</v>
          </cell>
          <cell r="E148">
            <v>78.3</v>
          </cell>
          <cell r="F148">
            <v>58.1</v>
          </cell>
          <cell r="G148">
            <v>95.3</v>
          </cell>
          <cell r="H148">
            <v>94.3</v>
          </cell>
          <cell r="I148">
            <v>99.8</v>
          </cell>
          <cell r="J148">
            <v>335.2</v>
          </cell>
          <cell r="K148">
            <v>434.7</v>
          </cell>
          <cell r="L148">
            <v>96.4</v>
          </cell>
          <cell r="M148">
            <v>59.1</v>
          </cell>
          <cell r="O148">
            <v>1139</v>
          </cell>
          <cell r="P148">
            <v>85.9</v>
          </cell>
          <cell r="Q148">
            <v>68.7</v>
          </cell>
          <cell r="R148">
            <v>96.6</v>
          </cell>
          <cell r="S148">
            <v>95.7</v>
          </cell>
          <cell r="T148">
            <v>99.7</v>
          </cell>
          <cell r="U148">
            <v>352.6</v>
          </cell>
          <cell r="V148">
            <v>465.6</v>
          </cell>
          <cell r="W148">
            <v>97.5</v>
          </cell>
          <cell r="X148">
            <v>69.099999999999994</v>
          </cell>
          <cell r="Z148">
            <v>2215</v>
          </cell>
          <cell r="AA148">
            <v>82.2</v>
          </cell>
          <cell r="AB148">
            <v>63.6</v>
          </cell>
          <cell r="AC148">
            <v>95.9</v>
          </cell>
          <cell r="AD148">
            <v>95</v>
          </cell>
          <cell r="AE148">
            <v>99.8</v>
          </cell>
          <cell r="AF148">
            <v>344.2</v>
          </cell>
          <cell r="AG148">
            <v>450.6</v>
          </cell>
          <cell r="AH148">
            <v>96.9</v>
          </cell>
          <cell r="AI148">
            <v>64.2</v>
          </cell>
        </row>
        <row r="149">
          <cell r="B149" t="str">
            <v>Bournemouth</v>
          </cell>
          <cell r="D149">
            <v>881</v>
          </cell>
          <cell r="E149">
            <v>80.900000000000006</v>
          </cell>
          <cell r="F149">
            <v>58</v>
          </cell>
          <cell r="G149">
            <v>93.2</v>
          </cell>
          <cell r="H149">
            <v>90.5</v>
          </cell>
          <cell r="I149">
            <v>98.9</v>
          </cell>
          <cell r="J149">
            <v>330.6</v>
          </cell>
          <cell r="K149">
            <v>462.6</v>
          </cell>
          <cell r="L149">
            <v>92.4</v>
          </cell>
          <cell r="M149">
            <v>59.7</v>
          </cell>
          <cell r="O149">
            <v>845</v>
          </cell>
          <cell r="P149">
            <v>91.5</v>
          </cell>
          <cell r="Q149">
            <v>68.2</v>
          </cell>
          <cell r="R149">
            <v>98.7</v>
          </cell>
          <cell r="S149">
            <v>96.8</v>
          </cell>
          <cell r="T149">
            <v>99.9</v>
          </cell>
          <cell r="U149">
            <v>362.1</v>
          </cell>
          <cell r="V149">
            <v>535.5</v>
          </cell>
          <cell r="W149">
            <v>98.5</v>
          </cell>
          <cell r="X149">
            <v>68.599999999999994</v>
          </cell>
          <cell r="Z149">
            <v>1726</v>
          </cell>
          <cell r="AA149">
            <v>86.1</v>
          </cell>
          <cell r="AB149">
            <v>63</v>
          </cell>
          <cell r="AC149">
            <v>95.9</v>
          </cell>
          <cell r="AD149">
            <v>93.6</v>
          </cell>
          <cell r="AE149">
            <v>99.4</v>
          </cell>
          <cell r="AF149">
            <v>346</v>
          </cell>
          <cell r="AG149">
            <v>498.3</v>
          </cell>
          <cell r="AH149">
            <v>95.4</v>
          </cell>
          <cell r="AI149">
            <v>64.099999999999994</v>
          </cell>
        </row>
        <row r="150">
          <cell r="B150" t="str">
            <v>Bristol, City of</v>
          </cell>
          <cell r="D150">
            <v>1629</v>
          </cell>
          <cell r="E150">
            <v>76.5</v>
          </cell>
          <cell r="F150">
            <v>45.5</v>
          </cell>
          <cell r="G150">
            <v>90.4</v>
          </cell>
          <cell r="H150">
            <v>87.5</v>
          </cell>
          <cell r="I150">
            <v>98.4</v>
          </cell>
          <cell r="J150">
            <v>312</v>
          </cell>
          <cell r="K150">
            <v>414.8</v>
          </cell>
          <cell r="L150">
            <v>92.1</v>
          </cell>
          <cell r="M150">
            <v>46</v>
          </cell>
          <cell r="O150">
            <v>1633</v>
          </cell>
          <cell r="P150">
            <v>86</v>
          </cell>
          <cell r="Q150">
            <v>59</v>
          </cell>
          <cell r="R150">
            <v>94.9</v>
          </cell>
          <cell r="S150">
            <v>92.8</v>
          </cell>
          <cell r="T150">
            <v>99.2</v>
          </cell>
          <cell r="U150">
            <v>347.9</v>
          </cell>
          <cell r="V150">
            <v>481.1</v>
          </cell>
          <cell r="W150">
            <v>95.5</v>
          </cell>
          <cell r="X150">
            <v>59.4</v>
          </cell>
          <cell r="Z150">
            <v>3262</v>
          </cell>
          <cell r="AA150">
            <v>81.2</v>
          </cell>
          <cell r="AB150">
            <v>52.3</v>
          </cell>
          <cell r="AC150">
            <v>92.6</v>
          </cell>
          <cell r="AD150">
            <v>90.1</v>
          </cell>
          <cell r="AE150">
            <v>98.8</v>
          </cell>
          <cell r="AF150">
            <v>330</v>
          </cell>
          <cell r="AG150">
            <v>448</v>
          </cell>
          <cell r="AH150">
            <v>93.8</v>
          </cell>
          <cell r="AI150">
            <v>52.7</v>
          </cell>
        </row>
        <row r="151">
          <cell r="B151" t="str">
            <v>Cornwall</v>
          </cell>
          <cell r="D151">
            <v>2981</v>
          </cell>
          <cell r="E151">
            <v>73.8</v>
          </cell>
          <cell r="F151">
            <v>54.3</v>
          </cell>
          <cell r="G151">
            <v>96.2</v>
          </cell>
          <cell r="H151">
            <v>94.5</v>
          </cell>
          <cell r="I151">
            <v>99.4</v>
          </cell>
          <cell r="J151">
            <v>321.89999999999998</v>
          </cell>
          <cell r="K151">
            <v>436.2</v>
          </cell>
          <cell r="L151">
            <v>96.6</v>
          </cell>
          <cell r="M151">
            <v>56</v>
          </cell>
          <cell r="O151">
            <v>2871</v>
          </cell>
          <cell r="P151">
            <v>82.2</v>
          </cell>
          <cell r="Q151">
            <v>65.099999999999994</v>
          </cell>
          <cell r="R151">
            <v>97.9</v>
          </cell>
          <cell r="S151">
            <v>96.3</v>
          </cell>
          <cell r="T151">
            <v>99.8</v>
          </cell>
          <cell r="U151">
            <v>347.7</v>
          </cell>
          <cell r="V151">
            <v>486.7</v>
          </cell>
          <cell r="W151">
            <v>97.9</v>
          </cell>
          <cell r="X151">
            <v>66.2</v>
          </cell>
          <cell r="Z151">
            <v>5852</v>
          </cell>
          <cell r="AA151">
            <v>77.900000000000006</v>
          </cell>
          <cell r="AB151">
            <v>59.6</v>
          </cell>
          <cell r="AC151">
            <v>97</v>
          </cell>
          <cell r="AD151">
            <v>95.4</v>
          </cell>
          <cell r="AE151">
            <v>99.6</v>
          </cell>
          <cell r="AF151">
            <v>334.5</v>
          </cell>
          <cell r="AG151">
            <v>461</v>
          </cell>
          <cell r="AH151">
            <v>97.3</v>
          </cell>
          <cell r="AI151">
            <v>61</v>
          </cell>
        </row>
        <row r="152">
          <cell r="B152" t="str">
            <v>Devon</v>
          </cell>
          <cell r="D152">
            <v>4073</v>
          </cell>
          <cell r="E152">
            <v>72.900000000000006</v>
          </cell>
          <cell r="F152">
            <v>52.6</v>
          </cell>
          <cell r="G152">
            <v>95</v>
          </cell>
          <cell r="H152">
            <v>93.4</v>
          </cell>
          <cell r="I152">
            <v>99.3</v>
          </cell>
          <cell r="J152">
            <v>322.89999999999998</v>
          </cell>
          <cell r="K152">
            <v>426.5</v>
          </cell>
          <cell r="L152">
            <v>95.9</v>
          </cell>
          <cell r="M152">
            <v>53.9</v>
          </cell>
          <cell r="O152">
            <v>3656</v>
          </cell>
          <cell r="P152">
            <v>83.6</v>
          </cell>
          <cell r="Q152">
            <v>67.5</v>
          </cell>
          <cell r="R152">
            <v>97.6</v>
          </cell>
          <cell r="S152">
            <v>96.5</v>
          </cell>
          <cell r="T152">
            <v>99.5</v>
          </cell>
          <cell r="U152">
            <v>352.1</v>
          </cell>
          <cell r="V152">
            <v>478.6</v>
          </cell>
          <cell r="W152">
            <v>98.4</v>
          </cell>
          <cell r="X152">
            <v>68.099999999999994</v>
          </cell>
          <cell r="Z152">
            <v>7729</v>
          </cell>
          <cell r="AA152">
            <v>78</v>
          </cell>
          <cell r="AB152">
            <v>59.6</v>
          </cell>
          <cell r="AC152">
            <v>96.2</v>
          </cell>
          <cell r="AD152">
            <v>94.9</v>
          </cell>
          <cell r="AE152">
            <v>99.4</v>
          </cell>
          <cell r="AF152">
            <v>336.7</v>
          </cell>
          <cell r="AG152">
            <v>451.1</v>
          </cell>
          <cell r="AH152">
            <v>97</v>
          </cell>
          <cell r="AI152">
            <v>60.6</v>
          </cell>
        </row>
        <row r="153">
          <cell r="B153" t="str">
            <v>Dorset</v>
          </cell>
          <cell r="D153">
            <v>2243</v>
          </cell>
          <cell r="E153">
            <v>72</v>
          </cell>
          <cell r="F153">
            <v>53.1</v>
          </cell>
          <cell r="G153">
            <v>96.6</v>
          </cell>
          <cell r="H153">
            <v>95.1</v>
          </cell>
          <cell r="I153">
            <v>99.3</v>
          </cell>
          <cell r="J153">
            <v>326.7</v>
          </cell>
          <cell r="K153">
            <v>435.1</v>
          </cell>
          <cell r="L153">
            <v>97.1</v>
          </cell>
          <cell r="M153">
            <v>54.2</v>
          </cell>
          <cell r="O153">
            <v>2115</v>
          </cell>
          <cell r="P153">
            <v>80.2</v>
          </cell>
          <cell r="Q153">
            <v>65</v>
          </cell>
          <cell r="R153">
            <v>97.8</v>
          </cell>
          <cell r="S153">
            <v>96.5</v>
          </cell>
          <cell r="T153">
            <v>99.8</v>
          </cell>
          <cell r="U153">
            <v>349.9</v>
          </cell>
          <cell r="V153">
            <v>473.4</v>
          </cell>
          <cell r="W153">
            <v>98.1</v>
          </cell>
          <cell r="X153">
            <v>65.900000000000006</v>
          </cell>
          <cell r="Z153">
            <v>4358</v>
          </cell>
          <cell r="AA153">
            <v>76</v>
          </cell>
          <cell r="AB153">
            <v>58.9</v>
          </cell>
          <cell r="AC153">
            <v>97.2</v>
          </cell>
          <cell r="AD153">
            <v>95.7</v>
          </cell>
          <cell r="AE153">
            <v>99.6</v>
          </cell>
          <cell r="AF153">
            <v>338</v>
          </cell>
          <cell r="AG153">
            <v>453.7</v>
          </cell>
          <cell r="AH153">
            <v>97.6</v>
          </cell>
          <cell r="AI153">
            <v>59.9</v>
          </cell>
        </row>
        <row r="154">
          <cell r="B154" t="str">
            <v>Gloucestershire</v>
          </cell>
          <cell r="D154">
            <v>3433</v>
          </cell>
          <cell r="E154">
            <v>79.900000000000006</v>
          </cell>
          <cell r="F154">
            <v>57.2</v>
          </cell>
          <cell r="G154">
            <v>95.5</v>
          </cell>
          <cell r="H154">
            <v>92.3</v>
          </cell>
          <cell r="I154">
            <v>99.3</v>
          </cell>
          <cell r="J154">
            <v>338</v>
          </cell>
          <cell r="K154">
            <v>444</v>
          </cell>
          <cell r="L154">
            <v>94.4</v>
          </cell>
          <cell r="M154">
            <v>58.2</v>
          </cell>
          <cell r="O154">
            <v>3326</v>
          </cell>
          <cell r="P154">
            <v>86.1</v>
          </cell>
          <cell r="Q154">
            <v>66.5</v>
          </cell>
          <cell r="R154">
            <v>97.4</v>
          </cell>
          <cell r="S154">
            <v>94.1</v>
          </cell>
          <cell r="T154">
            <v>99.5</v>
          </cell>
          <cell r="U154">
            <v>358.6</v>
          </cell>
          <cell r="V154">
            <v>475.4</v>
          </cell>
          <cell r="W154">
            <v>95.8</v>
          </cell>
          <cell r="X154">
            <v>67</v>
          </cell>
          <cell r="Z154">
            <v>6759</v>
          </cell>
          <cell r="AA154">
            <v>83</v>
          </cell>
          <cell r="AB154">
            <v>61.8</v>
          </cell>
          <cell r="AC154">
            <v>96.4</v>
          </cell>
          <cell r="AD154">
            <v>93.2</v>
          </cell>
          <cell r="AE154">
            <v>99.4</v>
          </cell>
          <cell r="AF154">
            <v>348.2</v>
          </cell>
          <cell r="AG154">
            <v>459.4</v>
          </cell>
          <cell r="AH154">
            <v>95.1</v>
          </cell>
          <cell r="AI154">
            <v>62.5</v>
          </cell>
        </row>
        <row r="155">
          <cell r="B155" t="str">
            <v>Isles of Scilly</v>
          </cell>
          <cell r="D155">
            <v>10</v>
          </cell>
          <cell r="E155">
            <v>90</v>
          </cell>
          <cell r="F155">
            <v>90</v>
          </cell>
          <cell r="G155">
            <v>100</v>
          </cell>
          <cell r="H155">
            <v>100</v>
          </cell>
          <cell r="I155">
            <v>100</v>
          </cell>
          <cell r="J155">
            <v>356.7</v>
          </cell>
          <cell r="K155">
            <v>422.9</v>
          </cell>
          <cell r="L155">
            <v>100</v>
          </cell>
          <cell r="M155">
            <v>90</v>
          </cell>
          <cell r="O155">
            <v>11</v>
          </cell>
          <cell r="P155">
            <v>81.8</v>
          </cell>
          <cell r="Q155">
            <v>72.7</v>
          </cell>
          <cell r="R155">
            <v>100</v>
          </cell>
          <cell r="S155">
            <v>90.9</v>
          </cell>
          <cell r="T155">
            <v>100</v>
          </cell>
          <cell r="U155">
            <v>369.6</v>
          </cell>
          <cell r="V155">
            <v>472.5</v>
          </cell>
          <cell r="W155">
            <v>100</v>
          </cell>
          <cell r="X155">
            <v>72.7</v>
          </cell>
          <cell r="Z155">
            <v>21</v>
          </cell>
          <cell r="AA155">
            <v>85.7</v>
          </cell>
          <cell r="AB155">
            <v>81</v>
          </cell>
          <cell r="AC155">
            <v>100</v>
          </cell>
          <cell r="AD155">
            <v>95.2</v>
          </cell>
          <cell r="AE155">
            <v>100</v>
          </cell>
          <cell r="AF155">
            <v>363.4</v>
          </cell>
          <cell r="AG155">
            <v>448.9</v>
          </cell>
          <cell r="AH155">
            <v>100</v>
          </cell>
          <cell r="AI155">
            <v>81</v>
          </cell>
        </row>
        <row r="156">
          <cell r="B156" t="str">
            <v>North Somerset</v>
          </cell>
          <cell r="D156">
            <v>1191</v>
          </cell>
          <cell r="E156">
            <v>74.2</v>
          </cell>
          <cell r="F156">
            <v>54.6</v>
          </cell>
          <cell r="G156">
            <v>95.2</v>
          </cell>
          <cell r="H156">
            <v>93.5</v>
          </cell>
          <cell r="I156">
            <v>98.9</v>
          </cell>
          <cell r="J156">
            <v>327.10000000000002</v>
          </cell>
          <cell r="K156">
            <v>449.5</v>
          </cell>
          <cell r="L156">
            <v>95.8</v>
          </cell>
          <cell r="M156">
            <v>55.3</v>
          </cell>
          <cell r="O156">
            <v>1055</v>
          </cell>
          <cell r="P156">
            <v>80.400000000000006</v>
          </cell>
          <cell r="Q156">
            <v>63</v>
          </cell>
          <cell r="R156">
            <v>96.6</v>
          </cell>
          <cell r="S156">
            <v>95.4</v>
          </cell>
          <cell r="T156">
            <v>99.5</v>
          </cell>
          <cell r="U156">
            <v>346.9</v>
          </cell>
          <cell r="V156">
            <v>483.9</v>
          </cell>
          <cell r="W156">
            <v>97.6</v>
          </cell>
          <cell r="X156">
            <v>63.8</v>
          </cell>
          <cell r="Z156">
            <v>2246</v>
          </cell>
          <cell r="AA156">
            <v>77.099999999999994</v>
          </cell>
          <cell r="AB156">
            <v>58.5</v>
          </cell>
          <cell r="AC156">
            <v>95.9</v>
          </cell>
          <cell r="AD156">
            <v>94.4</v>
          </cell>
          <cell r="AE156">
            <v>99.2</v>
          </cell>
          <cell r="AF156">
            <v>336.4</v>
          </cell>
          <cell r="AG156">
            <v>465.7</v>
          </cell>
          <cell r="AH156">
            <v>96.7</v>
          </cell>
          <cell r="AI156">
            <v>59.3</v>
          </cell>
        </row>
        <row r="157">
          <cell r="B157" t="str">
            <v>Plymouth</v>
          </cell>
          <cell r="D157">
            <v>1393</v>
          </cell>
          <cell r="E157">
            <v>82.1</v>
          </cell>
          <cell r="F157">
            <v>55.3</v>
          </cell>
          <cell r="G157">
            <v>94.9</v>
          </cell>
          <cell r="H157">
            <v>93.8</v>
          </cell>
          <cell r="I157">
            <v>98.8</v>
          </cell>
          <cell r="J157">
            <v>329.7</v>
          </cell>
          <cell r="K157">
            <v>445.6</v>
          </cell>
          <cell r="L157">
            <v>95.5</v>
          </cell>
          <cell r="M157">
            <v>56.1</v>
          </cell>
          <cell r="O157">
            <v>1447</v>
          </cell>
          <cell r="P157">
            <v>89.6</v>
          </cell>
          <cell r="Q157">
            <v>66.099999999999994</v>
          </cell>
          <cell r="R157">
            <v>97.3</v>
          </cell>
          <cell r="S157">
            <v>95.7</v>
          </cell>
          <cell r="T157">
            <v>99.5</v>
          </cell>
          <cell r="U157">
            <v>353.7</v>
          </cell>
          <cell r="V157">
            <v>491.7</v>
          </cell>
          <cell r="W157">
            <v>98</v>
          </cell>
          <cell r="X157">
            <v>66.599999999999994</v>
          </cell>
          <cell r="Z157">
            <v>2840</v>
          </cell>
          <cell r="AA157">
            <v>85.9</v>
          </cell>
          <cell r="AB157">
            <v>60.8</v>
          </cell>
          <cell r="AC157">
            <v>96.1</v>
          </cell>
          <cell r="AD157">
            <v>94.8</v>
          </cell>
          <cell r="AE157">
            <v>99.2</v>
          </cell>
          <cell r="AF157">
            <v>342</v>
          </cell>
          <cell r="AG157">
            <v>469.1</v>
          </cell>
          <cell r="AH157">
            <v>96.8</v>
          </cell>
          <cell r="AI157">
            <v>61.4</v>
          </cell>
        </row>
        <row r="158">
          <cell r="B158" t="str">
            <v>Poole</v>
          </cell>
          <cell r="D158">
            <v>805</v>
          </cell>
          <cell r="E158">
            <v>77.8</v>
          </cell>
          <cell r="F158">
            <v>58.6</v>
          </cell>
          <cell r="G158">
            <v>95.4</v>
          </cell>
          <cell r="H158">
            <v>95</v>
          </cell>
          <cell r="I158">
            <v>98.9</v>
          </cell>
          <cell r="J158">
            <v>336.4</v>
          </cell>
          <cell r="K158">
            <v>442.9</v>
          </cell>
          <cell r="L158">
            <v>96.9</v>
          </cell>
          <cell r="M158">
            <v>60.1</v>
          </cell>
          <cell r="O158">
            <v>843</v>
          </cell>
          <cell r="P158">
            <v>81.5</v>
          </cell>
          <cell r="Q158">
            <v>65.8</v>
          </cell>
          <cell r="R158">
            <v>95.8</v>
          </cell>
          <cell r="S158">
            <v>95.1</v>
          </cell>
          <cell r="T158">
            <v>99.4</v>
          </cell>
          <cell r="U158">
            <v>351.6</v>
          </cell>
          <cell r="V158">
            <v>461.6</v>
          </cell>
          <cell r="W158">
            <v>97.9</v>
          </cell>
          <cell r="X158">
            <v>67</v>
          </cell>
          <cell r="Z158">
            <v>1648</v>
          </cell>
          <cell r="AA158">
            <v>79.7</v>
          </cell>
          <cell r="AB158">
            <v>62.3</v>
          </cell>
          <cell r="AC158">
            <v>95.6</v>
          </cell>
          <cell r="AD158">
            <v>95.1</v>
          </cell>
          <cell r="AE158">
            <v>99.2</v>
          </cell>
          <cell r="AF158">
            <v>344.2</v>
          </cell>
          <cell r="AG158">
            <v>452.5</v>
          </cell>
          <cell r="AH158">
            <v>97.4</v>
          </cell>
          <cell r="AI158">
            <v>63.7</v>
          </cell>
        </row>
        <row r="159">
          <cell r="B159" t="str">
            <v>Somerset</v>
          </cell>
          <cell r="D159">
            <v>2899</v>
          </cell>
          <cell r="E159">
            <v>76</v>
          </cell>
          <cell r="F159">
            <v>53</v>
          </cell>
          <cell r="G159">
            <v>96</v>
          </cell>
          <cell r="H159">
            <v>94.3</v>
          </cell>
          <cell r="I159">
            <v>99.4</v>
          </cell>
          <cell r="J159">
            <v>329.1</v>
          </cell>
          <cell r="K159">
            <v>442.4</v>
          </cell>
          <cell r="L159">
            <v>96.8</v>
          </cell>
          <cell r="M159">
            <v>53.8</v>
          </cell>
          <cell r="O159">
            <v>2682</v>
          </cell>
          <cell r="P159">
            <v>82.4</v>
          </cell>
          <cell r="Q159">
            <v>63.3</v>
          </cell>
          <cell r="R159">
            <v>97.1</v>
          </cell>
          <cell r="S159">
            <v>95.6</v>
          </cell>
          <cell r="T159">
            <v>99.6</v>
          </cell>
          <cell r="U159">
            <v>350.3</v>
          </cell>
          <cell r="V159">
            <v>477.8</v>
          </cell>
          <cell r="W159">
            <v>97.9</v>
          </cell>
          <cell r="X159">
            <v>63.9</v>
          </cell>
          <cell r="Z159">
            <v>5581</v>
          </cell>
          <cell r="AA159">
            <v>79.099999999999994</v>
          </cell>
          <cell r="AB159">
            <v>58</v>
          </cell>
          <cell r="AC159">
            <v>96.5</v>
          </cell>
          <cell r="AD159">
            <v>94.9</v>
          </cell>
          <cell r="AE159">
            <v>99.5</v>
          </cell>
          <cell r="AF159">
            <v>339.3</v>
          </cell>
          <cell r="AG159">
            <v>459.4</v>
          </cell>
          <cell r="AH159">
            <v>97.3</v>
          </cell>
          <cell r="AI159">
            <v>58.7</v>
          </cell>
        </row>
        <row r="160">
          <cell r="B160" t="str">
            <v>South Gloucestershire</v>
          </cell>
          <cell r="D160">
            <v>1660</v>
          </cell>
          <cell r="E160">
            <v>76.599999999999994</v>
          </cell>
          <cell r="F160">
            <v>53.3</v>
          </cell>
          <cell r="G160">
            <v>94.6</v>
          </cell>
          <cell r="H160">
            <v>93</v>
          </cell>
          <cell r="I160">
            <v>99.4</v>
          </cell>
          <cell r="J160">
            <v>324.7</v>
          </cell>
          <cell r="K160">
            <v>436.7</v>
          </cell>
          <cell r="L160">
            <v>95.4</v>
          </cell>
          <cell r="M160">
            <v>54.5</v>
          </cell>
          <cell r="O160">
            <v>1452</v>
          </cell>
          <cell r="P160">
            <v>83.6</v>
          </cell>
          <cell r="Q160">
            <v>60.5</v>
          </cell>
          <cell r="R160">
            <v>95.9</v>
          </cell>
          <cell r="S160">
            <v>94.3</v>
          </cell>
          <cell r="T160">
            <v>99.4</v>
          </cell>
          <cell r="U160">
            <v>344.1</v>
          </cell>
          <cell r="V160">
            <v>467.9</v>
          </cell>
          <cell r="W160">
            <v>96.7</v>
          </cell>
          <cell r="X160">
            <v>60.7</v>
          </cell>
          <cell r="Z160">
            <v>3112</v>
          </cell>
          <cell r="AA160">
            <v>79.900000000000006</v>
          </cell>
          <cell r="AB160">
            <v>56.7</v>
          </cell>
          <cell r="AC160">
            <v>95.2</v>
          </cell>
          <cell r="AD160">
            <v>93.6</v>
          </cell>
          <cell r="AE160">
            <v>99.4</v>
          </cell>
          <cell r="AF160">
            <v>333.8</v>
          </cell>
          <cell r="AG160">
            <v>451.3</v>
          </cell>
          <cell r="AH160">
            <v>96</v>
          </cell>
          <cell r="AI160">
            <v>57.4</v>
          </cell>
        </row>
        <row r="161">
          <cell r="B161" t="str">
            <v>Swindon</v>
          </cell>
          <cell r="D161">
            <v>1174</v>
          </cell>
          <cell r="E161">
            <v>71.7</v>
          </cell>
          <cell r="F161">
            <v>50.5</v>
          </cell>
          <cell r="G161">
            <v>93</v>
          </cell>
          <cell r="H161">
            <v>91</v>
          </cell>
          <cell r="I161">
            <v>98.7</v>
          </cell>
          <cell r="J161">
            <v>313.89999999999998</v>
          </cell>
          <cell r="K161">
            <v>436.6</v>
          </cell>
          <cell r="L161">
            <v>95</v>
          </cell>
          <cell r="M161">
            <v>52</v>
          </cell>
          <cell r="O161">
            <v>1094</v>
          </cell>
          <cell r="P161">
            <v>80.3</v>
          </cell>
          <cell r="Q161">
            <v>62.8</v>
          </cell>
          <cell r="R161">
            <v>97.3</v>
          </cell>
          <cell r="S161">
            <v>95.9</v>
          </cell>
          <cell r="T161">
            <v>99.3</v>
          </cell>
          <cell r="U161">
            <v>342.5</v>
          </cell>
          <cell r="V161">
            <v>484.4</v>
          </cell>
          <cell r="W161">
            <v>98.2</v>
          </cell>
          <cell r="X161">
            <v>64</v>
          </cell>
          <cell r="Z161">
            <v>2268</v>
          </cell>
          <cell r="AA161">
            <v>75.8</v>
          </cell>
          <cell r="AB161">
            <v>56.4</v>
          </cell>
          <cell r="AC161">
            <v>95.1</v>
          </cell>
          <cell r="AD161">
            <v>93.3</v>
          </cell>
          <cell r="AE161">
            <v>99</v>
          </cell>
          <cell r="AF161">
            <v>327.7</v>
          </cell>
          <cell r="AG161">
            <v>459.7</v>
          </cell>
          <cell r="AH161">
            <v>96.5</v>
          </cell>
          <cell r="AI161">
            <v>57.8</v>
          </cell>
        </row>
        <row r="162">
          <cell r="B162" t="str">
            <v>Torbay</v>
          </cell>
          <cell r="D162">
            <v>757</v>
          </cell>
          <cell r="E162">
            <v>75.400000000000006</v>
          </cell>
          <cell r="F162">
            <v>55.9</v>
          </cell>
          <cell r="G162">
            <v>95.8</v>
          </cell>
          <cell r="H162">
            <v>93.1</v>
          </cell>
          <cell r="I162">
            <v>100</v>
          </cell>
          <cell r="J162">
            <v>333.1</v>
          </cell>
          <cell r="K162">
            <v>446.5</v>
          </cell>
          <cell r="L162">
            <v>96</v>
          </cell>
          <cell r="M162">
            <v>56.9</v>
          </cell>
          <cell r="O162">
            <v>708</v>
          </cell>
          <cell r="P162">
            <v>87</v>
          </cell>
          <cell r="Q162">
            <v>66.2</v>
          </cell>
          <cell r="R162">
            <v>97.6</v>
          </cell>
          <cell r="S162">
            <v>96.2</v>
          </cell>
          <cell r="T162">
            <v>100</v>
          </cell>
          <cell r="U162">
            <v>360.4</v>
          </cell>
          <cell r="V162">
            <v>486.9</v>
          </cell>
          <cell r="W162">
            <v>99.2</v>
          </cell>
          <cell r="X162">
            <v>66.7</v>
          </cell>
          <cell r="Z162">
            <v>1465</v>
          </cell>
          <cell r="AA162">
            <v>81</v>
          </cell>
          <cell r="AB162">
            <v>60.9</v>
          </cell>
          <cell r="AC162">
            <v>96.7</v>
          </cell>
          <cell r="AD162">
            <v>94.6</v>
          </cell>
          <cell r="AE162">
            <v>100</v>
          </cell>
          <cell r="AF162">
            <v>346.3</v>
          </cell>
          <cell r="AG162">
            <v>466</v>
          </cell>
          <cell r="AH162">
            <v>97.5</v>
          </cell>
          <cell r="AI162">
            <v>61.6</v>
          </cell>
        </row>
        <row r="163">
          <cell r="B163" t="str">
            <v>Wiltshire</v>
          </cell>
          <cell r="D163">
            <v>2631</v>
          </cell>
          <cell r="E163">
            <v>75.8</v>
          </cell>
          <cell r="F163">
            <v>53.6</v>
          </cell>
          <cell r="G163">
            <v>95.4</v>
          </cell>
          <cell r="H163">
            <v>89.4</v>
          </cell>
          <cell r="I163">
            <v>99.5</v>
          </cell>
          <cell r="J163">
            <v>330.1</v>
          </cell>
          <cell r="K163">
            <v>438.3</v>
          </cell>
          <cell r="L163">
            <v>91.7</v>
          </cell>
          <cell r="M163">
            <v>54.4</v>
          </cell>
          <cell r="O163">
            <v>2636</v>
          </cell>
          <cell r="P163">
            <v>83.8</v>
          </cell>
          <cell r="Q163">
            <v>68.3</v>
          </cell>
          <cell r="R163">
            <v>97</v>
          </cell>
          <cell r="S163">
            <v>96.1</v>
          </cell>
          <cell r="T163">
            <v>99.5</v>
          </cell>
          <cell r="U163">
            <v>354.7</v>
          </cell>
          <cell r="V163">
            <v>483.1</v>
          </cell>
          <cell r="W163">
            <v>97.2</v>
          </cell>
          <cell r="X163">
            <v>68.900000000000006</v>
          </cell>
          <cell r="Z163">
            <v>5267</v>
          </cell>
          <cell r="AA163">
            <v>79.8</v>
          </cell>
          <cell r="AB163">
            <v>61</v>
          </cell>
          <cell r="AC163">
            <v>96.2</v>
          </cell>
          <cell r="AD163">
            <v>92.8</v>
          </cell>
          <cell r="AE163">
            <v>99.5</v>
          </cell>
          <cell r="AF163">
            <v>342.4</v>
          </cell>
          <cell r="AG163">
            <v>460.7</v>
          </cell>
          <cell r="AH163">
            <v>94.5</v>
          </cell>
          <cell r="AI163">
            <v>61.6</v>
          </cell>
        </row>
        <row r="164">
          <cell r="B164" t="str">
            <v>Total (State-funded sector)1</v>
          </cell>
          <cell r="D164">
            <v>289800</v>
          </cell>
          <cell r="E164">
            <v>79.8</v>
          </cell>
          <cell r="F164">
            <v>55.9</v>
          </cell>
          <cell r="G164">
            <v>95</v>
          </cell>
          <cell r="H164">
            <v>93.2</v>
          </cell>
          <cell r="I164">
            <v>99.2</v>
          </cell>
          <cell r="J164">
            <v>330.8</v>
          </cell>
          <cell r="K164">
            <v>447.6</v>
          </cell>
          <cell r="L164">
            <v>95.9</v>
          </cell>
          <cell r="M164">
            <v>56.7</v>
          </cell>
          <cell r="O164">
            <v>279321</v>
          </cell>
          <cell r="P164">
            <v>86.6</v>
          </cell>
          <cell r="Q164">
            <v>65.900000000000006</v>
          </cell>
          <cell r="R164">
            <v>97</v>
          </cell>
          <cell r="S164">
            <v>95.6</v>
          </cell>
          <cell r="T164">
            <v>99.5</v>
          </cell>
          <cell r="U164">
            <v>354.8</v>
          </cell>
          <cell r="V164">
            <v>491.5</v>
          </cell>
          <cell r="W164">
            <v>97.7</v>
          </cell>
          <cell r="X164">
            <v>66.5</v>
          </cell>
          <cell r="Z164">
            <v>569121</v>
          </cell>
          <cell r="AA164">
            <v>83.1</v>
          </cell>
          <cell r="AB164">
            <v>60.8</v>
          </cell>
          <cell r="AC164">
            <v>96</v>
          </cell>
          <cell r="AD164">
            <v>94.3</v>
          </cell>
          <cell r="AE164">
            <v>99.3</v>
          </cell>
          <cell r="AF164">
            <v>342.5</v>
          </cell>
          <cell r="AG164">
            <v>469.2</v>
          </cell>
          <cell r="AH164">
            <v>96.8</v>
          </cell>
          <cell r="AI164">
            <v>61.5</v>
          </cell>
        </row>
        <row r="165">
          <cell r="B165" t="str">
            <v>London</v>
          </cell>
          <cell r="D165">
            <v>38268</v>
          </cell>
          <cell r="E165">
            <v>81.599999999999994</v>
          </cell>
          <cell r="F165">
            <v>61.1</v>
          </cell>
          <cell r="G165">
            <v>95.4</v>
          </cell>
          <cell r="H165">
            <v>93.9</v>
          </cell>
          <cell r="I165">
            <v>99.1</v>
          </cell>
          <cell r="J165">
            <v>335.9</v>
          </cell>
          <cell r="K165">
            <v>447.2</v>
          </cell>
          <cell r="L165">
            <v>96.3</v>
          </cell>
          <cell r="M165">
            <v>62.1</v>
          </cell>
          <cell r="O165">
            <v>38006</v>
          </cell>
          <cell r="P165">
            <v>87.3</v>
          </cell>
          <cell r="Q165">
            <v>69.099999999999994</v>
          </cell>
          <cell r="R165">
            <v>97.4</v>
          </cell>
          <cell r="S165">
            <v>95.9</v>
          </cell>
          <cell r="T165">
            <v>99.6</v>
          </cell>
          <cell r="U165">
            <v>358.1</v>
          </cell>
          <cell r="V165">
            <v>486.1</v>
          </cell>
          <cell r="W165">
            <v>97.8</v>
          </cell>
          <cell r="X165">
            <v>69.7</v>
          </cell>
          <cell r="Z165">
            <v>76274</v>
          </cell>
          <cell r="AA165">
            <v>84.4</v>
          </cell>
          <cell r="AB165">
            <v>65.099999999999994</v>
          </cell>
          <cell r="AC165">
            <v>96.4</v>
          </cell>
          <cell r="AD165">
            <v>94.9</v>
          </cell>
          <cell r="AE165">
            <v>99.3</v>
          </cell>
          <cell r="AF165">
            <v>347</v>
          </cell>
          <cell r="AG165">
            <v>466.6</v>
          </cell>
          <cell r="AH165">
            <v>97.1</v>
          </cell>
          <cell r="AI165">
            <v>65.900000000000006</v>
          </cell>
        </row>
        <row r="166">
          <cell r="B166" t="str">
            <v>England1</v>
          </cell>
          <cell r="D166">
            <v>323971</v>
          </cell>
          <cell r="E166">
            <v>78</v>
          </cell>
          <cell r="F166">
            <v>53.8</v>
          </cell>
          <cell r="G166">
            <v>92.9</v>
          </cell>
          <cell r="H166">
            <v>88.5</v>
          </cell>
          <cell r="I166">
            <v>99.3</v>
          </cell>
          <cell r="J166">
            <v>326.89999999999998</v>
          </cell>
          <cell r="K166">
            <v>435.9</v>
          </cell>
          <cell r="L166">
            <v>91.7</v>
          </cell>
          <cell r="M166">
            <v>54.7</v>
          </cell>
          <cell r="O166">
            <v>308705</v>
          </cell>
          <cell r="P166">
            <v>85.7</v>
          </cell>
          <cell r="Q166">
            <v>64.8</v>
          </cell>
          <cell r="R166">
            <v>95.8</v>
          </cell>
          <cell r="S166">
            <v>92.5</v>
          </cell>
          <cell r="T166">
            <v>100</v>
          </cell>
          <cell r="U166">
            <v>353.4</v>
          </cell>
          <cell r="V166">
            <v>483.1</v>
          </cell>
          <cell r="W166">
            <v>94.9</v>
          </cell>
          <cell r="X166">
            <v>65.400000000000006</v>
          </cell>
          <cell r="Z166">
            <v>632676</v>
          </cell>
          <cell r="AA166">
            <v>81.8</v>
          </cell>
          <cell r="AB166">
            <v>59.2</v>
          </cell>
          <cell r="AC166">
            <v>94.3</v>
          </cell>
          <cell r="AD166">
            <v>90.5</v>
          </cell>
          <cell r="AE166">
            <v>99.6</v>
          </cell>
          <cell r="AF166">
            <v>339.8</v>
          </cell>
          <cell r="AG166">
            <v>458.9</v>
          </cell>
          <cell r="AH166">
            <v>93.3</v>
          </cell>
          <cell r="AI166">
            <v>59.9</v>
          </cell>
        </row>
        <row r="167">
          <cell r="B167" t="str">
            <v>England1,5</v>
          </cell>
          <cell r="D167">
            <v>323971</v>
          </cell>
          <cell r="E167">
            <v>78</v>
          </cell>
          <cell r="F167">
            <v>53.8</v>
          </cell>
          <cell r="G167">
            <v>92.9</v>
          </cell>
          <cell r="H167">
            <v>88.5</v>
          </cell>
          <cell r="I167">
            <v>99.3</v>
          </cell>
          <cell r="J167">
            <v>326.89999999999998</v>
          </cell>
          <cell r="K167">
            <v>435.9</v>
          </cell>
          <cell r="L167">
            <v>91.7</v>
          </cell>
          <cell r="M167">
            <v>54.7</v>
          </cell>
          <cell r="N167">
            <v>0</v>
          </cell>
          <cell r="O167">
            <v>308705</v>
          </cell>
          <cell r="P167">
            <v>85.7</v>
          </cell>
          <cell r="Q167">
            <v>64.8</v>
          </cell>
          <cell r="R167">
            <v>95.8</v>
          </cell>
          <cell r="S167">
            <v>92.5</v>
          </cell>
          <cell r="T167">
            <v>100</v>
          </cell>
          <cell r="U167">
            <v>353.4</v>
          </cell>
          <cell r="V167">
            <v>483.1</v>
          </cell>
          <cell r="W167">
            <v>94.9</v>
          </cell>
          <cell r="X167">
            <v>65.400000000000006</v>
          </cell>
          <cell r="Y167">
            <v>0</v>
          </cell>
          <cell r="Z167">
            <v>632676</v>
          </cell>
          <cell r="AA167">
            <v>81.8</v>
          </cell>
          <cell r="AB167">
            <v>59.2</v>
          </cell>
          <cell r="AC167">
            <v>94.3</v>
          </cell>
          <cell r="AD167">
            <v>90.5</v>
          </cell>
          <cell r="AE167">
            <v>99.6</v>
          </cell>
          <cell r="AF167">
            <v>339.8</v>
          </cell>
          <cell r="AG167">
            <v>458.9</v>
          </cell>
          <cell r="AH167">
            <v>93.3</v>
          </cell>
          <cell r="AI167">
            <v>59.9</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AF7A9-E5C7-4338-8FD3-0240B0783DF9}">
  <sheetPr>
    <tabColor indexed="47"/>
    <pageSetUpPr fitToPage="1"/>
  </sheetPr>
  <dimension ref="A1:F23"/>
  <sheetViews>
    <sheetView showGridLines="0" zoomScaleNormal="100" workbookViewId="0">
      <selection activeCell="B18" sqref="B18"/>
    </sheetView>
  </sheetViews>
  <sheetFormatPr defaultRowHeight="12.75" x14ac:dyDescent="0.2"/>
  <cols>
    <col min="1" max="1" width="9.7109375" style="119" customWidth="1"/>
    <col min="2" max="2" width="170.28515625" style="119" bestFit="1" customWidth="1"/>
    <col min="3" max="256" width="11.42578125" style="119" customWidth="1"/>
    <col min="257" max="16384" width="9.140625" style="119"/>
  </cols>
  <sheetData>
    <row r="1" spans="1:6" x14ac:dyDescent="0.2">
      <c r="A1" s="459" t="s">
        <v>455</v>
      </c>
      <c r="B1" s="459"/>
      <c r="C1" s="51"/>
      <c r="D1"/>
      <c r="E1"/>
      <c r="F1"/>
    </row>
    <row r="2" spans="1:6" x14ac:dyDescent="0.2">
      <c r="A2" s="278"/>
      <c r="B2" s="278"/>
      <c r="C2" s="278"/>
      <c r="D2" s="278"/>
      <c r="E2" s="278"/>
    </row>
    <row r="3" spans="1:6" x14ac:dyDescent="0.2">
      <c r="A3" s="120" t="s">
        <v>0</v>
      </c>
      <c r="B3" s="278"/>
      <c r="C3" s="278"/>
      <c r="D3" s="278"/>
      <c r="E3" s="278"/>
    </row>
    <row r="4" spans="1:6" x14ac:dyDescent="0.2">
      <c r="A4" s="278"/>
      <c r="B4" s="278"/>
      <c r="C4" s="278"/>
      <c r="D4" s="278"/>
      <c r="E4" s="278"/>
    </row>
    <row r="5" spans="1:6" x14ac:dyDescent="0.2">
      <c r="A5" s="279" t="s">
        <v>468</v>
      </c>
      <c r="B5" s="280"/>
      <c r="C5" s="280"/>
      <c r="D5" s="280"/>
      <c r="E5" s="278"/>
    </row>
    <row r="6" spans="1:6" customFormat="1" x14ac:dyDescent="0.2">
      <c r="A6" s="121" t="s">
        <v>469</v>
      </c>
      <c r="B6" s="121" t="s">
        <v>470</v>
      </c>
      <c r="E6" s="51"/>
    </row>
    <row r="7" spans="1:6" customFormat="1" x14ac:dyDescent="0.2">
      <c r="A7" s="121" t="s">
        <v>471</v>
      </c>
      <c r="B7" s="281" t="s">
        <v>472</v>
      </c>
    </row>
    <row r="8" spans="1:6" customFormat="1" x14ac:dyDescent="0.2">
      <c r="A8" s="121" t="s">
        <v>473</v>
      </c>
      <c r="B8" s="121" t="s">
        <v>474</v>
      </c>
    </row>
    <row r="9" spans="1:6" customFormat="1" x14ac:dyDescent="0.2">
      <c r="A9" s="121" t="s">
        <v>475</v>
      </c>
      <c r="B9" s="121" t="s">
        <v>476</v>
      </c>
    </row>
    <row r="10" spans="1:6" customFormat="1" x14ac:dyDescent="0.2">
      <c r="A10" s="121" t="s">
        <v>477</v>
      </c>
      <c r="B10" s="121" t="s">
        <v>478</v>
      </c>
    </row>
    <row r="11" spans="1:6" customFormat="1" x14ac:dyDescent="0.2">
      <c r="A11" s="121" t="s">
        <v>479</v>
      </c>
      <c r="B11" s="121" t="s">
        <v>480</v>
      </c>
    </row>
    <row r="12" spans="1:6" x14ac:dyDescent="0.2">
      <c r="A12" s="121" t="s">
        <v>481</v>
      </c>
      <c r="B12" s="121" t="s">
        <v>482</v>
      </c>
      <c r="C12" s="280"/>
      <c r="D12" s="280"/>
      <c r="E12" s="278"/>
    </row>
    <row r="13" spans="1:6" x14ac:dyDescent="0.2">
      <c r="A13" s="121" t="s">
        <v>483</v>
      </c>
      <c r="B13" s="122" t="s">
        <v>484</v>
      </c>
      <c r="C13" s="280"/>
      <c r="D13" s="280"/>
      <c r="E13" s="278"/>
    </row>
    <row r="14" spans="1:6" x14ac:dyDescent="0.2">
      <c r="A14" s="121" t="s">
        <v>485</v>
      </c>
      <c r="B14" s="122" t="s">
        <v>486</v>
      </c>
      <c r="C14" s="280"/>
      <c r="D14" s="280"/>
      <c r="E14" s="278"/>
    </row>
    <row r="15" spans="1:6" x14ac:dyDescent="0.2">
      <c r="A15" s="121" t="s">
        <v>487</v>
      </c>
      <c r="B15" s="122" t="s">
        <v>488</v>
      </c>
      <c r="C15" s="280"/>
      <c r="D15" s="280"/>
      <c r="E15" s="278"/>
    </row>
    <row r="16" spans="1:6" x14ac:dyDescent="0.2">
      <c r="A16" s="282"/>
      <c r="B16" s="123"/>
      <c r="C16" s="280"/>
      <c r="D16" s="280"/>
      <c r="E16" s="278"/>
    </row>
    <row r="17" spans="1:5" x14ac:dyDescent="0.2">
      <c r="A17" s="279" t="s">
        <v>1</v>
      </c>
      <c r="B17" s="123"/>
      <c r="C17" s="280"/>
      <c r="D17" s="280"/>
      <c r="E17" s="278"/>
    </row>
    <row r="18" spans="1:5" x14ac:dyDescent="0.2">
      <c r="A18" s="121" t="s">
        <v>2</v>
      </c>
      <c r="B18" s="121" t="s">
        <v>362</v>
      </c>
      <c r="C18" s="280"/>
      <c r="D18" s="280"/>
      <c r="E18" s="278"/>
    </row>
    <row r="19" spans="1:5" x14ac:dyDescent="0.2">
      <c r="A19" s="121" t="s">
        <v>3</v>
      </c>
      <c r="B19" s="121" t="s">
        <v>389</v>
      </c>
      <c r="C19" s="280"/>
      <c r="D19" s="280"/>
      <c r="E19" s="278"/>
    </row>
    <row r="20" spans="1:5" x14ac:dyDescent="0.2">
      <c r="A20" s="121" t="s">
        <v>4</v>
      </c>
      <c r="B20" s="122" t="s">
        <v>363</v>
      </c>
    </row>
    <row r="21" spans="1:5" x14ac:dyDescent="0.2">
      <c r="A21" s="121" t="s">
        <v>5</v>
      </c>
      <c r="B21" s="121" t="s">
        <v>390</v>
      </c>
    </row>
    <row r="22" spans="1:5" x14ac:dyDescent="0.2">
      <c r="A22" s="121" t="s">
        <v>6</v>
      </c>
      <c r="B22" s="121" t="s">
        <v>391</v>
      </c>
      <c r="C22" s="144"/>
      <c r="D22" s="144"/>
      <c r="E22" s="144"/>
    </row>
    <row r="23" spans="1:5" x14ac:dyDescent="0.2">
      <c r="A23" s="122" t="s">
        <v>489</v>
      </c>
      <c r="B23" s="122" t="s">
        <v>490</v>
      </c>
    </row>
  </sheetData>
  <mergeCells count="1">
    <mergeCell ref="A1:B1"/>
  </mergeCells>
  <hyperlinks>
    <hyperlink ref="A7" location="'Table 8'!A1" display="Table 8" xr:uid="{2658BE78-F021-42E6-9167-3508FA3A721E}"/>
    <hyperlink ref="A6" location="'Table 7'!A1" display="Table 7" xr:uid="{3FC71865-5F11-4DDE-BBA8-830CFC70FE28}"/>
    <hyperlink ref="A12" location="'Table 12'!A1" display="Table 12" xr:uid="{B01C6B8C-8E5F-42D4-A512-36F565CCE06F}"/>
    <hyperlink ref="A14" location="'Table 14'!A1" display="Table 14" xr:uid="{863B341C-B3AF-4CC2-9673-DA55F40FC348}"/>
    <hyperlink ref="A8" location="'Table 9'!A1" display="Table 9" xr:uid="{73361AC3-2027-409E-ADF1-B7EBD5E233F4}"/>
    <hyperlink ref="A11" location="'Table 11'!A1" display="Table 11" xr:uid="{01D18FE2-56F0-4A7B-BDF3-D32CD76CC091}"/>
    <hyperlink ref="A13" location="'Table 13'!A1" display="Table 13" xr:uid="{22A5403B-E0A9-473B-A726-C959150E46AB}"/>
    <hyperlink ref="A15" location="'Table 15'!A1" display="Table 15" xr:uid="{EB785D56-B10A-4A58-ABC2-CBB1EFB6072A}"/>
    <hyperlink ref="B6" location="'Table 7'!A1" display="GCSE attempts and achievements in selected subjects of pupils at the end of Key Stage 4 in schools (numbers)" xr:uid="{68E00F07-0D18-4142-AF1F-18251245CA00}"/>
    <hyperlink ref="B7" location="'Table 8'!A1" display="GCSE attempts and achievements in selected subjects of pupils at the end of Key Stage 4 in schools (percentages of pupils attempting the subject)" xr:uid="{9C0F63B8-831B-45BB-B6FB-B9DF40EE1612}"/>
    <hyperlink ref="B8" location="'Table 9'!A1" display="GCSE attempts and achievements in selected subjects of pupils at the end of Key Stage 4 in schools (percentages of all pupils)" xr:uid="{A6437AE4-F9BD-44C2-B75B-1D0F702DDA24}"/>
    <hyperlink ref="B11" location="'Table 11'!A1" display="GCSE results of pupils at the end of Key Stage 4 in schools, by subject and grade" xr:uid="{65260FF4-EDDA-4F73-81D0-E7CF312050D0}"/>
    <hyperlink ref="B12" location="'Table 12'!A1" display="International GCSE and International Certificate results of pupils at the end of Key Stage 4 in schools, by subject and grade" xr:uid="{43C44B8F-666C-4605-8D37-7A80F835B9AA}"/>
    <hyperlink ref="B13" location="'Table 13'!A1" display="Results of GCSEs in Applied subjects by end of Key Stage 4 pupils in schools, by subject and grade " xr:uid="{E9E0AE51-1159-4E88-B1C5-EB972D164B70}"/>
    <hyperlink ref="B14" location="'Table 14'!A1" display="GCSE (Short Course) results of pupils at the end of Key Stage 4 in all schools by subject and grade" xr:uid="{2E48253D-689D-4845-994E-5665D08C8FC2}"/>
    <hyperlink ref="B15" location="'Table 15'!A1" display="Other Qualification results of pupils at the end of Key Stage 4 in all schools by type of qualification" xr:uid="{420CC4FB-76CF-4F7E-A613-0EA3B2993312}"/>
    <hyperlink ref="A6:B6" location="'Table 7'!Print_Area" display="Table 7" xr:uid="{5F26D7B0-703B-459E-8F76-F8940C8BCB89}"/>
    <hyperlink ref="A7:B7" location="'Table 8'!Print_Area" display="Table 8" xr:uid="{682651D0-47D0-46E0-B3E6-4A960A5FB117}"/>
    <hyperlink ref="A8:B8" location="'Table 9'!Print_Area" display="Table 9" xr:uid="{F591BDD8-FBE6-4F56-9E92-3EEBA8A0583A}"/>
    <hyperlink ref="A11:B11" location="'Table 11'!Print_Area" display="Table 11" xr:uid="{376E66A8-4DC7-45EE-90F0-F13DB3BED98C}"/>
    <hyperlink ref="A12:B12" location="'Table 12'!Print_Area" display="Table 12" xr:uid="{B546F079-8282-423C-87BC-7B94C845BBB8}"/>
    <hyperlink ref="A13:B13" location="'Table 13'!Print_Area" display="Table 13" xr:uid="{2BDC9901-04C6-4743-A535-F051FD8ED6F6}"/>
    <hyperlink ref="A14:B14" location="'Table 14'!Print_Area" display="Table 14" xr:uid="{13E1EAF8-78CA-4EAB-99B0-DEA047E49007}"/>
    <hyperlink ref="A15:B15" location="'Table 15'!Print_Area" display="Table 15" xr:uid="{8E4F6CCB-F38A-46FB-A354-511C74FD0081}"/>
    <hyperlink ref="A9:B9" location="'Table 10a'!Print_Area" display="Table 10a" xr:uid="{4F37EC4C-B6C4-4940-956B-7BDF90B40E8A}"/>
    <hyperlink ref="A10:B10" location="'Table 10b'!Print_Area" display="Table 10b" xr:uid="{C15FF09F-A675-4B20-A5BD-CF4D5E862B05}"/>
    <hyperlink ref="A20" location="'Table 18'!A1" display="Table 18" xr:uid="{7EE86CA9-D823-409A-8FC2-6D9268B50139}"/>
    <hyperlink ref="B20" location="'Table 18'!A1" display="The English Baccalaureate by Local Authority and Region" xr:uid="{87AD49DE-151E-46EE-BAC7-3D91B4C8626E}"/>
    <hyperlink ref="A20:B20" location="'Table 18'!Print_Area" display="Table 18" xr:uid="{B76E1AE5-881A-417E-84CE-4AF87309AF43}"/>
    <hyperlink ref="A23:B23" location="'Table 21'!Print_Area" display="Table 21" xr:uid="{B554F46E-7EBD-44AD-AC1F-E648792B5836}"/>
    <hyperlink ref="A19:B19" location="'Table 17'!I3" display="Table 17" xr:uid="{5185A040-A0FF-4209-BD81-A04A3B7FE3E1}"/>
    <hyperlink ref="A21:B21" location="'Table 19'!K3" display="Table 19" xr:uid="{5C00FB8C-2A97-4A04-85F5-03B764F51632}"/>
    <hyperlink ref="A22:B22" location="'Table 20'!K3" display="Table 20" xr:uid="{D60D9E4A-C879-43C9-AD15-9C4831937245}"/>
    <hyperlink ref="A18" location="'Table 16'!A1" display="Table 16" xr:uid="{D04FB773-BB8E-4986-BE1B-9186569FBDFB}"/>
    <hyperlink ref="B18" location="'Table 16'!Print_Area" display="GCSE and equivalent results of pupils at the end of key stage 4 by gender for each local authority and region" xr:uid="{795ABFBF-B2A7-47FC-86BD-656A06BB126F}"/>
  </hyperlinks>
  <pageMargins left="0.75" right="0.75" top="1" bottom="1" header="0.5" footer="0.5"/>
  <pageSetup paperSize="9" scale="7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36CD1-4CDB-486A-92BB-293FB61A29EC}">
  <sheetPr>
    <tabColor indexed="26"/>
  </sheetPr>
  <dimension ref="A1:M99"/>
  <sheetViews>
    <sheetView showGridLines="0" zoomScaleNormal="100" workbookViewId="0">
      <selection sqref="A1:L1"/>
    </sheetView>
  </sheetViews>
  <sheetFormatPr defaultRowHeight="11.25" x14ac:dyDescent="0.2"/>
  <cols>
    <col min="1" max="1" width="28.28515625" style="283" customWidth="1"/>
    <col min="2" max="4" width="8.28515625" style="286" customWidth="1"/>
    <col min="5" max="5" width="2.42578125" style="286" customWidth="1"/>
    <col min="6" max="8" width="8.42578125" style="286" customWidth="1"/>
    <col min="9" max="9" width="2.42578125" style="286" customWidth="1"/>
    <col min="10" max="11" width="7.85546875" style="286" customWidth="1"/>
    <col min="12" max="12" width="8.85546875" style="286" customWidth="1"/>
    <col min="13" max="13" width="2.42578125" style="283" customWidth="1"/>
    <col min="14" max="256" width="11.42578125" style="283" customWidth="1"/>
    <col min="257" max="16384" width="9.140625" style="283"/>
  </cols>
  <sheetData>
    <row r="1" spans="1:13" ht="13.5" customHeight="1" x14ac:dyDescent="0.2">
      <c r="A1" s="460" t="s">
        <v>491</v>
      </c>
      <c r="B1" s="460"/>
      <c r="C1" s="460"/>
      <c r="D1" s="460"/>
      <c r="E1" s="460"/>
      <c r="F1" s="460"/>
      <c r="G1" s="460"/>
      <c r="H1" s="460"/>
      <c r="I1" s="460"/>
      <c r="J1" s="460"/>
      <c r="K1" s="460"/>
      <c r="L1" s="460"/>
    </row>
    <row r="2" spans="1:13" ht="13.5" customHeight="1" x14ac:dyDescent="0.2">
      <c r="A2" s="461" t="s">
        <v>394</v>
      </c>
      <c r="B2" s="461"/>
      <c r="C2" s="284"/>
      <c r="D2" s="284"/>
      <c r="E2" s="284"/>
      <c r="F2" s="284"/>
      <c r="G2" s="284"/>
      <c r="H2" s="284"/>
      <c r="I2" s="284"/>
      <c r="J2" s="284"/>
      <c r="K2" s="284"/>
      <c r="L2" s="284"/>
    </row>
    <row r="3" spans="1:13" ht="12.75" customHeight="1" x14ac:dyDescent="0.2">
      <c r="A3" s="1" t="s">
        <v>9</v>
      </c>
      <c r="B3" s="284"/>
      <c r="C3" s="284"/>
      <c r="D3" s="284"/>
      <c r="E3" s="284"/>
      <c r="F3" s="284"/>
      <c r="G3" s="284"/>
      <c r="H3" s="284"/>
      <c r="I3" s="284"/>
      <c r="J3" s="284"/>
      <c r="K3" s="284"/>
      <c r="L3" s="284"/>
    </row>
    <row r="4" spans="1:13" ht="11.25" customHeight="1" x14ac:dyDescent="0.2">
      <c r="A4" s="285"/>
      <c r="B4" s="284"/>
      <c r="D4" s="284"/>
      <c r="E4" s="284"/>
      <c r="F4" s="284"/>
      <c r="G4" s="284"/>
      <c r="H4" s="284"/>
      <c r="I4" s="284"/>
      <c r="J4" s="284"/>
      <c r="K4" s="284"/>
      <c r="L4" s="287" t="s">
        <v>492</v>
      </c>
    </row>
    <row r="5" spans="1:13" s="291" customFormat="1" ht="11.25" customHeight="1" x14ac:dyDescent="0.2">
      <c r="A5" s="288"/>
      <c r="B5" s="462" t="s">
        <v>493</v>
      </c>
      <c r="C5" s="462"/>
      <c r="D5" s="462"/>
      <c r="E5" s="290"/>
      <c r="F5" s="462" t="s">
        <v>494</v>
      </c>
      <c r="G5" s="462"/>
      <c r="H5" s="462"/>
      <c r="I5" s="290"/>
      <c r="J5" s="462" t="s">
        <v>495</v>
      </c>
      <c r="K5" s="462"/>
      <c r="L5" s="462"/>
    </row>
    <row r="6" spans="1:13" ht="11.25" customHeight="1" x14ac:dyDescent="0.2">
      <c r="A6" s="292"/>
      <c r="B6" s="289" t="s">
        <v>10</v>
      </c>
      <c r="C6" s="289" t="s">
        <v>11</v>
      </c>
      <c r="D6" s="289" t="s">
        <v>496</v>
      </c>
      <c r="E6" s="293"/>
      <c r="F6" s="289" t="s">
        <v>10</v>
      </c>
      <c r="G6" s="289" t="s">
        <v>11</v>
      </c>
      <c r="H6" s="289" t="s">
        <v>496</v>
      </c>
      <c r="I6" s="293"/>
      <c r="J6" s="289" t="s">
        <v>10</v>
      </c>
      <c r="K6" s="289" t="s">
        <v>11</v>
      </c>
      <c r="L6" s="289" t="s">
        <v>496</v>
      </c>
    </row>
    <row r="7" spans="1:13" ht="11.25" customHeight="1" x14ac:dyDescent="0.2">
      <c r="A7" s="294"/>
      <c r="B7" s="295"/>
      <c r="C7" s="295"/>
      <c r="D7" s="295"/>
      <c r="E7" s="295"/>
      <c r="F7" s="295"/>
      <c r="G7" s="295"/>
      <c r="H7" s="295"/>
      <c r="I7" s="295"/>
      <c r="J7" s="295"/>
      <c r="K7" s="295"/>
      <c r="L7" s="295"/>
    </row>
    <row r="8" spans="1:13" ht="11.25" customHeight="1" x14ac:dyDescent="0.2">
      <c r="A8" s="283" t="s">
        <v>497</v>
      </c>
      <c r="B8" s="296">
        <v>314.8</v>
      </c>
      <c r="C8" s="296">
        <v>304.89999999999998</v>
      </c>
      <c r="D8" s="296">
        <v>619.6</v>
      </c>
      <c r="F8" s="296">
        <v>257.3</v>
      </c>
      <c r="G8" s="296">
        <v>268.2</v>
      </c>
      <c r="H8" s="296">
        <v>525.5</v>
      </c>
      <c r="J8" s="296">
        <v>311.89999999999998</v>
      </c>
      <c r="K8" s="296">
        <v>303.10000000000002</v>
      </c>
      <c r="L8" s="296">
        <v>615</v>
      </c>
      <c r="M8" s="286"/>
    </row>
    <row r="9" spans="1:13" ht="11.25" customHeight="1" x14ac:dyDescent="0.2">
      <c r="M9" s="297"/>
    </row>
    <row r="10" spans="1:13" ht="11.25" customHeight="1" x14ac:dyDescent="0.2">
      <c r="A10" s="283" t="s">
        <v>498</v>
      </c>
      <c r="B10" s="296">
        <v>269.10000000000002</v>
      </c>
      <c r="C10" s="296">
        <v>270.3</v>
      </c>
      <c r="D10" s="296">
        <v>539.29999999999995</v>
      </c>
      <c r="F10" s="296">
        <v>158.30000000000001</v>
      </c>
      <c r="G10" s="296">
        <v>185.8</v>
      </c>
      <c r="H10" s="296">
        <v>344.1</v>
      </c>
      <c r="J10" s="296">
        <v>264.3</v>
      </c>
      <c r="K10" s="296">
        <v>266.2</v>
      </c>
      <c r="L10" s="296">
        <v>530.5</v>
      </c>
      <c r="M10" s="296"/>
    </row>
    <row r="11" spans="1:13" ht="11.25" customHeight="1" x14ac:dyDescent="0.2">
      <c r="A11" s="283" t="s">
        <v>499</v>
      </c>
      <c r="B11" s="296">
        <v>232.6</v>
      </c>
      <c r="C11" s="296">
        <v>234.2</v>
      </c>
      <c r="D11" s="296">
        <v>466.9</v>
      </c>
      <c r="F11" s="296">
        <v>159.5</v>
      </c>
      <c r="G11" s="296">
        <v>168.7</v>
      </c>
      <c r="H11" s="296">
        <v>328.2</v>
      </c>
      <c r="J11" s="296">
        <v>229.3</v>
      </c>
      <c r="K11" s="296">
        <v>231.4</v>
      </c>
      <c r="L11" s="296">
        <v>460.7</v>
      </c>
      <c r="M11" s="296"/>
    </row>
    <row r="12" spans="1:13" ht="11.25" customHeight="1" x14ac:dyDescent="0.2">
      <c r="A12" s="283" t="s">
        <v>500</v>
      </c>
      <c r="B12" s="296">
        <v>215.6</v>
      </c>
      <c r="C12" s="296">
        <v>221.7</v>
      </c>
      <c r="D12" s="296">
        <v>437.4</v>
      </c>
      <c r="F12" s="296">
        <v>133.5</v>
      </c>
      <c r="G12" s="296">
        <v>156.5</v>
      </c>
      <c r="H12" s="296">
        <v>290</v>
      </c>
      <c r="J12" s="296">
        <v>212.8</v>
      </c>
      <c r="K12" s="296">
        <v>219.4</v>
      </c>
      <c r="L12" s="296">
        <v>432.1</v>
      </c>
      <c r="M12" s="296"/>
    </row>
    <row r="13" spans="1:13" s="299" customFormat="1" ht="11.25" customHeight="1" x14ac:dyDescent="0.2">
      <c r="A13" s="298"/>
      <c r="M13" s="300"/>
    </row>
    <row r="14" spans="1:13" ht="11.25" customHeight="1" x14ac:dyDescent="0.2">
      <c r="A14" s="283" t="s">
        <v>501</v>
      </c>
      <c r="B14" s="296">
        <v>274.7</v>
      </c>
      <c r="C14" s="296">
        <v>276.10000000000002</v>
      </c>
      <c r="D14" s="296">
        <v>550.79999999999995</v>
      </c>
      <c r="F14" s="296">
        <v>174.1</v>
      </c>
      <c r="G14" s="296">
        <v>215.3</v>
      </c>
      <c r="H14" s="296">
        <v>389.3</v>
      </c>
      <c r="J14" s="296">
        <v>272.60000000000002</v>
      </c>
      <c r="K14" s="296">
        <v>274.89999999999998</v>
      </c>
      <c r="L14" s="296">
        <v>547.5</v>
      </c>
      <c r="M14" s="296"/>
    </row>
    <row r="15" spans="1:13" ht="11.25" customHeight="1" x14ac:dyDescent="0.2">
      <c r="A15" s="301" t="s">
        <v>7</v>
      </c>
      <c r="B15" s="296">
        <v>86.9</v>
      </c>
      <c r="C15" s="296">
        <v>59.7</v>
      </c>
      <c r="D15" s="296">
        <v>146.6</v>
      </c>
      <c r="F15" s="296">
        <v>28.6</v>
      </c>
      <c r="G15" s="296">
        <v>26.7</v>
      </c>
      <c r="H15" s="296">
        <v>55.3</v>
      </c>
      <c r="J15" s="296">
        <v>85.3</v>
      </c>
      <c r="K15" s="296">
        <v>58.9</v>
      </c>
      <c r="L15" s="296">
        <v>144.19999999999999</v>
      </c>
      <c r="M15" s="296"/>
    </row>
    <row r="16" spans="1:13" ht="11.25" customHeight="1" x14ac:dyDescent="0.2">
      <c r="A16" s="301" t="s">
        <v>502</v>
      </c>
      <c r="B16" s="296">
        <v>187.8</v>
      </c>
      <c r="C16" s="296">
        <v>216.4</v>
      </c>
      <c r="D16" s="296">
        <v>404.2</v>
      </c>
      <c r="F16" s="296">
        <v>145.5</v>
      </c>
      <c r="G16" s="296">
        <v>188.6</v>
      </c>
      <c r="H16" s="296">
        <v>334.1</v>
      </c>
      <c r="J16" s="296">
        <v>187.3</v>
      </c>
      <c r="K16" s="296">
        <v>216</v>
      </c>
      <c r="L16" s="296">
        <v>403.3</v>
      </c>
      <c r="M16" s="296"/>
    </row>
    <row r="17" spans="1:13" ht="11.25" customHeight="1" x14ac:dyDescent="0.2">
      <c r="A17" s="301"/>
      <c r="B17" s="296"/>
      <c r="C17" s="296"/>
      <c r="D17" s="296"/>
      <c r="F17" s="296"/>
      <c r="G17" s="296"/>
      <c r="H17" s="296"/>
      <c r="J17" s="296"/>
      <c r="K17" s="296"/>
      <c r="L17" s="296"/>
      <c r="M17" s="296"/>
    </row>
    <row r="18" spans="1:13" ht="11.25" customHeight="1" x14ac:dyDescent="0.2">
      <c r="A18" s="283" t="s">
        <v>8</v>
      </c>
      <c r="B18" s="296">
        <v>297.3</v>
      </c>
      <c r="C18" s="296">
        <v>290.5</v>
      </c>
      <c r="D18" s="296">
        <v>587.79999999999995</v>
      </c>
      <c r="F18" s="296">
        <v>214.9</v>
      </c>
      <c r="G18" s="296">
        <v>212.6</v>
      </c>
      <c r="H18" s="296">
        <v>427.5</v>
      </c>
      <c r="J18" s="296">
        <v>291.5</v>
      </c>
      <c r="K18" s="296">
        <v>285.5</v>
      </c>
      <c r="L18" s="296">
        <v>577.1</v>
      </c>
      <c r="M18" s="296"/>
    </row>
    <row r="19" spans="1:13" ht="11.25" customHeight="1" x14ac:dyDescent="0.2"/>
    <row r="20" spans="1:13" ht="11.25" customHeight="1" x14ac:dyDescent="0.2">
      <c r="A20" s="283" t="s">
        <v>503</v>
      </c>
      <c r="B20" s="296">
        <v>239.4</v>
      </c>
      <c r="C20" s="296">
        <v>240.9</v>
      </c>
      <c r="D20" s="296">
        <v>480.3</v>
      </c>
      <c r="F20" s="296">
        <v>170.5</v>
      </c>
      <c r="G20" s="296">
        <v>181.9</v>
      </c>
      <c r="H20" s="296">
        <v>352.4</v>
      </c>
      <c r="J20" s="296">
        <v>236.9</v>
      </c>
      <c r="K20" s="296">
        <v>238.8</v>
      </c>
      <c r="L20" s="296">
        <v>475.7</v>
      </c>
      <c r="M20" s="296"/>
    </row>
    <row r="21" spans="1:13" ht="11.25" customHeight="1" x14ac:dyDescent="0.2">
      <c r="A21" s="283" t="s">
        <v>504</v>
      </c>
      <c r="B21" s="296">
        <v>158.4</v>
      </c>
      <c r="C21" s="296">
        <v>163.6</v>
      </c>
      <c r="D21" s="296">
        <v>322</v>
      </c>
      <c r="F21" s="296">
        <v>89.8</v>
      </c>
      <c r="G21" s="296">
        <v>103.8</v>
      </c>
      <c r="H21" s="296">
        <v>193.5</v>
      </c>
      <c r="J21" s="296">
        <v>155.80000000000001</v>
      </c>
      <c r="K21" s="296">
        <v>161.5</v>
      </c>
      <c r="L21" s="296">
        <v>317.2</v>
      </c>
      <c r="M21" s="296"/>
    </row>
    <row r="22" spans="1:13" ht="11.25" customHeight="1" x14ac:dyDescent="0.2">
      <c r="A22" s="283" t="s">
        <v>505</v>
      </c>
      <c r="B22" s="296">
        <v>119.6</v>
      </c>
      <c r="C22" s="296">
        <v>128.9</v>
      </c>
      <c r="D22" s="296">
        <v>248.5</v>
      </c>
      <c r="F22" s="296">
        <v>74</v>
      </c>
      <c r="G22" s="296">
        <v>88.1</v>
      </c>
      <c r="H22" s="296">
        <v>162.1</v>
      </c>
      <c r="J22" s="296">
        <v>118.4</v>
      </c>
      <c r="K22" s="296">
        <v>128</v>
      </c>
      <c r="L22" s="296">
        <v>246.4</v>
      </c>
      <c r="M22" s="296"/>
    </row>
    <row r="23" spans="1:13" ht="11.25" customHeight="1" x14ac:dyDescent="0.2">
      <c r="A23" s="283" t="s">
        <v>506</v>
      </c>
      <c r="B23" s="296">
        <v>5.7</v>
      </c>
      <c r="C23" s="296">
        <v>6.1</v>
      </c>
      <c r="D23" s="296">
        <v>11.8</v>
      </c>
      <c r="F23" s="296">
        <v>1.5</v>
      </c>
      <c r="G23" s="296">
        <v>2.4</v>
      </c>
      <c r="H23" s="296">
        <v>3.9</v>
      </c>
      <c r="J23" s="296">
        <v>5.5</v>
      </c>
      <c r="K23" s="296">
        <v>6</v>
      </c>
      <c r="L23" s="296">
        <v>11.5</v>
      </c>
      <c r="M23" s="296"/>
    </row>
    <row r="24" spans="1:13" ht="11.25" customHeight="1" x14ac:dyDescent="0.2">
      <c r="A24" s="283" t="s">
        <v>507</v>
      </c>
      <c r="B24" s="296">
        <v>76.2</v>
      </c>
      <c r="C24" s="296">
        <v>73.2</v>
      </c>
      <c r="D24" s="296">
        <v>149.4</v>
      </c>
      <c r="F24" s="296">
        <v>69.400000000000006</v>
      </c>
      <c r="G24" s="296">
        <v>67</v>
      </c>
      <c r="H24" s="296">
        <v>136.5</v>
      </c>
      <c r="J24" s="296">
        <v>76.2</v>
      </c>
      <c r="K24" s="296">
        <v>73.099999999999994</v>
      </c>
      <c r="L24" s="296">
        <v>149.30000000000001</v>
      </c>
      <c r="M24" s="296"/>
    </row>
    <row r="25" spans="1:13" ht="11.25" customHeight="1" x14ac:dyDescent="0.2">
      <c r="A25" s="283" t="s">
        <v>508</v>
      </c>
      <c r="B25" s="296">
        <v>77.099999999999994</v>
      </c>
      <c r="C25" s="296">
        <v>73.599999999999994</v>
      </c>
      <c r="D25" s="296">
        <v>150.80000000000001</v>
      </c>
      <c r="F25" s="296">
        <v>69.099999999999994</v>
      </c>
      <c r="G25" s="296">
        <v>68.099999999999994</v>
      </c>
      <c r="H25" s="296">
        <v>137.1</v>
      </c>
      <c r="J25" s="296">
        <v>77.099999999999994</v>
      </c>
      <c r="K25" s="296">
        <v>73.599999999999994</v>
      </c>
      <c r="L25" s="296">
        <v>150.69999999999999</v>
      </c>
      <c r="M25" s="296"/>
    </row>
    <row r="26" spans="1:13" ht="11.25" customHeight="1" x14ac:dyDescent="0.2">
      <c r="A26" s="283" t="s">
        <v>509</v>
      </c>
      <c r="B26" s="296">
        <v>77.7</v>
      </c>
      <c r="C26" s="296">
        <v>74.8</v>
      </c>
      <c r="D26" s="296">
        <v>152.4</v>
      </c>
      <c r="F26" s="296">
        <v>69.900000000000006</v>
      </c>
      <c r="G26" s="296">
        <v>69.599999999999994</v>
      </c>
      <c r="H26" s="296">
        <v>139.6</v>
      </c>
      <c r="J26" s="296">
        <v>77.5</v>
      </c>
      <c r="K26" s="296">
        <v>74.599999999999994</v>
      </c>
      <c r="L26" s="296">
        <v>152.1</v>
      </c>
      <c r="M26" s="296"/>
    </row>
    <row r="27" spans="1:13" ht="12.75" customHeight="1" x14ac:dyDescent="0.2">
      <c r="A27" s="283" t="s">
        <v>510</v>
      </c>
      <c r="B27" s="296">
        <v>4.2</v>
      </c>
      <c r="C27" s="296">
        <v>2.5</v>
      </c>
      <c r="D27" s="296">
        <v>6.7</v>
      </c>
      <c r="F27" s="296">
        <v>2.7</v>
      </c>
      <c r="G27" s="296">
        <v>1.4</v>
      </c>
      <c r="H27" s="296">
        <v>4.0999999999999996</v>
      </c>
      <c r="J27" s="296">
        <v>4.0999999999999996</v>
      </c>
      <c r="K27" s="296">
        <v>2.4</v>
      </c>
      <c r="L27" s="296">
        <v>6.5</v>
      </c>
      <c r="M27" s="296"/>
    </row>
    <row r="28" spans="1:13" ht="11.25" customHeight="1" x14ac:dyDescent="0.2">
      <c r="B28" s="296"/>
      <c r="C28" s="296"/>
      <c r="D28" s="296"/>
      <c r="F28" s="296"/>
      <c r="G28" s="296"/>
      <c r="H28" s="296"/>
      <c r="J28" s="296"/>
      <c r="K28" s="296"/>
      <c r="L28" s="296"/>
    </row>
    <row r="29" spans="1:13" ht="11.25" customHeight="1" x14ac:dyDescent="0.2">
      <c r="A29" s="283" t="s">
        <v>511</v>
      </c>
      <c r="B29" s="296">
        <v>111.7</v>
      </c>
      <c r="C29" s="296">
        <v>84.1</v>
      </c>
      <c r="D29" s="296">
        <v>195.8</v>
      </c>
      <c r="F29" s="296">
        <v>62</v>
      </c>
      <c r="G29" s="296">
        <v>61.7</v>
      </c>
      <c r="H29" s="296">
        <v>123.7</v>
      </c>
      <c r="J29" s="296">
        <v>109.2</v>
      </c>
      <c r="K29" s="296">
        <v>83.4</v>
      </c>
      <c r="L29" s="296">
        <v>192.6</v>
      </c>
      <c r="M29" s="296"/>
    </row>
    <row r="30" spans="1:13" ht="11.25" customHeight="1" x14ac:dyDescent="0.2">
      <c r="A30" s="283" t="s">
        <v>512</v>
      </c>
      <c r="B30" s="296">
        <v>7.9</v>
      </c>
      <c r="C30" s="296">
        <v>0.6</v>
      </c>
      <c r="D30" s="296">
        <v>8.5</v>
      </c>
      <c r="F30" s="296">
        <v>5</v>
      </c>
      <c r="G30" s="296">
        <v>0.5</v>
      </c>
      <c r="H30" s="296">
        <v>5.5</v>
      </c>
      <c r="J30" s="296">
        <v>7.7</v>
      </c>
      <c r="K30" s="296">
        <v>0.6</v>
      </c>
      <c r="L30" s="296">
        <v>8.3000000000000007</v>
      </c>
      <c r="M30" s="296"/>
    </row>
    <row r="31" spans="1:13" ht="11.25" customHeight="1" x14ac:dyDescent="0.2">
      <c r="A31" s="283" t="s">
        <v>513</v>
      </c>
      <c r="B31" s="296">
        <v>16.100000000000001</v>
      </c>
      <c r="C31" s="296">
        <v>27.3</v>
      </c>
      <c r="D31" s="296">
        <v>43.4</v>
      </c>
      <c r="F31" s="296">
        <v>7.9</v>
      </c>
      <c r="G31" s="296">
        <v>19.3</v>
      </c>
      <c r="H31" s="296">
        <v>27.2</v>
      </c>
      <c r="J31" s="296">
        <v>15.8</v>
      </c>
      <c r="K31" s="296">
        <v>27.1</v>
      </c>
      <c r="L31" s="296">
        <v>42.9</v>
      </c>
      <c r="M31" s="296"/>
    </row>
    <row r="32" spans="1:13" ht="11.25" customHeight="1" x14ac:dyDescent="0.2">
      <c r="A32" s="283" t="s">
        <v>514</v>
      </c>
      <c r="B32" s="296">
        <v>22.2</v>
      </c>
      <c r="C32" s="296">
        <v>14</v>
      </c>
      <c r="D32" s="296">
        <v>36.200000000000003</v>
      </c>
      <c r="F32" s="296">
        <v>11.3</v>
      </c>
      <c r="G32" s="296">
        <v>10.1</v>
      </c>
      <c r="H32" s="296">
        <v>21.4</v>
      </c>
      <c r="J32" s="296">
        <v>21.5</v>
      </c>
      <c r="K32" s="296">
        <v>13.8</v>
      </c>
      <c r="L32" s="296">
        <v>35.299999999999997</v>
      </c>
      <c r="M32" s="296"/>
    </row>
    <row r="33" spans="1:13" ht="11.25" customHeight="1" x14ac:dyDescent="0.2">
      <c r="A33" s="283" t="s">
        <v>515</v>
      </c>
      <c r="B33" s="296">
        <v>44.9</v>
      </c>
      <c r="C33" s="296">
        <v>7.6</v>
      </c>
      <c r="D33" s="296">
        <v>52.4</v>
      </c>
      <c r="F33" s="296">
        <v>25.2</v>
      </c>
      <c r="G33" s="296">
        <v>5.5</v>
      </c>
      <c r="H33" s="296">
        <v>30.7</v>
      </c>
      <c r="J33" s="296">
        <v>44</v>
      </c>
      <c r="K33" s="296">
        <v>7.5</v>
      </c>
      <c r="L33" s="296">
        <v>51.5</v>
      </c>
      <c r="M33" s="296"/>
    </row>
    <row r="34" spans="1:13" ht="11.25" customHeight="1" x14ac:dyDescent="0.2">
      <c r="A34" s="283" t="s">
        <v>516</v>
      </c>
      <c r="B34" s="296">
        <v>3.3</v>
      </c>
      <c r="C34" s="296">
        <v>0.2</v>
      </c>
      <c r="D34" s="296">
        <v>3.5</v>
      </c>
      <c r="F34" s="296">
        <v>2.1</v>
      </c>
      <c r="G34" s="296">
        <v>0.2</v>
      </c>
      <c r="H34" s="296">
        <v>2.2000000000000002</v>
      </c>
      <c r="J34" s="296">
        <v>3.2</v>
      </c>
      <c r="K34" s="296">
        <v>0.2</v>
      </c>
      <c r="L34" s="296">
        <v>3.4</v>
      </c>
      <c r="M34" s="296"/>
    </row>
    <row r="35" spans="1:13" ht="12" customHeight="1" x14ac:dyDescent="0.2">
      <c r="A35" s="283" t="s">
        <v>517</v>
      </c>
      <c r="B35" s="296">
        <v>0.8</v>
      </c>
      <c r="C35" s="296">
        <v>27</v>
      </c>
      <c r="D35" s="296">
        <v>27.8</v>
      </c>
      <c r="F35" s="296">
        <v>0.3</v>
      </c>
      <c r="G35" s="296">
        <v>20.2</v>
      </c>
      <c r="H35" s="296">
        <v>20.5</v>
      </c>
      <c r="J35" s="296">
        <v>0.7</v>
      </c>
      <c r="K35" s="296">
        <v>26.8</v>
      </c>
      <c r="L35" s="296">
        <v>27.5</v>
      </c>
      <c r="M35" s="296"/>
    </row>
    <row r="36" spans="1:13" ht="12.75" customHeight="1" x14ac:dyDescent="0.2">
      <c r="A36" s="283" t="s">
        <v>518</v>
      </c>
      <c r="B36" s="296">
        <v>23.4</v>
      </c>
      <c r="C36" s="296">
        <v>10.4</v>
      </c>
      <c r="D36" s="296">
        <v>33.799999999999997</v>
      </c>
      <c r="F36" s="296">
        <v>12.6</v>
      </c>
      <c r="G36" s="296">
        <v>7.5</v>
      </c>
      <c r="H36" s="296">
        <v>20</v>
      </c>
      <c r="J36" s="296">
        <v>22.8</v>
      </c>
      <c r="K36" s="296">
        <v>10.199999999999999</v>
      </c>
      <c r="L36" s="296">
        <v>33.1</v>
      </c>
      <c r="M36" s="296"/>
    </row>
    <row r="37" spans="1:13" ht="11.25" customHeight="1" x14ac:dyDescent="0.2">
      <c r="A37" s="302" t="s">
        <v>519</v>
      </c>
      <c r="B37" s="296">
        <v>2</v>
      </c>
      <c r="C37" s="296">
        <v>0.2</v>
      </c>
      <c r="D37" s="296">
        <v>2.1</v>
      </c>
      <c r="F37" s="296">
        <v>0.8</v>
      </c>
      <c r="G37" s="296">
        <v>0.1</v>
      </c>
      <c r="H37" s="296">
        <v>0.9</v>
      </c>
      <c r="J37" s="296">
        <v>1.9</v>
      </c>
      <c r="K37" s="296">
        <v>0.2</v>
      </c>
      <c r="L37" s="296">
        <v>2.1</v>
      </c>
      <c r="M37" s="296"/>
    </row>
    <row r="38" spans="1:13" ht="11.25" customHeight="1" x14ac:dyDescent="0.2">
      <c r="A38" s="283" t="s">
        <v>520</v>
      </c>
      <c r="B38" s="296">
        <v>33.200000000000003</v>
      </c>
      <c r="C38" s="296">
        <v>24.3</v>
      </c>
      <c r="D38" s="296">
        <v>57.5</v>
      </c>
      <c r="F38" s="296">
        <v>23.1</v>
      </c>
      <c r="G38" s="296">
        <v>18.7</v>
      </c>
      <c r="H38" s="296">
        <v>41.8</v>
      </c>
      <c r="J38" s="296">
        <v>32.4</v>
      </c>
      <c r="K38" s="296">
        <v>23.9</v>
      </c>
      <c r="L38" s="296">
        <v>56.4</v>
      </c>
      <c r="M38" s="296"/>
    </row>
    <row r="39" spans="1:13" ht="11.25" customHeight="1" x14ac:dyDescent="0.2">
      <c r="A39" s="283" t="s">
        <v>521</v>
      </c>
      <c r="B39" s="296">
        <v>38.4</v>
      </c>
      <c r="C39" s="296">
        <v>26.1</v>
      </c>
      <c r="D39" s="296">
        <v>64.400000000000006</v>
      </c>
      <c r="F39" s="296">
        <v>25.4</v>
      </c>
      <c r="G39" s="296">
        <v>18.3</v>
      </c>
      <c r="H39" s="296">
        <v>43.7</v>
      </c>
      <c r="J39" s="296">
        <v>37.9</v>
      </c>
      <c r="K39" s="296">
        <v>25.8</v>
      </c>
      <c r="L39" s="296">
        <v>63.7</v>
      </c>
      <c r="M39" s="286"/>
    </row>
    <row r="40" spans="1:13" ht="11.25" customHeight="1" x14ac:dyDescent="0.2">
      <c r="A40" s="303" t="s">
        <v>522</v>
      </c>
      <c r="B40" s="296">
        <v>2.9</v>
      </c>
      <c r="C40" s="296">
        <v>1.8</v>
      </c>
      <c r="D40" s="296">
        <v>4.7</v>
      </c>
      <c r="F40" s="296">
        <v>1.7</v>
      </c>
      <c r="G40" s="296">
        <v>1.3</v>
      </c>
      <c r="H40" s="296">
        <v>2.9</v>
      </c>
      <c r="J40" s="296">
        <v>2.8</v>
      </c>
      <c r="K40" s="296">
        <v>1.8</v>
      </c>
      <c r="L40" s="296">
        <v>4.5999999999999996</v>
      </c>
      <c r="M40" s="296"/>
    </row>
    <row r="41" spans="1:13" ht="11.25" customHeight="1" x14ac:dyDescent="0.2">
      <c r="A41" s="283" t="s">
        <v>523</v>
      </c>
      <c r="B41" s="296">
        <v>3.7</v>
      </c>
      <c r="C41" s="296">
        <v>22</v>
      </c>
      <c r="D41" s="296">
        <v>25.7</v>
      </c>
      <c r="F41" s="296">
        <v>1.7</v>
      </c>
      <c r="G41" s="296">
        <v>13</v>
      </c>
      <c r="H41" s="296">
        <v>14.6</v>
      </c>
      <c r="J41" s="296">
        <v>3.6</v>
      </c>
      <c r="K41" s="296">
        <v>21.7</v>
      </c>
      <c r="L41" s="296">
        <v>25.3</v>
      </c>
      <c r="M41" s="296"/>
    </row>
    <row r="42" spans="1:13" ht="11.25" customHeight="1" x14ac:dyDescent="0.2">
      <c r="M42" s="296"/>
    </row>
    <row r="43" spans="1:13" ht="11.25" customHeight="1" x14ac:dyDescent="0.2">
      <c r="A43" s="283" t="s">
        <v>524</v>
      </c>
      <c r="B43" s="296">
        <v>107.3</v>
      </c>
      <c r="C43" s="296">
        <v>93</v>
      </c>
      <c r="D43" s="296">
        <v>200.3</v>
      </c>
      <c r="F43" s="296">
        <v>70.2</v>
      </c>
      <c r="G43" s="296">
        <v>69.099999999999994</v>
      </c>
      <c r="H43" s="296">
        <v>139.4</v>
      </c>
      <c r="J43" s="296">
        <v>106.2</v>
      </c>
      <c r="K43" s="296">
        <v>92.4</v>
      </c>
      <c r="L43" s="296">
        <v>198.5</v>
      </c>
      <c r="M43" s="296"/>
    </row>
    <row r="44" spans="1:13" ht="11.25" customHeight="1" x14ac:dyDescent="0.2">
      <c r="A44" s="283" t="s">
        <v>525</v>
      </c>
      <c r="B44" s="296">
        <v>115.8</v>
      </c>
      <c r="C44" s="296">
        <v>118.9</v>
      </c>
      <c r="D44" s="296">
        <v>234.7</v>
      </c>
      <c r="F44" s="296">
        <v>75.5</v>
      </c>
      <c r="G44" s="296">
        <v>87.3</v>
      </c>
      <c r="H44" s="296">
        <v>162.69999999999999</v>
      </c>
      <c r="J44" s="296">
        <v>113.4</v>
      </c>
      <c r="K44" s="296">
        <v>117.4</v>
      </c>
      <c r="L44" s="296">
        <v>230.8</v>
      </c>
      <c r="M44" s="296"/>
    </row>
    <row r="45" spans="1:13" ht="11.25" customHeight="1" x14ac:dyDescent="0.2">
      <c r="A45" s="283" t="s">
        <v>526</v>
      </c>
      <c r="B45" s="296">
        <v>6.3</v>
      </c>
      <c r="C45" s="296">
        <v>6.1</v>
      </c>
      <c r="D45" s="296">
        <v>12.4</v>
      </c>
      <c r="F45" s="296">
        <v>2.5</v>
      </c>
      <c r="G45" s="296">
        <v>3.1</v>
      </c>
      <c r="H45" s="296">
        <v>5.5</v>
      </c>
      <c r="J45" s="296">
        <v>6</v>
      </c>
      <c r="K45" s="296">
        <v>5.9</v>
      </c>
      <c r="L45" s="296">
        <v>11.9</v>
      </c>
      <c r="M45" s="286"/>
    </row>
    <row r="46" spans="1:13" ht="11.25" customHeight="1" x14ac:dyDescent="0.2">
      <c r="A46" s="283" t="s">
        <v>527</v>
      </c>
      <c r="B46" s="296">
        <v>3</v>
      </c>
      <c r="C46" s="296">
        <v>1.3</v>
      </c>
      <c r="D46" s="296">
        <v>4.3</v>
      </c>
      <c r="F46" s="296">
        <v>2.4</v>
      </c>
      <c r="G46" s="296">
        <v>1</v>
      </c>
      <c r="H46" s="296">
        <v>3.4</v>
      </c>
      <c r="J46" s="296">
        <v>2.9</v>
      </c>
      <c r="K46" s="296">
        <v>1.3</v>
      </c>
      <c r="L46" s="296">
        <v>4.2</v>
      </c>
      <c r="M46" s="296"/>
    </row>
    <row r="47" spans="1:13" ht="11.25" customHeight="1" x14ac:dyDescent="0.2">
      <c r="A47" s="283" t="s">
        <v>528</v>
      </c>
      <c r="B47" s="296">
        <v>15</v>
      </c>
      <c r="C47" s="296">
        <v>27.3</v>
      </c>
      <c r="D47" s="296">
        <v>42.3</v>
      </c>
      <c r="F47" s="296">
        <v>8.5</v>
      </c>
      <c r="G47" s="296">
        <v>19</v>
      </c>
      <c r="H47" s="296">
        <v>27.5</v>
      </c>
      <c r="J47" s="296">
        <v>14.6</v>
      </c>
      <c r="K47" s="296">
        <v>26.9</v>
      </c>
      <c r="L47" s="296">
        <v>41.5</v>
      </c>
      <c r="M47" s="296"/>
    </row>
    <row r="48" spans="1:13" ht="11.25" customHeight="1" x14ac:dyDescent="0.2"/>
    <row r="49" spans="1:13" ht="11.25" customHeight="1" x14ac:dyDescent="0.2">
      <c r="A49" s="283" t="s">
        <v>529</v>
      </c>
      <c r="B49" s="296">
        <v>133.69999999999999</v>
      </c>
      <c r="C49" s="296">
        <v>167.8</v>
      </c>
      <c r="D49" s="296">
        <v>301.5</v>
      </c>
      <c r="F49" s="296">
        <v>88.2</v>
      </c>
      <c r="G49" s="296">
        <v>126.9</v>
      </c>
      <c r="H49" s="296">
        <v>215.1</v>
      </c>
      <c r="J49" s="296">
        <v>132.80000000000001</v>
      </c>
      <c r="K49" s="296">
        <v>167.1</v>
      </c>
      <c r="L49" s="296">
        <v>299.89999999999998</v>
      </c>
      <c r="M49" s="296"/>
    </row>
    <row r="50" spans="1:13" ht="11.25" customHeight="1" x14ac:dyDescent="0.2">
      <c r="A50" s="304" t="s">
        <v>530</v>
      </c>
      <c r="B50" s="296">
        <v>1.2</v>
      </c>
      <c r="C50" s="296">
        <v>1.5</v>
      </c>
      <c r="D50" s="296">
        <v>2.6</v>
      </c>
      <c r="F50" s="296">
        <v>0.9</v>
      </c>
      <c r="G50" s="296">
        <v>1.1000000000000001</v>
      </c>
      <c r="H50" s="296">
        <v>2</v>
      </c>
      <c r="J50" s="296">
        <v>1.1000000000000001</v>
      </c>
      <c r="K50" s="296">
        <v>1.4</v>
      </c>
      <c r="L50" s="296">
        <v>2.5</v>
      </c>
    </row>
    <row r="51" spans="1:13" ht="11.25" customHeight="1" x14ac:dyDescent="0.2">
      <c r="A51" s="304" t="s">
        <v>531</v>
      </c>
      <c r="B51" s="296">
        <v>1.2</v>
      </c>
      <c r="C51" s="296">
        <v>1.1000000000000001</v>
      </c>
      <c r="D51" s="296">
        <v>2.2999999999999998</v>
      </c>
      <c r="F51" s="296">
        <v>1.2</v>
      </c>
      <c r="G51" s="296">
        <v>1.1000000000000001</v>
      </c>
      <c r="H51" s="296">
        <v>2.2999999999999998</v>
      </c>
      <c r="J51" s="296">
        <v>1.2</v>
      </c>
      <c r="K51" s="296">
        <v>1.1000000000000001</v>
      </c>
      <c r="L51" s="296">
        <v>2.2999999999999998</v>
      </c>
    </row>
    <row r="52" spans="1:13" ht="11.25" customHeight="1" x14ac:dyDescent="0.2">
      <c r="A52" s="283" t="s">
        <v>532</v>
      </c>
      <c r="B52" s="296">
        <v>69</v>
      </c>
      <c r="C52" s="296">
        <v>92.9</v>
      </c>
      <c r="D52" s="296">
        <v>161.80000000000001</v>
      </c>
      <c r="F52" s="296">
        <v>44.1</v>
      </c>
      <c r="G52" s="296">
        <v>69.400000000000006</v>
      </c>
      <c r="H52" s="296">
        <v>113.5</v>
      </c>
      <c r="J52" s="296">
        <v>68.599999999999994</v>
      </c>
      <c r="K52" s="296">
        <v>92.6</v>
      </c>
      <c r="L52" s="296">
        <v>161.1</v>
      </c>
    </row>
    <row r="53" spans="1:13" ht="11.25" customHeight="1" x14ac:dyDescent="0.2">
      <c r="A53" s="283" t="s">
        <v>533</v>
      </c>
      <c r="B53" s="296">
        <v>28.9</v>
      </c>
      <c r="C53" s="296">
        <v>31.4</v>
      </c>
      <c r="D53" s="296">
        <v>60.3</v>
      </c>
      <c r="F53" s="296">
        <v>20.3</v>
      </c>
      <c r="G53" s="296">
        <v>25</v>
      </c>
      <c r="H53" s="296">
        <v>45.3</v>
      </c>
      <c r="J53" s="296">
        <v>28.8</v>
      </c>
      <c r="K53" s="296">
        <v>31.3</v>
      </c>
      <c r="L53" s="296">
        <v>60.2</v>
      </c>
    </row>
    <row r="54" spans="1:13" ht="11.25" customHeight="1" x14ac:dyDescent="0.2">
      <c r="A54" s="283" t="s">
        <v>534</v>
      </c>
      <c r="B54" s="296">
        <v>1.8</v>
      </c>
      <c r="C54" s="296">
        <v>2.2999999999999998</v>
      </c>
      <c r="D54" s="296">
        <v>4.0999999999999996</v>
      </c>
      <c r="F54" s="296">
        <v>1.5</v>
      </c>
      <c r="G54" s="296">
        <v>2.1</v>
      </c>
      <c r="H54" s="296">
        <v>3.6</v>
      </c>
      <c r="J54" s="296">
        <v>1.8</v>
      </c>
      <c r="K54" s="296">
        <v>2.2999999999999998</v>
      </c>
      <c r="L54" s="296">
        <v>4.0999999999999996</v>
      </c>
    </row>
    <row r="55" spans="1:13" ht="11.25" customHeight="1" x14ac:dyDescent="0.2">
      <c r="A55" s="304" t="s">
        <v>535</v>
      </c>
      <c r="B55" s="296">
        <v>1.5</v>
      </c>
      <c r="C55" s="296">
        <v>1.5</v>
      </c>
      <c r="D55" s="296">
        <v>2.9</v>
      </c>
      <c r="F55" s="296">
        <v>1.4</v>
      </c>
      <c r="G55" s="296">
        <v>1.4</v>
      </c>
      <c r="H55" s="296">
        <v>2.8</v>
      </c>
      <c r="J55" s="296">
        <v>1.4</v>
      </c>
      <c r="K55" s="296">
        <v>1.5</v>
      </c>
      <c r="L55" s="296">
        <v>2.9</v>
      </c>
    </row>
    <row r="56" spans="1:13" ht="11.25" customHeight="1" x14ac:dyDescent="0.2">
      <c r="A56" s="283" t="s">
        <v>536</v>
      </c>
      <c r="B56" s="296">
        <v>35.299999999999997</v>
      </c>
      <c r="C56" s="296">
        <v>47.4</v>
      </c>
      <c r="D56" s="296">
        <v>82.7</v>
      </c>
      <c r="F56" s="296">
        <v>23.3</v>
      </c>
      <c r="G56" s="296">
        <v>36.1</v>
      </c>
      <c r="H56" s="296">
        <v>59.4</v>
      </c>
      <c r="J56" s="296">
        <v>34.9</v>
      </c>
      <c r="K56" s="296">
        <v>47.1</v>
      </c>
      <c r="L56" s="296">
        <v>82.1</v>
      </c>
    </row>
    <row r="57" spans="1:13" ht="11.25" customHeight="1" x14ac:dyDescent="0.2">
      <c r="A57" s="304" t="s">
        <v>537</v>
      </c>
      <c r="B57" s="296">
        <v>1.5</v>
      </c>
      <c r="C57" s="296">
        <v>2.6</v>
      </c>
      <c r="D57" s="296">
        <v>4.0999999999999996</v>
      </c>
      <c r="F57" s="296">
        <v>1</v>
      </c>
      <c r="G57" s="296">
        <v>2.1</v>
      </c>
      <c r="H57" s="296">
        <v>3.1</v>
      </c>
      <c r="J57" s="296">
        <v>1.5</v>
      </c>
      <c r="K57" s="296">
        <v>2.6</v>
      </c>
      <c r="L57" s="296">
        <v>4.0999999999999996</v>
      </c>
    </row>
    <row r="58" spans="1:13" ht="11.25" customHeight="1" x14ac:dyDescent="0.2">
      <c r="A58" s="283" t="s">
        <v>538</v>
      </c>
      <c r="B58" s="296">
        <v>4.4000000000000004</v>
      </c>
      <c r="C58" s="296">
        <v>4.8</v>
      </c>
      <c r="D58" s="296">
        <v>9.3000000000000007</v>
      </c>
      <c r="F58" s="296">
        <v>3.8</v>
      </c>
      <c r="G58" s="296">
        <v>4.4000000000000004</v>
      </c>
      <c r="H58" s="296">
        <v>8.1999999999999993</v>
      </c>
      <c r="J58" s="296">
        <v>4.4000000000000004</v>
      </c>
      <c r="K58" s="296">
        <v>4.8</v>
      </c>
      <c r="L58" s="296">
        <v>9.1999999999999993</v>
      </c>
    </row>
    <row r="59" spans="1:13" ht="11.25" customHeight="1" x14ac:dyDescent="0.2">
      <c r="B59" s="283"/>
      <c r="C59" s="283"/>
      <c r="D59" s="283"/>
      <c r="E59" s="283"/>
      <c r="F59" s="283"/>
      <c r="G59" s="283"/>
      <c r="H59" s="283"/>
      <c r="I59" s="283"/>
      <c r="J59" s="283"/>
      <c r="K59" s="283"/>
      <c r="L59" s="283"/>
    </row>
    <row r="60" spans="1:13" ht="11.25" customHeight="1" x14ac:dyDescent="0.2">
      <c r="A60" s="283" t="s">
        <v>539</v>
      </c>
      <c r="B60" s="296">
        <v>6.9</v>
      </c>
      <c r="C60" s="296">
        <v>7.1</v>
      </c>
      <c r="D60" s="296">
        <v>14</v>
      </c>
      <c r="F60" s="296">
        <v>6</v>
      </c>
      <c r="G60" s="296">
        <v>6.4</v>
      </c>
      <c r="H60" s="296">
        <v>12.4</v>
      </c>
      <c r="J60" s="296">
        <v>6.9</v>
      </c>
      <c r="K60" s="296">
        <v>7.1</v>
      </c>
      <c r="L60" s="296">
        <v>13.9</v>
      </c>
      <c r="M60" s="296"/>
    </row>
    <row r="61" spans="1:13" ht="11.25" customHeight="1" x14ac:dyDescent="0.2">
      <c r="A61" s="3" t="s">
        <v>540</v>
      </c>
      <c r="B61" s="296">
        <v>2</v>
      </c>
      <c r="C61" s="296">
        <v>1.8</v>
      </c>
      <c r="D61" s="296">
        <v>3.9</v>
      </c>
      <c r="F61" s="296">
        <v>1.6</v>
      </c>
      <c r="G61" s="296">
        <v>1.5</v>
      </c>
      <c r="H61" s="296">
        <v>3.2</v>
      </c>
      <c r="J61" s="296">
        <v>2</v>
      </c>
      <c r="K61" s="296">
        <v>1.8</v>
      </c>
      <c r="L61" s="296">
        <v>3.8</v>
      </c>
    </row>
    <row r="62" spans="1:13" ht="11.25" customHeight="1" x14ac:dyDescent="0.2">
      <c r="A62" s="3" t="s">
        <v>541</v>
      </c>
      <c r="B62" s="296">
        <v>0.7</v>
      </c>
      <c r="C62" s="296">
        <v>0.4</v>
      </c>
      <c r="D62" s="296">
        <v>1.1000000000000001</v>
      </c>
      <c r="F62" s="296">
        <v>0.7</v>
      </c>
      <c r="G62" s="296">
        <v>0.4</v>
      </c>
      <c r="H62" s="296">
        <v>1.1000000000000001</v>
      </c>
      <c r="J62" s="296">
        <v>0.7</v>
      </c>
      <c r="K62" s="296">
        <v>0.4</v>
      </c>
      <c r="L62" s="296">
        <v>1.1000000000000001</v>
      </c>
      <c r="M62" s="296"/>
    </row>
    <row r="63" spans="1:13" ht="11.25" customHeight="1" x14ac:dyDescent="0.2">
      <c r="A63" s="283" t="s">
        <v>542</v>
      </c>
      <c r="B63" s="296">
        <v>4.3</v>
      </c>
      <c r="C63" s="296">
        <v>4.7</v>
      </c>
      <c r="D63" s="296">
        <v>9</v>
      </c>
      <c r="F63" s="296">
        <v>4</v>
      </c>
      <c r="G63" s="296">
        <v>4.3</v>
      </c>
      <c r="H63" s="296">
        <v>8.3000000000000007</v>
      </c>
      <c r="J63" s="296">
        <v>4.3</v>
      </c>
      <c r="K63" s="296">
        <v>4.5999999999999996</v>
      </c>
      <c r="L63" s="296">
        <v>8.9</v>
      </c>
      <c r="M63" s="296"/>
    </row>
    <row r="64" spans="1:13" ht="11.25" customHeight="1" x14ac:dyDescent="0.2">
      <c r="A64" s="283" t="s">
        <v>543</v>
      </c>
      <c r="B64" s="296">
        <v>0.6</v>
      </c>
      <c r="C64" s="296">
        <v>0.7</v>
      </c>
      <c r="D64" s="296">
        <v>1.3</v>
      </c>
      <c r="F64" s="296">
        <v>0.5</v>
      </c>
      <c r="G64" s="296">
        <v>0.5</v>
      </c>
      <c r="H64" s="296">
        <v>1</v>
      </c>
      <c r="J64" s="296">
        <v>0.6</v>
      </c>
      <c r="K64" s="296">
        <v>0.7</v>
      </c>
      <c r="L64" s="296">
        <v>1.3</v>
      </c>
      <c r="M64" s="296"/>
    </row>
    <row r="65" spans="1:13" ht="11.25" customHeight="1" x14ac:dyDescent="0.2">
      <c r="B65" s="283"/>
      <c r="C65" s="283"/>
      <c r="D65" s="283"/>
      <c r="E65" s="283"/>
      <c r="F65" s="283"/>
      <c r="G65" s="283"/>
      <c r="H65" s="283"/>
      <c r="I65" s="283"/>
      <c r="J65" s="283"/>
      <c r="K65" s="283"/>
      <c r="L65" s="283"/>
      <c r="M65" s="296"/>
    </row>
    <row r="66" spans="1:13" ht="11.25" customHeight="1" x14ac:dyDescent="0.2">
      <c r="A66" s="302" t="s">
        <v>544</v>
      </c>
      <c r="B66" s="296">
        <v>0.4</v>
      </c>
      <c r="C66" s="296">
        <v>0.7</v>
      </c>
      <c r="D66" s="296">
        <v>1.1000000000000001</v>
      </c>
      <c r="F66" s="296">
        <v>0.2</v>
      </c>
      <c r="G66" s="296">
        <v>0.5</v>
      </c>
      <c r="H66" s="296">
        <v>0.8</v>
      </c>
      <c r="J66" s="296">
        <v>0.4</v>
      </c>
      <c r="K66" s="296">
        <v>0.7</v>
      </c>
      <c r="L66" s="296">
        <v>1</v>
      </c>
      <c r="M66" s="296"/>
    </row>
    <row r="67" spans="1:13" ht="11.25" customHeight="1" x14ac:dyDescent="0.2">
      <c r="A67" s="305" t="s">
        <v>545</v>
      </c>
      <c r="B67" s="306" t="s">
        <v>196</v>
      </c>
      <c r="C67" s="306" t="s">
        <v>196</v>
      </c>
      <c r="D67" s="306" t="s">
        <v>196</v>
      </c>
      <c r="E67" s="306"/>
      <c r="F67" s="306" t="s">
        <v>196</v>
      </c>
      <c r="G67" s="306" t="s">
        <v>196</v>
      </c>
      <c r="H67" s="306" t="s">
        <v>196</v>
      </c>
      <c r="I67" s="306"/>
      <c r="J67" s="306" t="s">
        <v>196</v>
      </c>
      <c r="K67" s="306" t="s">
        <v>196</v>
      </c>
      <c r="L67" s="306" t="s">
        <v>196</v>
      </c>
      <c r="M67" s="296"/>
    </row>
    <row r="68" spans="1:13" ht="11.25" customHeight="1" x14ac:dyDescent="0.2">
      <c r="A68" s="283" t="s">
        <v>546</v>
      </c>
      <c r="B68" s="296">
        <v>52.2</v>
      </c>
      <c r="C68" s="296">
        <v>104.2</v>
      </c>
      <c r="D68" s="296">
        <v>156.5</v>
      </c>
      <c r="F68" s="296">
        <v>33.9</v>
      </c>
      <c r="G68" s="296">
        <v>86.7</v>
      </c>
      <c r="H68" s="296">
        <v>120.5</v>
      </c>
      <c r="J68" s="296">
        <v>51.4</v>
      </c>
      <c r="K68" s="296">
        <v>103.6</v>
      </c>
      <c r="L68" s="296">
        <v>155</v>
      </c>
      <c r="M68" s="296"/>
    </row>
    <row r="69" spans="1:13" ht="11.25" customHeight="1" x14ac:dyDescent="0.2">
      <c r="A69" s="283" t="s">
        <v>547</v>
      </c>
      <c r="B69" s="296">
        <v>4.0999999999999996</v>
      </c>
      <c r="C69" s="296">
        <v>4.9000000000000004</v>
      </c>
      <c r="D69" s="296">
        <v>9</v>
      </c>
      <c r="F69" s="296">
        <v>2</v>
      </c>
      <c r="G69" s="296">
        <v>3.5</v>
      </c>
      <c r="H69" s="296">
        <v>5.5</v>
      </c>
      <c r="J69" s="296">
        <v>4</v>
      </c>
      <c r="K69" s="296">
        <v>4.9000000000000004</v>
      </c>
      <c r="L69" s="296">
        <v>8.8000000000000007</v>
      </c>
      <c r="M69" s="296"/>
    </row>
    <row r="70" spans="1:13" ht="11.25" customHeight="1" x14ac:dyDescent="0.2">
      <c r="A70" s="305" t="s">
        <v>548</v>
      </c>
      <c r="B70" s="296">
        <v>0</v>
      </c>
      <c r="C70" s="296">
        <v>0</v>
      </c>
      <c r="D70" s="296">
        <v>0</v>
      </c>
      <c r="F70" s="296">
        <v>0</v>
      </c>
      <c r="G70" s="296">
        <v>0</v>
      </c>
      <c r="H70" s="296">
        <v>0</v>
      </c>
      <c r="J70" s="296">
        <v>0</v>
      </c>
      <c r="K70" s="296">
        <v>0</v>
      </c>
      <c r="L70" s="296">
        <v>0</v>
      </c>
      <c r="M70" s="296"/>
    </row>
    <row r="71" spans="1:13" ht="11.25" customHeight="1" x14ac:dyDescent="0.2">
      <c r="A71" s="283" t="s">
        <v>549</v>
      </c>
      <c r="B71" s="296">
        <v>27.1</v>
      </c>
      <c r="C71" s="296">
        <v>42.6</v>
      </c>
      <c r="D71" s="296">
        <v>69.8</v>
      </c>
      <c r="F71" s="296">
        <v>17.899999999999999</v>
      </c>
      <c r="G71" s="296">
        <v>33.1</v>
      </c>
      <c r="H71" s="296">
        <v>51</v>
      </c>
      <c r="J71" s="296">
        <v>26.9</v>
      </c>
      <c r="K71" s="296">
        <v>42.4</v>
      </c>
      <c r="L71" s="296">
        <v>69.2</v>
      </c>
      <c r="M71" s="296"/>
    </row>
    <row r="72" spans="1:13" ht="11.25" customHeight="1" x14ac:dyDescent="0.2">
      <c r="A72" s="283" t="s">
        <v>550</v>
      </c>
      <c r="B72" s="296">
        <v>197.8</v>
      </c>
      <c r="C72" s="296">
        <v>224</v>
      </c>
      <c r="D72" s="296">
        <v>421.8</v>
      </c>
      <c r="F72" s="296">
        <v>140.5</v>
      </c>
      <c r="G72" s="296">
        <v>186.9</v>
      </c>
      <c r="H72" s="296">
        <v>327.5</v>
      </c>
      <c r="J72" s="296">
        <v>195.6</v>
      </c>
      <c r="K72" s="296">
        <v>222.6</v>
      </c>
      <c r="L72" s="296">
        <v>418.2</v>
      </c>
      <c r="M72" s="296"/>
    </row>
    <row r="73" spans="1:13" ht="11.25" customHeight="1" x14ac:dyDescent="0.2">
      <c r="A73" s="139" t="s">
        <v>551</v>
      </c>
      <c r="B73" s="296">
        <v>1.1000000000000001</v>
      </c>
      <c r="C73" s="296">
        <v>1</v>
      </c>
      <c r="D73" s="296">
        <v>2.1</v>
      </c>
      <c r="F73" s="296">
        <v>0.4</v>
      </c>
      <c r="G73" s="296">
        <v>0.5</v>
      </c>
      <c r="H73" s="296">
        <v>0.9</v>
      </c>
      <c r="J73" s="296">
        <v>1.1000000000000001</v>
      </c>
      <c r="K73" s="296">
        <v>1</v>
      </c>
      <c r="L73" s="296">
        <v>2.1</v>
      </c>
      <c r="M73" s="296"/>
    </row>
    <row r="74" spans="1:13" ht="11.25" customHeight="1" x14ac:dyDescent="0.2">
      <c r="A74" s="139" t="s">
        <v>552</v>
      </c>
      <c r="B74" s="296">
        <v>2.5</v>
      </c>
      <c r="C74" s="296">
        <v>2.4</v>
      </c>
      <c r="D74" s="296">
        <v>4.9000000000000004</v>
      </c>
      <c r="F74" s="296">
        <v>1</v>
      </c>
      <c r="G74" s="296">
        <v>1.3</v>
      </c>
      <c r="H74" s="296">
        <v>2.2000000000000002</v>
      </c>
      <c r="J74" s="296">
        <v>2.2000000000000002</v>
      </c>
      <c r="K74" s="296">
        <v>2.2999999999999998</v>
      </c>
      <c r="L74" s="296">
        <v>4.5</v>
      </c>
      <c r="M74" s="296"/>
    </row>
    <row r="75" spans="1:13" ht="11.25" customHeight="1" x14ac:dyDescent="0.2">
      <c r="A75" s="302" t="s">
        <v>553</v>
      </c>
      <c r="B75" s="296">
        <v>0.4</v>
      </c>
      <c r="C75" s="296">
        <v>7.4</v>
      </c>
      <c r="D75" s="296">
        <v>7.8</v>
      </c>
      <c r="F75" s="296">
        <v>0.1</v>
      </c>
      <c r="G75" s="296">
        <v>4</v>
      </c>
      <c r="H75" s="296">
        <v>4.2</v>
      </c>
      <c r="J75" s="296">
        <v>0.4</v>
      </c>
      <c r="K75" s="296">
        <v>7.2</v>
      </c>
      <c r="L75" s="296">
        <v>7.5</v>
      </c>
      <c r="M75" s="296"/>
    </row>
    <row r="76" spans="1:13" ht="11.25" customHeight="1" x14ac:dyDescent="0.2">
      <c r="A76" s="305" t="s">
        <v>554</v>
      </c>
      <c r="B76" s="296">
        <v>0.7</v>
      </c>
      <c r="C76" s="296">
        <v>1.3</v>
      </c>
      <c r="D76" s="296">
        <v>2</v>
      </c>
      <c r="F76" s="296">
        <v>0.3</v>
      </c>
      <c r="G76" s="296">
        <v>0.9</v>
      </c>
      <c r="H76" s="296">
        <v>1.2</v>
      </c>
      <c r="J76" s="296">
        <v>0.7</v>
      </c>
      <c r="K76" s="296">
        <v>1.3</v>
      </c>
      <c r="L76" s="296">
        <v>2</v>
      </c>
      <c r="M76" s="296"/>
    </row>
    <row r="77" spans="1:13" ht="11.25" customHeight="1" x14ac:dyDescent="0.2">
      <c r="A77" s="305" t="s">
        <v>555</v>
      </c>
      <c r="B77" s="296">
        <v>1.1000000000000001</v>
      </c>
      <c r="C77" s="296">
        <v>1.4</v>
      </c>
      <c r="D77" s="296">
        <v>2.5</v>
      </c>
      <c r="F77" s="296">
        <v>0.3</v>
      </c>
      <c r="G77" s="296">
        <v>0.7</v>
      </c>
      <c r="H77" s="296">
        <v>1</v>
      </c>
      <c r="J77" s="296">
        <v>1</v>
      </c>
      <c r="K77" s="296">
        <v>1.3</v>
      </c>
      <c r="L77" s="296">
        <v>2.4</v>
      </c>
      <c r="M77" s="296"/>
    </row>
    <row r="78" spans="1:13" ht="11.25" customHeight="1" x14ac:dyDescent="0.2">
      <c r="A78" s="305" t="s">
        <v>556</v>
      </c>
      <c r="B78" s="296">
        <v>0.1</v>
      </c>
      <c r="C78" s="296">
        <v>0</v>
      </c>
      <c r="D78" s="296">
        <v>0.1</v>
      </c>
      <c r="F78" s="296">
        <v>0</v>
      </c>
      <c r="G78" s="296">
        <v>0</v>
      </c>
      <c r="H78" s="296">
        <v>0</v>
      </c>
      <c r="J78" s="296">
        <v>0.1</v>
      </c>
      <c r="K78" s="296">
        <v>0</v>
      </c>
      <c r="L78" s="296">
        <v>0.1</v>
      </c>
      <c r="M78" s="296"/>
    </row>
    <row r="79" spans="1:13" ht="11.25" customHeight="1" x14ac:dyDescent="0.2">
      <c r="A79" s="283" t="s">
        <v>557</v>
      </c>
      <c r="B79" s="296">
        <v>24.1</v>
      </c>
      <c r="C79" s="296">
        <v>24.6</v>
      </c>
      <c r="D79" s="296">
        <v>48.7</v>
      </c>
      <c r="F79" s="296">
        <v>13.5</v>
      </c>
      <c r="G79" s="296">
        <v>18.600000000000001</v>
      </c>
      <c r="H79" s="296">
        <v>32.1</v>
      </c>
      <c r="J79" s="296">
        <v>23.6</v>
      </c>
      <c r="K79" s="296">
        <v>24.3</v>
      </c>
      <c r="L79" s="296">
        <v>48</v>
      </c>
      <c r="M79" s="296"/>
    </row>
    <row r="80" spans="1:13" ht="11.25" customHeight="1" x14ac:dyDescent="0.2">
      <c r="A80" s="305" t="s">
        <v>558</v>
      </c>
      <c r="B80" s="306" t="s">
        <v>196</v>
      </c>
      <c r="C80" s="306" t="s">
        <v>196</v>
      </c>
      <c r="D80" s="306" t="s">
        <v>196</v>
      </c>
      <c r="E80" s="306"/>
      <c r="F80" s="306" t="s">
        <v>196</v>
      </c>
      <c r="G80" s="306" t="s">
        <v>196</v>
      </c>
      <c r="H80" s="306" t="s">
        <v>196</v>
      </c>
      <c r="I80" s="306"/>
      <c r="J80" s="306" t="s">
        <v>196</v>
      </c>
      <c r="K80" s="306" t="s">
        <v>196</v>
      </c>
      <c r="L80" s="306" t="s">
        <v>196</v>
      </c>
      <c r="M80" s="296"/>
    </row>
    <row r="81" spans="1:13" ht="11.25" customHeight="1" x14ac:dyDescent="0.2">
      <c r="A81" s="283" t="s">
        <v>559</v>
      </c>
      <c r="B81" s="296">
        <v>20.7</v>
      </c>
      <c r="C81" s="296">
        <v>20.6</v>
      </c>
      <c r="D81" s="296">
        <v>41.3</v>
      </c>
      <c r="F81" s="296">
        <v>15.3</v>
      </c>
      <c r="G81" s="296">
        <v>16.3</v>
      </c>
      <c r="H81" s="296">
        <v>31.6</v>
      </c>
      <c r="J81" s="296">
        <v>20.399999999999999</v>
      </c>
      <c r="K81" s="296">
        <v>20.399999999999999</v>
      </c>
      <c r="L81" s="296">
        <v>40.799999999999997</v>
      </c>
      <c r="M81" s="296"/>
    </row>
    <row r="82" spans="1:13" ht="11.25" customHeight="1" x14ac:dyDescent="0.2">
      <c r="A82" s="302" t="s">
        <v>560</v>
      </c>
      <c r="B82" s="296">
        <v>0.9</v>
      </c>
      <c r="C82" s="296">
        <v>2.1</v>
      </c>
      <c r="D82" s="296">
        <v>3.1</v>
      </c>
      <c r="F82" s="296">
        <v>0.4</v>
      </c>
      <c r="G82" s="296">
        <v>1.4</v>
      </c>
      <c r="H82" s="296">
        <v>1.9</v>
      </c>
      <c r="J82" s="296">
        <v>0.9</v>
      </c>
      <c r="K82" s="296">
        <v>2.1</v>
      </c>
      <c r="L82" s="296">
        <v>3</v>
      </c>
      <c r="M82" s="296"/>
    </row>
    <row r="83" spans="1:13" ht="11.25" customHeight="1" x14ac:dyDescent="0.2">
      <c r="A83" s="283" t="s">
        <v>561</v>
      </c>
      <c r="B83" s="296">
        <v>60.9</v>
      </c>
      <c r="C83" s="296">
        <v>40.700000000000003</v>
      </c>
      <c r="D83" s="296">
        <v>101.6</v>
      </c>
      <c r="F83" s="296">
        <v>43</v>
      </c>
      <c r="G83" s="296">
        <v>29</v>
      </c>
      <c r="H83" s="296">
        <v>72</v>
      </c>
      <c r="J83" s="296">
        <v>60.8</v>
      </c>
      <c r="K83" s="296">
        <v>40.5</v>
      </c>
      <c r="L83" s="296">
        <v>101.3</v>
      </c>
      <c r="M83" s="296"/>
    </row>
    <row r="84" spans="1:13" ht="11.25" customHeight="1" x14ac:dyDescent="0.2">
      <c r="A84" s="283" t="s">
        <v>562</v>
      </c>
      <c r="B84" s="296">
        <v>104.9</v>
      </c>
      <c r="C84" s="296">
        <v>124.1</v>
      </c>
      <c r="D84" s="296">
        <v>229</v>
      </c>
      <c r="F84" s="296">
        <v>70.2</v>
      </c>
      <c r="G84" s="296">
        <v>98.4</v>
      </c>
      <c r="H84" s="296">
        <v>168.6</v>
      </c>
      <c r="J84" s="296">
        <v>102.3</v>
      </c>
      <c r="K84" s="296">
        <v>122.7</v>
      </c>
      <c r="L84" s="296">
        <v>225</v>
      </c>
      <c r="M84" s="296"/>
    </row>
    <row r="85" spans="1:13" ht="11.25" customHeight="1" x14ac:dyDescent="0.2">
      <c r="A85" s="283" t="s">
        <v>563</v>
      </c>
      <c r="B85" s="296">
        <v>23.2</v>
      </c>
      <c r="C85" s="296">
        <v>21.2</v>
      </c>
      <c r="D85" s="296">
        <v>44.5</v>
      </c>
      <c r="F85" s="296">
        <v>17.5</v>
      </c>
      <c r="G85" s="296">
        <v>17.100000000000001</v>
      </c>
      <c r="H85" s="296">
        <v>34.6</v>
      </c>
      <c r="J85" s="296">
        <v>22.7</v>
      </c>
      <c r="K85" s="296">
        <v>20.8</v>
      </c>
      <c r="L85" s="296">
        <v>43.5</v>
      </c>
      <c r="M85" s="296"/>
    </row>
    <row r="86" spans="1:13" ht="11.25" customHeight="1" x14ac:dyDescent="0.2">
      <c r="A86" s="283" t="s">
        <v>564</v>
      </c>
      <c r="B86" s="296">
        <v>15.8</v>
      </c>
      <c r="C86" s="296">
        <v>17.100000000000001</v>
      </c>
      <c r="D86" s="296">
        <v>32.9</v>
      </c>
      <c r="F86" s="296">
        <v>8.4</v>
      </c>
      <c r="G86" s="296">
        <v>11.9</v>
      </c>
      <c r="H86" s="296">
        <v>20.3</v>
      </c>
      <c r="J86" s="296">
        <v>15.5</v>
      </c>
      <c r="K86" s="296">
        <v>16.899999999999999</v>
      </c>
      <c r="L86" s="296">
        <v>32.5</v>
      </c>
      <c r="M86" s="296"/>
    </row>
    <row r="87" spans="1:13" ht="11.25" customHeight="1" x14ac:dyDescent="0.2">
      <c r="A87" s="292"/>
      <c r="B87" s="292"/>
      <c r="C87" s="292"/>
      <c r="D87" s="292"/>
      <c r="E87" s="292"/>
      <c r="F87" s="292"/>
      <c r="G87" s="292"/>
      <c r="H87" s="292"/>
      <c r="I87" s="292"/>
      <c r="J87" s="292"/>
      <c r="K87" s="292"/>
      <c r="L87" s="292"/>
    </row>
    <row r="88" spans="1:13" ht="11.25" customHeight="1" x14ac:dyDescent="0.2">
      <c r="A88" s="294"/>
      <c r="B88" s="307"/>
      <c r="C88" s="307"/>
      <c r="D88" s="307"/>
      <c r="E88" s="307"/>
      <c r="F88" s="307"/>
      <c r="G88" s="307"/>
      <c r="H88" s="307"/>
      <c r="I88" s="307"/>
      <c r="J88" s="307"/>
      <c r="K88" s="307"/>
      <c r="L88" s="140" t="s">
        <v>393</v>
      </c>
    </row>
    <row r="89" spans="1:13" ht="22.5" customHeight="1" x14ac:dyDescent="0.2">
      <c r="A89" s="463" t="s">
        <v>565</v>
      </c>
      <c r="B89" s="463"/>
      <c r="C89" s="463"/>
      <c r="D89" s="463"/>
      <c r="E89" s="463"/>
      <c r="F89" s="463"/>
      <c r="G89" s="464"/>
      <c r="H89" s="464"/>
      <c r="I89" s="464"/>
      <c r="J89" s="464"/>
      <c r="K89" s="464"/>
      <c r="L89" s="464"/>
    </row>
    <row r="90" spans="1:13" ht="11.25" customHeight="1" x14ac:dyDescent="0.2">
      <c r="A90" s="466" t="s">
        <v>566</v>
      </c>
      <c r="B90" s="466"/>
      <c r="C90" s="466"/>
      <c r="D90" s="466"/>
      <c r="E90" s="466"/>
      <c r="F90" s="467"/>
      <c r="G90" s="308"/>
      <c r="H90" s="308"/>
      <c r="I90" s="308"/>
      <c r="J90" s="308"/>
      <c r="K90" s="308"/>
      <c r="L90" s="308"/>
    </row>
    <row r="91" spans="1:13" ht="11.25" customHeight="1" x14ac:dyDescent="0.2">
      <c r="A91" s="466" t="s">
        <v>567</v>
      </c>
      <c r="B91" s="466"/>
      <c r="C91" s="466"/>
      <c r="D91" s="466"/>
      <c r="E91" s="466"/>
      <c r="F91" s="466"/>
      <c r="G91" s="466"/>
      <c r="H91" s="466"/>
      <c r="I91" s="466"/>
      <c r="J91" s="466"/>
      <c r="K91" s="466"/>
      <c r="L91" s="466"/>
    </row>
    <row r="92" spans="1:13" ht="11.25" customHeight="1" x14ac:dyDescent="0.2">
      <c r="A92" s="466" t="s">
        <v>568</v>
      </c>
      <c r="B92" s="466"/>
      <c r="C92" s="466"/>
      <c r="D92" s="466"/>
      <c r="E92" s="466"/>
      <c r="F92" s="466"/>
      <c r="G92" s="466"/>
      <c r="H92" s="466"/>
      <c r="I92" s="466"/>
      <c r="J92" s="466"/>
      <c r="K92" s="466"/>
      <c r="L92" s="466"/>
    </row>
    <row r="93" spans="1:13" ht="11.25" customHeight="1" x14ac:dyDescent="0.2">
      <c r="A93" s="468" t="s">
        <v>569</v>
      </c>
      <c r="B93" s="468"/>
      <c r="C93" s="468"/>
      <c r="D93" s="308"/>
      <c r="E93" s="308"/>
      <c r="F93" s="308"/>
      <c r="G93" s="308"/>
      <c r="H93" s="308"/>
      <c r="I93" s="308"/>
      <c r="J93" s="308"/>
      <c r="K93" s="308"/>
      <c r="L93" s="308"/>
    </row>
    <row r="94" spans="1:13" x14ac:dyDescent="0.2">
      <c r="A94" s="466" t="s">
        <v>570</v>
      </c>
      <c r="B94" s="466"/>
      <c r="C94" s="466"/>
      <c r="D94" s="466"/>
      <c r="E94" s="466"/>
      <c r="F94" s="466"/>
      <c r="G94" s="308"/>
      <c r="H94" s="308"/>
      <c r="I94" s="308"/>
      <c r="J94" s="308"/>
      <c r="K94" s="308"/>
      <c r="L94" s="308"/>
    </row>
    <row r="95" spans="1:13" x14ac:dyDescent="0.2">
      <c r="A95" s="466" t="s">
        <v>571</v>
      </c>
      <c r="B95" s="466"/>
      <c r="C95" s="466"/>
      <c r="D95" s="466"/>
      <c r="E95" s="466"/>
      <c r="F95" s="466"/>
      <c r="G95" s="466"/>
      <c r="H95" s="466"/>
      <c r="I95" s="466"/>
      <c r="J95" s="466"/>
      <c r="K95" s="466"/>
      <c r="L95" s="308"/>
    </row>
    <row r="96" spans="1:13" ht="11.25" customHeight="1" x14ac:dyDescent="0.2"/>
    <row r="97" spans="1:12" ht="11.25" customHeight="1" x14ac:dyDescent="0.2">
      <c r="A97" s="3" t="s">
        <v>349</v>
      </c>
    </row>
    <row r="98" spans="1:12" ht="11.25" customHeight="1" x14ac:dyDescent="0.2"/>
    <row r="99" spans="1:12" ht="22.5" customHeight="1" x14ac:dyDescent="0.2">
      <c r="A99" s="465" t="s">
        <v>572</v>
      </c>
      <c r="B99" s="465"/>
      <c r="C99" s="465"/>
      <c r="D99" s="465"/>
      <c r="E99" s="465"/>
      <c r="F99" s="465"/>
      <c r="G99" s="465"/>
      <c r="H99" s="465"/>
      <c r="I99" s="465"/>
      <c r="J99" s="465"/>
      <c r="K99" s="465"/>
      <c r="L99" s="465"/>
    </row>
  </sheetData>
  <mergeCells count="13">
    <mergeCell ref="A99:L99"/>
    <mergeCell ref="A90:F90"/>
    <mergeCell ref="A91:L91"/>
    <mergeCell ref="A92:L92"/>
    <mergeCell ref="A93:C93"/>
    <mergeCell ref="A94:F94"/>
    <mergeCell ref="A95:K95"/>
    <mergeCell ref="A1:L1"/>
    <mergeCell ref="A2:B2"/>
    <mergeCell ref="B5:D5"/>
    <mergeCell ref="F5:H5"/>
    <mergeCell ref="J5:L5"/>
    <mergeCell ref="A89:L89"/>
  </mergeCells>
  <conditionalFormatting sqref="B45:L45 B73:L79 B81:L86">
    <cfRule type="cellIs" dxfId="18" priority="3" stopIfTrue="1" operator="equal">
      <formula>"LOW"</formula>
    </cfRule>
    <cfRule type="cellIs" dxfId="17" priority="4" stopIfTrue="1" operator="equal">
      <formula>"HIGH"</formula>
    </cfRule>
  </conditionalFormatting>
  <pageMargins left="0.74803149606299213" right="0.74803149606299213" top="0.98425196850393704" bottom="0.98425196850393704" header="0.51181102362204722" footer="0.51181102362204722"/>
  <pageSetup paperSize="9" scale="8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A94D6-3581-44C4-B40B-819E38467605}">
  <sheetPr>
    <tabColor indexed="26"/>
  </sheetPr>
  <dimension ref="A1:M99"/>
  <sheetViews>
    <sheetView showGridLines="0" zoomScaleNormal="100" workbookViewId="0">
      <selection sqref="A1:L1"/>
    </sheetView>
  </sheetViews>
  <sheetFormatPr defaultRowHeight="11.25" x14ac:dyDescent="0.2"/>
  <cols>
    <col min="1" max="1" width="30.140625" style="283" customWidth="1"/>
    <col min="2" max="3" width="8.7109375" style="308" customWidth="1"/>
    <col min="4" max="4" width="8.85546875" style="308" customWidth="1"/>
    <col min="5" max="5" width="1.7109375" style="308" customWidth="1"/>
    <col min="6" max="7" width="7.42578125" style="308" customWidth="1"/>
    <col min="8" max="8" width="8.140625" style="308" customWidth="1"/>
    <col min="9" max="9" width="1.7109375" style="308" customWidth="1"/>
    <col min="10" max="11" width="7.7109375" style="308" customWidth="1"/>
    <col min="12" max="12" width="8.28515625" style="308" customWidth="1"/>
    <col min="13" max="256" width="11.42578125" style="283" customWidth="1"/>
    <col min="257" max="16384" width="9.140625" style="283"/>
  </cols>
  <sheetData>
    <row r="1" spans="1:12" ht="26.25" customHeight="1" x14ac:dyDescent="0.2">
      <c r="A1" s="469" t="s">
        <v>573</v>
      </c>
      <c r="B1" s="469"/>
      <c r="C1" s="469"/>
      <c r="D1" s="469"/>
      <c r="E1" s="469"/>
      <c r="F1" s="469"/>
      <c r="G1" s="469"/>
      <c r="H1" s="469"/>
      <c r="I1" s="469"/>
      <c r="J1" s="469"/>
      <c r="K1" s="469"/>
      <c r="L1" s="469"/>
    </row>
    <row r="2" spans="1:12" ht="13.5" customHeight="1" x14ac:dyDescent="0.2">
      <c r="A2" s="461" t="s">
        <v>394</v>
      </c>
      <c r="B2" s="461"/>
    </row>
    <row r="3" spans="1:12" ht="12.75" customHeight="1" x14ac:dyDescent="0.2">
      <c r="A3" s="1" t="s">
        <v>9</v>
      </c>
    </row>
    <row r="4" spans="1:12" ht="11.25" customHeight="1" x14ac:dyDescent="0.2">
      <c r="A4" s="285"/>
      <c r="C4" s="310" t="s">
        <v>574</v>
      </c>
      <c r="D4" s="470" t="s">
        <v>575</v>
      </c>
      <c r="E4" s="470"/>
      <c r="F4" s="470"/>
      <c r="G4" s="470"/>
      <c r="H4" s="470"/>
      <c r="I4" s="470"/>
      <c r="J4" s="470"/>
      <c r="K4" s="470"/>
      <c r="L4" s="470"/>
    </row>
    <row r="5" spans="1:12" s="291" customFormat="1" ht="11.25" customHeight="1" x14ac:dyDescent="0.2">
      <c r="A5" s="288"/>
      <c r="B5" s="462" t="s">
        <v>493</v>
      </c>
      <c r="C5" s="462"/>
      <c r="D5" s="462"/>
      <c r="E5" s="312"/>
      <c r="F5" s="462" t="s">
        <v>494</v>
      </c>
      <c r="G5" s="462"/>
      <c r="H5" s="462"/>
      <c r="I5" s="312"/>
      <c r="J5" s="462" t="s">
        <v>495</v>
      </c>
      <c r="K5" s="462"/>
      <c r="L5" s="462"/>
    </row>
    <row r="6" spans="1:12" ht="11.25" customHeight="1" x14ac:dyDescent="0.2">
      <c r="B6" s="313" t="s">
        <v>10</v>
      </c>
      <c r="C6" s="313" t="s">
        <v>11</v>
      </c>
      <c r="D6" s="313" t="s">
        <v>496</v>
      </c>
      <c r="E6" s="310"/>
      <c r="F6" s="313" t="s">
        <v>10</v>
      </c>
      <c r="G6" s="313" t="s">
        <v>11</v>
      </c>
      <c r="H6" s="313" t="s">
        <v>496</v>
      </c>
      <c r="I6" s="310"/>
      <c r="J6" s="313" t="s">
        <v>10</v>
      </c>
      <c r="K6" s="313" t="s">
        <v>11</v>
      </c>
      <c r="L6" s="313" t="s">
        <v>496</v>
      </c>
    </row>
    <row r="7" spans="1:12" ht="11.25" customHeight="1" x14ac:dyDescent="0.2">
      <c r="A7" s="314"/>
      <c r="B7" s="315"/>
      <c r="C7" s="315"/>
      <c r="D7" s="315"/>
      <c r="E7" s="315"/>
      <c r="F7" s="315"/>
      <c r="G7" s="315"/>
      <c r="H7" s="315"/>
      <c r="I7" s="315"/>
      <c r="J7" s="315"/>
      <c r="K7" s="315"/>
      <c r="L7" s="315"/>
    </row>
    <row r="8" spans="1:12" ht="11.25" customHeight="1" x14ac:dyDescent="0.2">
      <c r="A8" s="283" t="s">
        <v>497</v>
      </c>
      <c r="B8" s="296">
        <v>314.8</v>
      </c>
      <c r="C8" s="296">
        <v>304.89999999999998</v>
      </c>
      <c r="D8" s="296">
        <v>619.6</v>
      </c>
      <c r="E8" s="286"/>
      <c r="F8" s="306">
        <v>82</v>
      </c>
      <c r="G8" s="306">
        <v>88</v>
      </c>
      <c r="H8" s="306">
        <v>85</v>
      </c>
      <c r="J8" s="306">
        <v>99</v>
      </c>
      <c r="K8" s="306">
        <v>99</v>
      </c>
      <c r="L8" s="306">
        <v>99</v>
      </c>
    </row>
    <row r="9" spans="1:12" ht="11.25" customHeight="1" x14ac:dyDescent="0.2"/>
    <row r="10" spans="1:12" ht="11.25" customHeight="1" x14ac:dyDescent="0.2">
      <c r="A10" s="283" t="s">
        <v>498</v>
      </c>
      <c r="B10" s="296">
        <v>269.10000000000002</v>
      </c>
      <c r="C10" s="296">
        <v>270.3</v>
      </c>
      <c r="D10" s="296">
        <v>539.29999999999995</v>
      </c>
      <c r="E10" s="286"/>
      <c r="F10" s="306">
        <v>59</v>
      </c>
      <c r="G10" s="306">
        <v>69</v>
      </c>
      <c r="H10" s="306">
        <v>64</v>
      </c>
      <c r="J10" s="306">
        <v>98</v>
      </c>
      <c r="K10" s="306">
        <v>99</v>
      </c>
      <c r="L10" s="306">
        <v>98</v>
      </c>
    </row>
    <row r="11" spans="1:12" ht="11.25" customHeight="1" x14ac:dyDescent="0.2">
      <c r="A11" s="283" t="s">
        <v>499</v>
      </c>
      <c r="B11" s="296">
        <v>232.6</v>
      </c>
      <c r="C11" s="296">
        <v>234.2</v>
      </c>
      <c r="D11" s="296">
        <v>466.9</v>
      </c>
      <c r="E11" s="286"/>
      <c r="F11" s="306">
        <v>69</v>
      </c>
      <c r="G11" s="306">
        <v>72</v>
      </c>
      <c r="H11" s="306">
        <v>70</v>
      </c>
      <c r="J11" s="306">
        <v>99</v>
      </c>
      <c r="K11" s="306">
        <v>99</v>
      </c>
      <c r="L11" s="306">
        <v>99</v>
      </c>
    </row>
    <row r="12" spans="1:12" ht="11.25" customHeight="1" x14ac:dyDescent="0.2">
      <c r="A12" s="283" t="s">
        <v>500</v>
      </c>
      <c r="B12" s="296">
        <v>215.6</v>
      </c>
      <c r="C12" s="296">
        <v>221.7</v>
      </c>
      <c r="D12" s="296">
        <v>437.4</v>
      </c>
      <c r="E12" s="286"/>
      <c r="F12" s="306">
        <v>62</v>
      </c>
      <c r="G12" s="306">
        <v>71</v>
      </c>
      <c r="H12" s="306">
        <v>66</v>
      </c>
      <c r="J12" s="306">
        <v>99</v>
      </c>
      <c r="K12" s="306">
        <v>99</v>
      </c>
      <c r="L12" s="306">
        <v>99</v>
      </c>
    </row>
    <row r="13" spans="1:12" s="299" customFormat="1" ht="11.25" customHeight="1" x14ac:dyDescent="0.2">
      <c r="A13" s="298"/>
    </row>
    <row r="14" spans="1:12" ht="11.25" customHeight="1" x14ac:dyDescent="0.2">
      <c r="A14" s="283" t="s">
        <v>501</v>
      </c>
      <c r="B14" s="296">
        <v>274.7</v>
      </c>
      <c r="C14" s="296">
        <v>276.10000000000002</v>
      </c>
      <c r="D14" s="296">
        <v>550.79999999999995</v>
      </c>
      <c r="E14" s="286"/>
      <c r="F14" s="306">
        <v>63</v>
      </c>
      <c r="G14" s="306">
        <v>78</v>
      </c>
      <c r="H14" s="306">
        <v>71</v>
      </c>
      <c r="J14" s="306">
        <v>99</v>
      </c>
      <c r="K14" s="306">
        <v>100</v>
      </c>
      <c r="L14" s="306">
        <v>99</v>
      </c>
    </row>
    <row r="15" spans="1:12" ht="11.25" customHeight="1" x14ac:dyDescent="0.2">
      <c r="A15" s="301" t="s">
        <v>7</v>
      </c>
      <c r="B15" s="296">
        <v>86.9</v>
      </c>
      <c r="C15" s="296">
        <v>59.7</v>
      </c>
      <c r="D15" s="296">
        <v>146.6</v>
      </c>
      <c r="E15" s="286"/>
      <c r="F15" s="306">
        <v>33</v>
      </c>
      <c r="G15" s="306">
        <v>45</v>
      </c>
      <c r="H15" s="306">
        <v>38</v>
      </c>
      <c r="J15" s="306">
        <v>98</v>
      </c>
      <c r="K15" s="306">
        <v>99</v>
      </c>
      <c r="L15" s="306">
        <v>98</v>
      </c>
    </row>
    <row r="16" spans="1:12" ht="11.25" customHeight="1" x14ac:dyDescent="0.2">
      <c r="A16" s="301" t="s">
        <v>502</v>
      </c>
      <c r="B16" s="296">
        <v>187.8</v>
      </c>
      <c r="C16" s="296">
        <v>216.4</v>
      </c>
      <c r="D16" s="296">
        <v>404.2</v>
      </c>
      <c r="E16" s="286"/>
      <c r="F16" s="306">
        <v>77</v>
      </c>
      <c r="G16" s="306">
        <v>87</v>
      </c>
      <c r="H16" s="306">
        <v>83</v>
      </c>
      <c r="J16" s="306">
        <v>100</v>
      </c>
      <c r="K16" s="306">
        <v>100</v>
      </c>
      <c r="L16" s="306">
        <v>100</v>
      </c>
    </row>
    <row r="17" spans="1:13" ht="11.25" customHeight="1" x14ac:dyDescent="0.2">
      <c r="A17" s="301"/>
      <c r="B17" s="296"/>
      <c r="C17" s="296"/>
      <c r="D17" s="296"/>
      <c r="E17" s="286"/>
      <c r="F17" s="306"/>
      <c r="G17" s="306"/>
      <c r="H17" s="306"/>
      <c r="J17" s="306"/>
      <c r="K17" s="306"/>
      <c r="L17" s="306"/>
    </row>
    <row r="18" spans="1:13" ht="11.25" customHeight="1" x14ac:dyDescent="0.2">
      <c r="A18" s="283" t="s">
        <v>8</v>
      </c>
      <c r="B18" s="296">
        <v>297.3</v>
      </c>
      <c r="C18" s="296">
        <v>290.5</v>
      </c>
      <c r="D18" s="296">
        <v>587.79999999999995</v>
      </c>
      <c r="E18" s="286"/>
      <c r="F18" s="306">
        <v>72</v>
      </c>
      <c r="G18" s="306">
        <v>73</v>
      </c>
      <c r="H18" s="306">
        <v>73</v>
      </c>
      <c r="J18" s="306">
        <v>98</v>
      </c>
      <c r="K18" s="306">
        <v>98</v>
      </c>
      <c r="L18" s="306">
        <v>98</v>
      </c>
    </row>
    <row r="19" spans="1:13" ht="11.25" customHeight="1" x14ac:dyDescent="0.2"/>
    <row r="20" spans="1:13" ht="11.25" customHeight="1" x14ac:dyDescent="0.2">
      <c r="A20" s="283" t="s">
        <v>503</v>
      </c>
      <c r="B20" s="296">
        <v>239.4</v>
      </c>
      <c r="C20" s="296">
        <v>240.9</v>
      </c>
      <c r="D20" s="296">
        <v>480.3</v>
      </c>
      <c r="E20" s="286"/>
      <c r="F20" s="306">
        <v>71</v>
      </c>
      <c r="G20" s="306">
        <v>76</v>
      </c>
      <c r="H20" s="306">
        <v>73</v>
      </c>
      <c r="J20" s="306">
        <v>99</v>
      </c>
      <c r="K20" s="306">
        <v>99</v>
      </c>
      <c r="L20" s="306">
        <v>99</v>
      </c>
      <c r="M20" s="299"/>
    </row>
    <row r="21" spans="1:13" ht="11.25" customHeight="1" x14ac:dyDescent="0.2">
      <c r="A21" s="283" t="s">
        <v>504</v>
      </c>
      <c r="B21" s="296">
        <v>158.4</v>
      </c>
      <c r="C21" s="296">
        <v>163.6</v>
      </c>
      <c r="D21" s="296">
        <v>322</v>
      </c>
      <c r="E21" s="286"/>
      <c r="F21" s="306">
        <v>57</v>
      </c>
      <c r="G21" s="306">
        <v>63</v>
      </c>
      <c r="H21" s="306">
        <v>60</v>
      </c>
      <c r="J21" s="306">
        <v>98</v>
      </c>
      <c r="K21" s="306">
        <v>99</v>
      </c>
      <c r="L21" s="306">
        <v>99</v>
      </c>
    </row>
    <row r="22" spans="1:13" ht="11.25" customHeight="1" x14ac:dyDescent="0.2">
      <c r="A22" s="283" t="s">
        <v>505</v>
      </c>
      <c r="B22" s="296">
        <v>119.6</v>
      </c>
      <c r="C22" s="296">
        <v>128.9</v>
      </c>
      <c r="D22" s="296">
        <v>248.5</v>
      </c>
      <c r="E22" s="286"/>
      <c r="F22" s="306">
        <v>62</v>
      </c>
      <c r="G22" s="306">
        <v>68</v>
      </c>
      <c r="H22" s="306">
        <v>65</v>
      </c>
      <c r="J22" s="306">
        <v>99</v>
      </c>
      <c r="K22" s="306">
        <v>99</v>
      </c>
      <c r="L22" s="306">
        <v>99</v>
      </c>
    </row>
    <row r="23" spans="1:13" ht="11.25" customHeight="1" x14ac:dyDescent="0.2">
      <c r="A23" s="283" t="s">
        <v>506</v>
      </c>
      <c r="B23" s="296">
        <v>5.7</v>
      </c>
      <c r="C23" s="296">
        <v>6.1</v>
      </c>
      <c r="D23" s="296">
        <v>11.8</v>
      </c>
      <c r="E23" s="286"/>
      <c r="F23" s="306">
        <v>27</v>
      </c>
      <c r="G23" s="306">
        <v>38</v>
      </c>
      <c r="H23" s="306">
        <v>33</v>
      </c>
      <c r="J23" s="306">
        <v>96</v>
      </c>
      <c r="K23" s="306">
        <v>98</v>
      </c>
      <c r="L23" s="306">
        <v>97</v>
      </c>
    </row>
    <row r="24" spans="1:13" ht="11.25" customHeight="1" x14ac:dyDescent="0.2">
      <c r="A24" s="283" t="s">
        <v>507</v>
      </c>
      <c r="B24" s="296">
        <v>76.2</v>
      </c>
      <c r="C24" s="296">
        <v>73.2</v>
      </c>
      <c r="D24" s="296">
        <v>149.4</v>
      </c>
      <c r="E24" s="286"/>
      <c r="F24" s="306">
        <v>91</v>
      </c>
      <c r="G24" s="306">
        <v>92</v>
      </c>
      <c r="H24" s="306">
        <v>91</v>
      </c>
      <c r="J24" s="306">
        <v>100</v>
      </c>
      <c r="K24" s="306">
        <v>100</v>
      </c>
      <c r="L24" s="306">
        <v>100</v>
      </c>
    </row>
    <row r="25" spans="1:13" ht="11.25" customHeight="1" x14ac:dyDescent="0.2">
      <c r="A25" s="283" t="s">
        <v>508</v>
      </c>
      <c r="B25" s="296">
        <v>77.099999999999994</v>
      </c>
      <c r="C25" s="296">
        <v>73.599999999999994</v>
      </c>
      <c r="D25" s="296">
        <v>150.80000000000001</v>
      </c>
      <c r="E25" s="286"/>
      <c r="F25" s="306">
        <v>90</v>
      </c>
      <c r="G25" s="306">
        <v>92</v>
      </c>
      <c r="H25" s="306">
        <v>91</v>
      </c>
      <c r="J25" s="306">
        <v>100</v>
      </c>
      <c r="K25" s="306">
        <v>100</v>
      </c>
      <c r="L25" s="306">
        <v>100</v>
      </c>
    </row>
    <row r="26" spans="1:13" ht="12" customHeight="1" x14ac:dyDescent="0.2">
      <c r="A26" s="283" t="s">
        <v>509</v>
      </c>
      <c r="B26" s="296">
        <v>77.7</v>
      </c>
      <c r="C26" s="296">
        <v>74.8</v>
      </c>
      <c r="D26" s="296">
        <v>152.4</v>
      </c>
      <c r="E26" s="286"/>
      <c r="F26" s="306">
        <v>90</v>
      </c>
      <c r="G26" s="306">
        <v>93</v>
      </c>
      <c r="H26" s="306">
        <v>92</v>
      </c>
      <c r="J26" s="306">
        <v>100</v>
      </c>
      <c r="K26" s="306">
        <v>100</v>
      </c>
      <c r="L26" s="306">
        <v>100</v>
      </c>
    </row>
    <row r="27" spans="1:13" ht="11.25" customHeight="1" x14ac:dyDescent="0.2">
      <c r="A27" s="283" t="s">
        <v>510</v>
      </c>
      <c r="B27" s="296">
        <v>4.2</v>
      </c>
      <c r="C27" s="296">
        <v>2.5</v>
      </c>
      <c r="D27" s="296">
        <v>6.7</v>
      </c>
      <c r="E27" s="286"/>
      <c r="F27" s="306">
        <v>63</v>
      </c>
      <c r="G27" s="306">
        <v>58</v>
      </c>
      <c r="H27" s="306">
        <v>61</v>
      </c>
      <c r="J27" s="306">
        <v>97</v>
      </c>
      <c r="K27" s="306">
        <v>98</v>
      </c>
      <c r="L27" s="306">
        <v>97</v>
      </c>
    </row>
    <row r="28" spans="1:13" ht="11.25" customHeight="1" x14ac:dyDescent="0.2">
      <c r="B28" s="296"/>
      <c r="C28" s="296"/>
      <c r="D28" s="296"/>
      <c r="E28" s="286"/>
      <c r="F28" s="306"/>
      <c r="G28" s="306"/>
      <c r="H28" s="306"/>
      <c r="J28" s="306"/>
      <c r="K28" s="306"/>
      <c r="L28" s="306"/>
    </row>
    <row r="29" spans="1:13" ht="11.25" customHeight="1" x14ac:dyDescent="0.2">
      <c r="A29" s="283" t="s">
        <v>511</v>
      </c>
      <c r="B29" s="296">
        <v>111.7</v>
      </c>
      <c r="C29" s="296">
        <v>84.1</v>
      </c>
      <c r="D29" s="296">
        <v>195.8</v>
      </c>
      <c r="E29" s="286"/>
      <c r="F29" s="306">
        <v>56</v>
      </c>
      <c r="G29" s="306">
        <v>73</v>
      </c>
      <c r="H29" s="306">
        <v>63</v>
      </c>
      <c r="J29" s="306">
        <v>98</v>
      </c>
      <c r="K29" s="306">
        <v>99</v>
      </c>
      <c r="L29" s="306">
        <v>98</v>
      </c>
    </row>
    <row r="30" spans="1:13" ht="11.25" customHeight="1" x14ac:dyDescent="0.2">
      <c r="A30" s="283" t="s">
        <v>512</v>
      </c>
      <c r="B30" s="296">
        <v>7.9</v>
      </c>
      <c r="C30" s="296">
        <v>0.6</v>
      </c>
      <c r="D30" s="296">
        <v>8.5</v>
      </c>
      <c r="E30" s="286"/>
      <c r="F30" s="306">
        <v>64</v>
      </c>
      <c r="G30" s="306">
        <v>82</v>
      </c>
      <c r="H30" s="306">
        <v>65</v>
      </c>
      <c r="J30" s="306">
        <v>97</v>
      </c>
      <c r="K30" s="306">
        <v>99</v>
      </c>
      <c r="L30" s="306">
        <v>98</v>
      </c>
    </row>
    <row r="31" spans="1:13" ht="11.25" customHeight="1" x14ac:dyDescent="0.2">
      <c r="A31" s="283" t="s">
        <v>513</v>
      </c>
      <c r="B31" s="296">
        <v>16.100000000000001</v>
      </c>
      <c r="C31" s="296">
        <v>27.3</v>
      </c>
      <c r="D31" s="296">
        <v>43.4</v>
      </c>
      <c r="E31" s="286"/>
      <c r="F31" s="306">
        <v>49</v>
      </c>
      <c r="G31" s="306">
        <v>71</v>
      </c>
      <c r="H31" s="306">
        <v>63</v>
      </c>
      <c r="J31" s="306">
        <v>98</v>
      </c>
      <c r="K31" s="306">
        <v>99</v>
      </c>
      <c r="L31" s="306">
        <v>99</v>
      </c>
    </row>
    <row r="32" spans="1:13" ht="11.25" customHeight="1" x14ac:dyDescent="0.2">
      <c r="A32" s="283" t="s">
        <v>514</v>
      </c>
      <c r="B32" s="296">
        <v>22.2</v>
      </c>
      <c r="C32" s="296">
        <v>14</v>
      </c>
      <c r="D32" s="296">
        <v>36.200000000000003</v>
      </c>
      <c r="E32" s="286"/>
      <c r="F32" s="306">
        <v>51</v>
      </c>
      <c r="G32" s="306">
        <v>72</v>
      </c>
      <c r="H32" s="306">
        <v>59</v>
      </c>
      <c r="J32" s="306">
        <v>97</v>
      </c>
      <c r="K32" s="306">
        <v>99</v>
      </c>
      <c r="L32" s="306">
        <v>97</v>
      </c>
    </row>
    <row r="33" spans="1:12" ht="12" customHeight="1" x14ac:dyDescent="0.2">
      <c r="A33" s="283" t="s">
        <v>515</v>
      </c>
      <c r="B33" s="296">
        <v>44.9</v>
      </c>
      <c r="C33" s="296">
        <v>7.6</v>
      </c>
      <c r="D33" s="296">
        <v>52.4</v>
      </c>
      <c r="E33" s="286"/>
      <c r="F33" s="306">
        <v>56</v>
      </c>
      <c r="G33" s="306">
        <v>73</v>
      </c>
      <c r="H33" s="306">
        <v>59</v>
      </c>
      <c r="J33" s="306">
        <v>98</v>
      </c>
      <c r="K33" s="306">
        <v>99</v>
      </c>
      <c r="L33" s="306">
        <v>98</v>
      </c>
    </row>
    <row r="34" spans="1:12" ht="12" customHeight="1" x14ac:dyDescent="0.2">
      <c r="A34" s="283" t="s">
        <v>516</v>
      </c>
      <c r="B34" s="296">
        <v>3.3</v>
      </c>
      <c r="C34" s="296">
        <v>0.2</v>
      </c>
      <c r="D34" s="296">
        <v>3.5</v>
      </c>
      <c r="E34" s="286"/>
      <c r="F34" s="306">
        <v>63</v>
      </c>
      <c r="G34" s="306">
        <v>79</v>
      </c>
      <c r="H34" s="306">
        <v>64</v>
      </c>
      <c r="J34" s="306">
        <v>98</v>
      </c>
      <c r="K34" s="306">
        <v>100</v>
      </c>
      <c r="L34" s="306">
        <v>99</v>
      </c>
    </row>
    <row r="35" spans="1:12" ht="11.25" customHeight="1" x14ac:dyDescent="0.2">
      <c r="A35" s="283" t="s">
        <v>517</v>
      </c>
      <c r="B35" s="296">
        <v>0.8</v>
      </c>
      <c r="C35" s="296">
        <v>27</v>
      </c>
      <c r="D35" s="296">
        <v>27.8</v>
      </c>
      <c r="E35" s="286"/>
      <c r="F35" s="306">
        <v>39</v>
      </c>
      <c r="G35" s="306">
        <v>75</v>
      </c>
      <c r="H35" s="306">
        <v>74</v>
      </c>
      <c r="J35" s="306">
        <v>96</v>
      </c>
      <c r="K35" s="306">
        <v>99</v>
      </c>
      <c r="L35" s="306">
        <v>99</v>
      </c>
    </row>
    <row r="36" spans="1:12" ht="11.25" customHeight="1" x14ac:dyDescent="0.2">
      <c r="A36" s="283" t="s">
        <v>518</v>
      </c>
      <c r="B36" s="296">
        <v>23.4</v>
      </c>
      <c r="C36" s="296">
        <v>10.4</v>
      </c>
      <c r="D36" s="296">
        <v>33.799999999999997</v>
      </c>
      <c r="E36" s="286"/>
      <c r="F36" s="306">
        <v>54</v>
      </c>
      <c r="G36" s="306">
        <v>72</v>
      </c>
      <c r="H36" s="306">
        <v>59</v>
      </c>
      <c r="J36" s="306">
        <v>98</v>
      </c>
      <c r="K36" s="306">
        <v>99</v>
      </c>
      <c r="L36" s="306">
        <v>98</v>
      </c>
    </row>
    <row r="37" spans="1:12" ht="11.25" customHeight="1" x14ac:dyDescent="0.2">
      <c r="A37" s="302" t="s">
        <v>519</v>
      </c>
      <c r="B37" s="296">
        <v>2</v>
      </c>
      <c r="C37" s="296">
        <v>0.2</v>
      </c>
      <c r="D37" s="296">
        <v>2.1</v>
      </c>
      <c r="E37" s="286"/>
      <c r="F37" s="306">
        <v>41</v>
      </c>
      <c r="G37" s="306">
        <v>63</v>
      </c>
      <c r="H37" s="306">
        <v>43</v>
      </c>
      <c r="J37" s="306">
        <v>97</v>
      </c>
      <c r="K37" s="306">
        <v>99</v>
      </c>
      <c r="L37" s="306">
        <v>98</v>
      </c>
    </row>
    <row r="38" spans="1:12" ht="11.25" customHeight="1" x14ac:dyDescent="0.2">
      <c r="A38" s="283" t="s">
        <v>520</v>
      </c>
      <c r="B38" s="296">
        <v>33.200000000000003</v>
      </c>
      <c r="C38" s="296">
        <v>24.3</v>
      </c>
      <c r="D38" s="296">
        <v>57.5</v>
      </c>
      <c r="E38" s="286"/>
      <c r="F38" s="306">
        <v>70</v>
      </c>
      <c r="G38" s="306">
        <v>77</v>
      </c>
      <c r="H38" s="306">
        <v>73</v>
      </c>
      <c r="J38" s="306">
        <v>98</v>
      </c>
      <c r="K38" s="306">
        <v>99</v>
      </c>
      <c r="L38" s="306">
        <v>98</v>
      </c>
    </row>
    <row r="39" spans="1:12" ht="11.25" customHeight="1" x14ac:dyDescent="0.2">
      <c r="A39" s="283" t="s">
        <v>521</v>
      </c>
      <c r="B39" s="296">
        <v>38.4</v>
      </c>
      <c r="C39" s="296">
        <v>26.1</v>
      </c>
      <c r="D39" s="296">
        <v>64.400000000000006</v>
      </c>
      <c r="E39" s="286"/>
      <c r="F39" s="306">
        <v>66</v>
      </c>
      <c r="G39" s="306">
        <v>70</v>
      </c>
      <c r="H39" s="306">
        <v>68</v>
      </c>
      <c r="J39" s="306">
        <v>99</v>
      </c>
      <c r="K39" s="306">
        <v>99</v>
      </c>
      <c r="L39" s="306">
        <v>99</v>
      </c>
    </row>
    <row r="40" spans="1:12" ht="11.25" customHeight="1" x14ac:dyDescent="0.2">
      <c r="A40" s="303" t="s">
        <v>522</v>
      </c>
      <c r="B40" s="296">
        <v>2.9</v>
      </c>
      <c r="C40" s="296">
        <v>1.8</v>
      </c>
      <c r="D40" s="296">
        <v>4.7</v>
      </c>
      <c r="E40" s="286"/>
      <c r="F40" s="306">
        <v>58</v>
      </c>
      <c r="G40" s="306">
        <v>68</v>
      </c>
      <c r="H40" s="306">
        <v>62</v>
      </c>
      <c r="J40" s="306">
        <v>95</v>
      </c>
      <c r="K40" s="306">
        <v>98</v>
      </c>
      <c r="L40" s="306">
        <v>96</v>
      </c>
    </row>
    <row r="41" spans="1:12" ht="11.25" customHeight="1" x14ac:dyDescent="0.2">
      <c r="A41" s="283" t="s">
        <v>523</v>
      </c>
      <c r="B41" s="296">
        <v>3.7</v>
      </c>
      <c r="C41" s="296">
        <v>22</v>
      </c>
      <c r="D41" s="296">
        <v>25.7</v>
      </c>
      <c r="E41" s="286"/>
      <c r="F41" s="306">
        <v>46</v>
      </c>
      <c r="G41" s="306">
        <v>59</v>
      </c>
      <c r="H41" s="306">
        <v>57</v>
      </c>
      <c r="J41" s="306">
        <v>98</v>
      </c>
      <c r="K41" s="306">
        <v>98</v>
      </c>
      <c r="L41" s="306">
        <v>98</v>
      </c>
    </row>
    <row r="42" spans="1:12" ht="11.25" customHeight="1" x14ac:dyDescent="0.2">
      <c r="B42" s="283"/>
      <c r="C42" s="283"/>
      <c r="D42" s="283"/>
      <c r="E42" s="283"/>
      <c r="F42" s="283"/>
      <c r="G42" s="283"/>
      <c r="H42" s="283"/>
      <c r="I42" s="283"/>
      <c r="J42" s="283"/>
      <c r="K42" s="283"/>
      <c r="L42" s="283"/>
    </row>
    <row r="43" spans="1:12" ht="11.25" customHeight="1" x14ac:dyDescent="0.2">
      <c r="A43" s="283" t="s">
        <v>524</v>
      </c>
      <c r="B43" s="296">
        <v>107.3</v>
      </c>
      <c r="C43" s="296">
        <v>93</v>
      </c>
      <c r="D43" s="296">
        <v>200.3</v>
      </c>
      <c r="E43" s="286"/>
      <c r="F43" s="306">
        <v>65</v>
      </c>
      <c r="G43" s="306">
        <v>74</v>
      </c>
      <c r="H43" s="306">
        <v>70</v>
      </c>
      <c r="J43" s="306">
        <v>99</v>
      </c>
      <c r="K43" s="306">
        <v>99</v>
      </c>
      <c r="L43" s="306">
        <v>99</v>
      </c>
    </row>
    <row r="44" spans="1:12" ht="11.25" customHeight="1" x14ac:dyDescent="0.2">
      <c r="A44" s="283" t="s">
        <v>525</v>
      </c>
      <c r="B44" s="296">
        <v>115.8</v>
      </c>
      <c r="C44" s="296">
        <v>118.9</v>
      </c>
      <c r="D44" s="296">
        <v>234.7</v>
      </c>
      <c r="E44" s="286"/>
      <c r="F44" s="306">
        <v>65</v>
      </c>
      <c r="G44" s="306">
        <v>73</v>
      </c>
      <c r="H44" s="306">
        <v>69</v>
      </c>
      <c r="J44" s="306">
        <v>98</v>
      </c>
      <c r="K44" s="306">
        <v>99</v>
      </c>
      <c r="L44" s="306">
        <v>98</v>
      </c>
    </row>
    <row r="45" spans="1:12" ht="11.25" customHeight="1" x14ac:dyDescent="0.2">
      <c r="A45" s="283" t="s">
        <v>526</v>
      </c>
      <c r="B45" s="296">
        <v>6.3</v>
      </c>
      <c r="C45" s="296">
        <v>6.1</v>
      </c>
      <c r="D45" s="296">
        <v>12.4</v>
      </c>
      <c r="E45" s="286"/>
      <c r="F45" s="306">
        <v>40</v>
      </c>
      <c r="G45" s="306">
        <v>50</v>
      </c>
      <c r="H45" s="306">
        <v>45</v>
      </c>
      <c r="J45" s="306">
        <v>95</v>
      </c>
      <c r="K45" s="306">
        <v>97</v>
      </c>
      <c r="L45" s="306">
        <v>96</v>
      </c>
    </row>
    <row r="46" spans="1:12" ht="11.25" customHeight="1" x14ac:dyDescent="0.2">
      <c r="A46" s="283" t="s">
        <v>527</v>
      </c>
      <c r="B46" s="296">
        <v>3</v>
      </c>
      <c r="C46" s="296">
        <v>1.3</v>
      </c>
      <c r="D46" s="296">
        <v>4.3</v>
      </c>
      <c r="E46" s="286"/>
      <c r="F46" s="306">
        <v>80</v>
      </c>
      <c r="G46" s="306">
        <v>80</v>
      </c>
      <c r="H46" s="306">
        <v>80</v>
      </c>
      <c r="J46" s="306">
        <v>99</v>
      </c>
      <c r="K46" s="306">
        <v>98</v>
      </c>
      <c r="L46" s="306">
        <v>99</v>
      </c>
    </row>
    <row r="47" spans="1:12" ht="11.25" customHeight="1" x14ac:dyDescent="0.2">
      <c r="A47" s="283" t="s">
        <v>528</v>
      </c>
      <c r="B47" s="296">
        <v>15</v>
      </c>
      <c r="C47" s="296">
        <v>27.3</v>
      </c>
      <c r="D47" s="296">
        <v>42.3</v>
      </c>
      <c r="E47" s="286"/>
      <c r="F47" s="306">
        <v>57</v>
      </c>
      <c r="G47" s="306">
        <v>70</v>
      </c>
      <c r="H47" s="306">
        <v>65</v>
      </c>
      <c r="J47" s="306">
        <v>97</v>
      </c>
      <c r="K47" s="306">
        <v>99</v>
      </c>
      <c r="L47" s="306">
        <v>98</v>
      </c>
    </row>
    <row r="48" spans="1:12" ht="11.25" customHeight="1" x14ac:dyDescent="0.2">
      <c r="B48" s="283"/>
      <c r="C48" s="283"/>
      <c r="D48" s="283"/>
      <c r="E48" s="283"/>
      <c r="F48" s="283"/>
      <c r="G48" s="283"/>
      <c r="H48" s="283"/>
      <c r="I48" s="283"/>
      <c r="J48" s="283"/>
      <c r="K48" s="283"/>
      <c r="L48" s="283"/>
    </row>
    <row r="49" spans="1:12" ht="11.25" customHeight="1" x14ac:dyDescent="0.2">
      <c r="A49" s="283" t="s">
        <v>529</v>
      </c>
      <c r="B49" s="296">
        <v>133.69999999999999</v>
      </c>
      <c r="C49" s="296">
        <v>167.8</v>
      </c>
      <c r="D49" s="296">
        <v>301.5</v>
      </c>
      <c r="E49" s="286"/>
      <c r="F49" s="306">
        <v>66</v>
      </c>
      <c r="G49" s="306">
        <v>76</v>
      </c>
      <c r="H49" s="306">
        <v>71</v>
      </c>
      <c r="J49" s="306">
        <v>99</v>
      </c>
      <c r="K49" s="306">
        <v>100</v>
      </c>
      <c r="L49" s="306">
        <v>99</v>
      </c>
    </row>
    <row r="50" spans="1:12" ht="11.25" customHeight="1" x14ac:dyDescent="0.2">
      <c r="A50" s="304" t="s">
        <v>530</v>
      </c>
      <c r="B50" s="296">
        <v>1.2</v>
      </c>
      <c r="C50" s="296">
        <v>1.5</v>
      </c>
      <c r="D50" s="296">
        <v>2.6</v>
      </c>
      <c r="E50" s="286"/>
      <c r="F50" s="306">
        <v>75</v>
      </c>
      <c r="G50" s="306">
        <v>79</v>
      </c>
      <c r="H50" s="306">
        <v>77</v>
      </c>
      <c r="J50" s="306">
        <v>96</v>
      </c>
      <c r="K50" s="306">
        <v>97</v>
      </c>
      <c r="L50" s="306">
        <v>96</v>
      </c>
    </row>
    <row r="51" spans="1:12" ht="11.25" customHeight="1" x14ac:dyDescent="0.2">
      <c r="A51" s="304" t="s">
        <v>531</v>
      </c>
      <c r="B51" s="296">
        <v>1.2</v>
      </c>
      <c r="C51" s="296">
        <v>1.1000000000000001</v>
      </c>
      <c r="D51" s="296">
        <v>2.2999999999999998</v>
      </c>
      <c r="E51" s="286"/>
      <c r="F51" s="306">
        <v>95</v>
      </c>
      <c r="G51" s="306">
        <v>98</v>
      </c>
      <c r="H51" s="306">
        <v>97</v>
      </c>
      <c r="J51" s="306">
        <v>100</v>
      </c>
      <c r="K51" s="306">
        <v>100</v>
      </c>
      <c r="L51" s="306">
        <v>100</v>
      </c>
    </row>
    <row r="52" spans="1:12" ht="11.25" customHeight="1" x14ac:dyDescent="0.2">
      <c r="A52" s="283" t="s">
        <v>532</v>
      </c>
      <c r="B52" s="296">
        <v>69</v>
      </c>
      <c r="C52" s="296">
        <v>92.9</v>
      </c>
      <c r="D52" s="296">
        <v>161.80000000000001</v>
      </c>
      <c r="E52" s="286"/>
      <c r="F52" s="306">
        <v>64</v>
      </c>
      <c r="G52" s="306">
        <v>75</v>
      </c>
      <c r="H52" s="306">
        <v>70</v>
      </c>
      <c r="J52" s="306">
        <v>99</v>
      </c>
      <c r="K52" s="306">
        <v>100</v>
      </c>
      <c r="L52" s="306">
        <v>100</v>
      </c>
    </row>
    <row r="53" spans="1:12" ht="11.25" customHeight="1" x14ac:dyDescent="0.2">
      <c r="A53" s="283" t="s">
        <v>533</v>
      </c>
      <c r="B53" s="296">
        <v>28.9</v>
      </c>
      <c r="C53" s="296">
        <v>31.4</v>
      </c>
      <c r="D53" s="296">
        <v>60.3</v>
      </c>
      <c r="E53" s="286"/>
      <c r="F53" s="306">
        <v>70</v>
      </c>
      <c r="G53" s="306">
        <v>80</v>
      </c>
      <c r="H53" s="306">
        <v>75</v>
      </c>
      <c r="J53" s="306">
        <v>100</v>
      </c>
      <c r="K53" s="306">
        <v>100</v>
      </c>
      <c r="L53" s="306">
        <v>100</v>
      </c>
    </row>
    <row r="54" spans="1:12" ht="11.25" customHeight="1" x14ac:dyDescent="0.2">
      <c r="A54" s="283" t="s">
        <v>534</v>
      </c>
      <c r="B54" s="296">
        <v>1.8</v>
      </c>
      <c r="C54" s="296">
        <v>2.2999999999999998</v>
      </c>
      <c r="D54" s="296">
        <v>4.0999999999999996</v>
      </c>
      <c r="E54" s="286"/>
      <c r="F54" s="306">
        <v>87</v>
      </c>
      <c r="G54" s="306">
        <v>90</v>
      </c>
      <c r="H54" s="306">
        <v>89</v>
      </c>
      <c r="J54" s="306">
        <v>99</v>
      </c>
      <c r="K54" s="306">
        <v>100</v>
      </c>
      <c r="L54" s="306">
        <v>100</v>
      </c>
    </row>
    <row r="55" spans="1:12" ht="11.25" customHeight="1" x14ac:dyDescent="0.2">
      <c r="A55" s="304" t="s">
        <v>535</v>
      </c>
      <c r="B55" s="296">
        <v>1.5</v>
      </c>
      <c r="C55" s="296">
        <v>1.5</v>
      </c>
      <c r="D55" s="296">
        <v>2.9</v>
      </c>
      <c r="E55" s="286"/>
      <c r="F55" s="306">
        <v>93</v>
      </c>
      <c r="G55" s="306">
        <v>96</v>
      </c>
      <c r="H55" s="306">
        <v>95</v>
      </c>
      <c r="J55" s="306">
        <v>99</v>
      </c>
      <c r="K55" s="306">
        <v>100</v>
      </c>
      <c r="L55" s="306">
        <v>99</v>
      </c>
    </row>
    <row r="56" spans="1:12" ht="11.25" customHeight="1" x14ac:dyDescent="0.2">
      <c r="A56" s="283" t="s">
        <v>536</v>
      </c>
      <c r="B56" s="296">
        <v>35.299999999999997</v>
      </c>
      <c r="C56" s="296">
        <v>47.4</v>
      </c>
      <c r="D56" s="296">
        <v>82.7</v>
      </c>
      <c r="E56" s="286"/>
      <c r="F56" s="306">
        <v>66</v>
      </c>
      <c r="G56" s="306">
        <v>76</v>
      </c>
      <c r="H56" s="306">
        <v>72</v>
      </c>
      <c r="J56" s="306">
        <v>99</v>
      </c>
      <c r="K56" s="306">
        <v>99</v>
      </c>
      <c r="L56" s="306">
        <v>99</v>
      </c>
    </row>
    <row r="57" spans="1:12" ht="11.25" customHeight="1" x14ac:dyDescent="0.2">
      <c r="A57" s="304" t="s">
        <v>537</v>
      </c>
      <c r="B57" s="296">
        <v>1.5</v>
      </c>
      <c r="C57" s="296">
        <v>2.6</v>
      </c>
      <c r="D57" s="296">
        <v>4.0999999999999996</v>
      </c>
      <c r="E57" s="286"/>
      <c r="F57" s="306">
        <v>69</v>
      </c>
      <c r="G57" s="306">
        <v>79</v>
      </c>
      <c r="H57" s="306">
        <v>76</v>
      </c>
      <c r="J57" s="306">
        <v>99</v>
      </c>
      <c r="K57" s="306">
        <v>100</v>
      </c>
      <c r="L57" s="306">
        <v>99</v>
      </c>
    </row>
    <row r="58" spans="1:12" ht="11.25" customHeight="1" x14ac:dyDescent="0.2">
      <c r="A58" s="283" t="s">
        <v>538</v>
      </c>
      <c r="B58" s="296">
        <v>4.4000000000000004</v>
      </c>
      <c r="C58" s="296">
        <v>4.8</v>
      </c>
      <c r="D58" s="296">
        <v>9.3000000000000007</v>
      </c>
      <c r="E58" s="286"/>
      <c r="F58" s="306">
        <v>86</v>
      </c>
      <c r="G58" s="306">
        <v>91</v>
      </c>
      <c r="H58" s="306">
        <v>89</v>
      </c>
      <c r="J58" s="306">
        <v>99</v>
      </c>
      <c r="K58" s="306">
        <v>99</v>
      </c>
      <c r="L58" s="306">
        <v>99</v>
      </c>
    </row>
    <row r="59" spans="1:12" ht="11.25" customHeight="1" x14ac:dyDescent="0.2">
      <c r="B59" s="283"/>
      <c r="C59" s="283"/>
      <c r="D59" s="283"/>
      <c r="E59" s="283"/>
      <c r="F59" s="283"/>
      <c r="G59" s="283"/>
      <c r="H59" s="283"/>
      <c r="I59" s="283"/>
      <c r="J59" s="283"/>
      <c r="K59" s="283"/>
      <c r="L59" s="283"/>
    </row>
    <row r="60" spans="1:12" ht="11.25" customHeight="1" x14ac:dyDescent="0.2">
      <c r="A60" s="283" t="s">
        <v>539</v>
      </c>
      <c r="B60" s="296">
        <v>6.9</v>
      </c>
      <c r="C60" s="296">
        <v>7.1</v>
      </c>
      <c r="D60" s="296">
        <v>14</v>
      </c>
      <c r="E60" s="286"/>
      <c r="F60" s="306">
        <v>87</v>
      </c>
      <c r="G60" s="306">
        <v>89</v>
      </c>
      <c r="H60" s="306">
        <v>88</v>
      </c>
      <c r="J60" s="306">
        <v>99</v>
      </c>
      <c r="K60" s="306">
        <v>100</v>
      </c>
      <c r="L60" s="306">
        <v>99</v>
      </c>
    </row>
    <row r="61" spans="1:12" ht="11.25" customHeight="1" x14ac:dyDescent="0.2">
      <c r="A61" s="3" t="s">
        <v>540</v>
      </c>
      <c r="B61" s="296">
        <v>2</v>
      </c>
      <c r="C61" s="296">
        <v>1.8</v>
      </c>
      <c r="D61" s="296">
        <v>3.9</v>
      </c>
      <c r="E61" s="286"/>
      <c r="F61" s="306">
        <v>80</v>
      </c>
      <c r="G61" s="306">
        <v>85</v>
      </c>
      <c r="H61" s="306">
        <v>82</v>
      </c>
      <c r="J61" s="306">
        <v>99</v>
      </c>
      <c r="K61" s="306">
        <v>100</v>
      </c>
      <c r="L61" s="306">
        <v>100</v>
      </c>
    </row>
    <row r="62" spans="1:12" ht="11.25" customHeight="1" x14ac:dyDescent="0.2">
      <c r="A62" s="3" t="s">
        <v>541</v>
      </c>
      <c r="B62" s="296">
        <v>0.7</v>
      </c>
      <c r="C62" s="296">
        <v>0.4</v>
      </c>
      <c r="D62" s="296">
        <v>1.1000000000000001</v>
      </c>
      <c r="E62" s="286"/>
      <c r="F62" s="306">
        <v>97</v>
      </c>
      <c r="G62" s="306">
        <v>98</v>
      </c>
      <c r="H62" s="306">
        <v>97</v>
      </c>
      <c r="J62" s="306">
        <v>100</v>
      </c>
      <c r="K62" s="306">
        <v>100</v>
      </c>
      <c r="L62" s="306">
        <v>100</v>
      </c>
    </row>
    <row r="63" spans="1:12" ht="11.25" customHeight="1" x14ac:dyDescent="0.2">
      <c r="A63" s="283" t="s">
        <v>542</v>
      </c>
      <c r="B63" s="296">
        <v>4.3</v>
      </c>
      <c r="C63" s="296">
        <v>4.7</v>
      </c>
      <c r="D63" s="296">
        <v>9</v>
      </c>
      <c r="E63" s="286"/>
      <c r="F63" s="306">
        <v>92</v>
      </c>
      <c r="G63" s="306">
        <v>93</v>
      </c>
      <c r="H63" s="306">
        <v>93</v>
      </c>
      <c r="J63" s="306">
        <v>99</v>
      </c>
      <c r="K63" s="306">
        <v>100</v>
      </c>
      <c r="L63" s="306">
        <v>99</v>
      </c>
    </row>
    <row r="64" spans="1:12" ht="11.25" customHeight="1" x14ac:dyDescent="0.2">
      <c r="A64" s="283" t="s">
        <v>543</v>
      </c>
      <c r="B64" s="296">
        <v>0.6</v>
      </c>
      <c r="C64" s="296">
        <v>0.7</v>
      </c>
      <c r="D64" s="296">
        <v>1.3</v>
      </c>
      <c r="E64" s="286"/>
      <c r="F64" s="306">
        <v>72</v>
      </c>
      <c r="G64" s="306">
        <v>77</v>
      </c>
      <c r="H64" s="306">
        <v>75</v>
      </c>
      <c r="J64" s="306">
        <v>96</v>
      </c>
      <c r="K64" s="306">
        <v>98</v>
      </c>
      <c r="L64" s="306">
        <v>97</v>
      </c>
    </row>
    <row r="65" spans="1:12" ht="11.25" customHeight="1" x14ac:dyDescent="0.2">
      <c r="A65" s="316"/>
      <c r="B65" s="283"/>
      <c r="C65" s="283"/>
      <c r="D65" s="283"/>
      <c r="E65" s="283"/>
      <c r="F65" s="283"/>
      <c r="G65" s="283"/>
      <c r="H65" s="283"/>
      <c r="I65" s="283"/>
      <c r="J65" s="283"/>
      <c r="K65" s="283"/>
      <c r="L65" s="283"/>
    </row>
    <row r="66" spans="1:12" ht="11.25" customHeight="1" x14ac:dyDescent="0.2">
      <c r="A66" s="302" t="s">
        <v>544</v>
      </c>
      <c r="B66" s="296">
        <v>0.4</v>
      </c>
      <c r="C66" s="296">
        <v>0.7</v>
      </c>
      <c r="D66" s="296">
        <v>1.1000000000000001</v>
      </c>
      <c r="E66" s="286"/>
      <c r="F66" s="306">
        <v>57</v>
      </c>
      <c r="G66" s="306">
        <v>80</v>
      </c>
      <c r="H66" s="306">
        <v>71</v>
      </c>
      <c r="J66" s="306">
        <v>99</v>
      </c>
      <c r="K66" s="306">
        <v>99</v>
      </c>
      <c r="L66" s="306">
        <v>99</v>
      </c>
    </row>
    <row r="67" spans="1:12" ht="11.25" customHeight="1" x14ac:dyDescent="0.2">
      <c r="A67" s="305" t="s">
        <v>545</v>
      </c>
      <c r="B67" s="306" t="s">
        <v>196</v>
      </c>
      <c r="C67" s="306" t="s">
        <v>196</v>
      </c>
      <c r="D67" s="306" t="s">
        <v>196</v>
      </c>
      <c r="E67" s="306"/>
      <c r="F67" s="306" t="s">
        <v>196</v>
      </c>
      <c r="G67" s="306" t="s">
        <v>196</v>
      </c>
      <c r="H67" s="306" t="s">
        <v>196</v>
      </c>
      <c r="I67" s="306"/>
      <c r="J67" s="306" t="s">
        <v>196</v>
      </c>
      <c r="K67" s="306" t="s">
        <v>196</v>
      </c>
      <c r="L67" s="306" t="s">
        <v>196</v>
      </c>
    </row>
    <row r="68" spans="1:12" ht="11.25" customHeight="1" x14ac:dyDescent="0.2">
      <c r="A68" s="283" t="s">
        <v>546</v>
      </c>
      <c r="B68" s="296">
        <v>52.2</v>
      </c>
      <c r="C68" s="296">
        <v>104.2</v>
      </c>
      <c r="D68" s="296">
        <v>156.5</v>
      </c>
      <c r="E68" s="286"/>
      <c r="F68" s="306">
        <v>65</v>
      </c>
      <c r="G68" s="306">
        <v>83</v>
      </c>
      <c r="H68" s="306">
        <v>77</v>
      </c>
      <c r="J68" s="306">
        <v>98</v>
      </c>
      <c r="K68" s="306">
        <v>99</v>
      </c>
      <c r="L68" s="306">
        <v>99</v>
      </c>
    </row>
    <row r="69" spans="1:12" ht="11.25" customHeight="1" x14ac:dyDescent="0.2">
      <c r="A69" s="283" t="s">
        <v>547</v>
      </c>
      <c r="B69" s="296">
        <v>4.0999999999999996</v>
      </c>
      <c r="C69" s="296">
        <v>4.9000000000000004</v>
      </c>
      <c r="D69" s="296">
        <v>9</v>
      </c>
      <c r="E69" s="286"/>
      <c r="F69" s="306">
        <v>49</v>
      </c>
      <c r="G69" s="306">
        <v>71</v>
      </c>
      <c r="H69" s="306">
        <v>61</v>
      </c>
      <c r="J69" s="306">
        <v>97</v>
      </c>
      <c r="K69" s="306">
        <v>99</v>
      </c>
      <c r="L69" s="306">
        <v>98</v>
      </c>
    </row>
    <row r="70" spans="1:12" ht="11.25" customHeight="1" x14ac:dyDescent="0.2">
      <c r="A70" s="305" t="s">
        <v>548</v>
      </c>
      <c r="B70" s="296">
        <v>0</v>
      </c>
      <c r="C70" s="296">
        <v>0</v>
      </c>
      <c r="D70" s="296">
        <v>0</v>
      </c>
      <c r="E70" s="286"/>
      <c r="F70" s="306">
        <v>51</v>
      </c>
      <c r="G70" s="306">
        <v>0</v>
      </c>
      <c r="H70" s="306">
        <v>51</v>
      </c>
      <c r="J70" s="306">
        <v>98</v>
      </c>
      <c r="K70" s="306">
        <v>0</v>
      </c>
      <c r="L70" s="306">
        <v>98</v>
      </c>
    </row>
    <row r="71" spans="1:12" ht="11.25" customHeight="1" x14ac:dyDescent="0.2">
      <c r="A71" s="283" t="s">
        <v>549</v>
      </c>
      <c r="B71" s="296">
        <v>27.1</v>
      </c>
      <c r="C71" s="296">
        <v>42.6</v>
      </c>
      <c r="D71" s="296">
        <v>69.8</v>
      </c>
      <c r="E71" s="286"/>
      <c r="F71" s="306">
        <v>66</v>
      </c>
      <c r="G71" s="306">
        <v>78</v>
      </c>
      <c r="H71" s="306">
        <v>73</v>
      </c>
      <c r="J71" s="306">
        <v>99</v>
      </c>
      <c r="K71" s="306">
        <v>99</v>
      </c>
      <c r="L71" s="306">
        <v>99</v>
      </c>
    </row>
    <row r="72" spans="1:12" ht="11.25" customHeight="1" x14ac:dyDescent="0.2">
      <c r="A72" s="283" t="s">
        <v>550</v>
      </c>
      <c r="B72" s="296">
        <v>197.8</v>
      </c>
      <c r="C72" s="296">
        <v>224</v>
      </c>
      <c r="D72" s="296">
        <v>421.8</v>
      </c>
      <c r="E72" s="286"/>
      <c r="F72" s="306">
        <v>71</v>
      </c>
      <c r="G72" s="306">
        <v>83</v>
      </c>
      <c r="H72" s="306">
        <v>78</v>
      </c>
      <c r="J72" s="306">
        <v>99</v>
      </c>
      <c r="K72" s="306">
        <v>99</v>
      </c>
      <c r="L72" s="306">
        <v>99</v>
      </c>
    </row>
    <row r="73" spans="1:12" ht="11.25" customHeight="1" x14ac:dyDescent="0.2">
      <c r="A73" s="139" t="s">
        <v>551</v>
      </c>
      <c r="B73" s="296">
        <v>1.1000000000000001</v>
      </c>
      <c r="C73" s="296">
        <v>1</v>
      </c>
      <c r="D73" s="296">
        <v>2.1</v>
      </c>
      <c r="E73" s="286"/>
      <c r="F73" s="306">
        <v>37</v>
      </c>
      <c r="G73" s="306">
        <v>51</v>
      </c>
      <c r="H73" s="306">
        <v>43</v>
      </c>
      <c r="J73" s="306">
        <v>98</v>
      </c>
      <c r="K73" s="306">
        <v>99</v>
      </c>
      <c r="L73" s="306">
        <v>98</v>
      </c>
    </row>
    <row r="74" spans="1:12" ht="11.25" customHeight="1" x14ac:dyDescent="0.2">
      <c r="A74" s="139" t="s">
        <v>552</v>
      </c>
      <c r="B74" s="296">
        <v>2.5</v>
      </c>
      <c r="C74" s="296">
        <v>2.4</v>
      </c>
      <c r="D74" s="296">
        <v>4.9000000000000004</v>
      </c>
      <c r="E74" s="286"/>
      <c r="F74" s="306">
        <v>38</v>
      </c>
      <c r="G74" s="306">
        <v>53</v>
      </c>
      <c r="H74" s="306">
        <v>46</v>
      </c>
      <c r="J74" s="306">
        <v>89</v>
      </c>
      <c r="K74" s="306">
        <v>95</v>
      </c>
      <c r="L74" s="306">
        <v>92</v>
      </c>
    </row>
    <row r="75" spans="1:12" ht="11.25" customHeight="1" x14ac:dyDescent="0.2">
      <c r="A75" s="302" t="s">
        <v>553</v>
      </c>
      <c r="B75" s="296">
        <v>0.4</v>
      </c>
      <c r="C75" s="296">
        <v>7.4</v>
      </c>
      <c r="D75" s="296">
        <v>7.8</v>
      </c>
      <c r="E75" s="286"/>
      <c r="F75" s="306">
        <v>31</v>
      </c>
      <c r="G75" s="306">
        <v>55</v>
      </c>
      <c r="H75" s="306">
        <v>54</v>
      </c>
      <c r="J75" s="306">
        <v>90</v>
      </c>
      <c r="K75" s="306">
        <v>98</v>
      </c>
      <c r="L75" s="306">
        <v>97</v>
      </c>
    </row>
    <row r="76" spans="1:12" ht="11.25" customHeight="1" x14ac:dyDescent="0.2">
      <c r="A76" s="305" t="s">
        <v>554</v>
      </c>
      <c r="B76" s="296">
        <v>0.7</v>
      </c>
      <c r="C76" s="296">
        <v>1.3</v>
      </c>
      <c r="D76" s="296">
        <v>2</v>
      </c>
      <c r="E76" s="286"/>
      <c r="F76" s="306">
        <v>43</v>
      </c>
      <c r="G76" s="306">
        <v>66</v>
      </c>
      <c r="H76" s="306">
        <v>58</v>
      </c>
      <c r="J76" s="306">
        <v>99</v>
      </c>
      <c r="K76" s="306">
        <v>100</v>
      </c>
      <c r="L76" s="306">
        <v>100</v>
      </c>
    </row>
    <row r="77" spans="1:12" ht="11.25" customHeight="1" x14ac:dyDescent="0.2">
      <c r="A77" s="305" t="s">
        <v>555</v>
      </c>
      <c r="B77" s="296">
        <v>1.1000000000000001</v>
      </c>
      <c r="C77" s="296">
        <v>1.4</v>
      </c>
      <c r="D77" s="296">
        <v>2.5</v>
      </c>
      <c r="E77" s="286"/>
      <c r="F77" s="306">
        <v>29</v>
      </c>
      <c r="G77" s="306">
        <v>52</v>
      </c>
      <c r="H77" s="306">
        <v>41</v>
      </c>
      <c r="J77" s="306">
        <v>91</v>
      </c>
      <c r="K77" s="306">
        <v>96</v>
      </c>
      <c r="L77" s="306">
        <v>94</v>
      </c>
    </row>
    <row r="78" spans="1:12" ht="11.25" customHeight="1" x14ac:dyDescent="0.2">
      <c r="A78" s="305" t="s">
        <v>556</v>
      </c>
      <c r="B78" s="296">
        <v>0.1</v>
      </c>
      <c r="C78" s="296">
        <v>0</v>
      </c>
      <c r="D78" s="296">
        <v>0.1</v>
      </c>
      <c r="E78" s="286"/>
      <c r="F78" s="306">
        <v>31</v>
      </c>
      <c r="G78" s="306">
        <v>29</v>
      </c>
      <c r="H78" s="306">
        <v>30</v>
      </c>
      <c r="J78" s="306">
        <v>98</v>
      </c>
      <c r="K78" s="306">
        <v>93</v>
      </c>
      <c r="L78" s="306">
        <v>97</v>
      </c>
    </row>
    <row r="79" spans="1:12" ht="11.25" customHeight="1" x14ac:dyDescent="0.2">
      <c r="A79" s="283" t="s">
        <v>557</v>
      </c>
      <c r="B79" s="296">
        <v>24.1</v>
      </c>
      <c r="C79" s="296">
        <v>24.6</v>
      </c>
      <c r="D79" s="296">
        <v>48.7</v>
      </c>
      <c r="E79" s="286"/>
      <c r="F79" s="306">
        <v>56</v>
      </c>
      <c r="G79" s="306">
        <v>76</v>
      </c>
      <c r="H79" s="306">
        <v>66</v>
      </c>
      <c r="J79" s="306">
        <v>98</v>
      </c>
      <c r="K79" s="306">
        <v>99</v>
      </c>
      <c r="L79" s="306">
        <v>98</v>
      </c>
    </row>
    <row r="80" spans="1:12" ht="11.25" customHeight="1" x14ac:dyDescent="0.2">
      <c r="A80" s="305" t="s">
        <v>558</v>
      </c>
      <c r="B80" s="306" t="s">
        <v>196</v>
      </c>
      <c r="C80" s="306" t="s">
        <v>196</v>
      </c>
      <c r="D80" s="306" t="s">
        <v>196</v>
      </c>
      <c r="E80" s="306"/>
      <c r="F80" s="306" t="s">
        <v>196</v>
      </c>
      <c r="G80" s="306" t="s">
        <v>196</v>
      </c>
      <c r="H80" s="306" t="s">
        <v>196</v>
      </c>
      <c r="I80" s="306"/>
      <c r="J80" s="306" t="s">
        <v>196</v>
      </c>
      <c r="K80" s="306" t="s">
        <v>196</v>
      </c>
      <c r="L80" s="306" t="s">
        <v>196</v>
      </c>
    </row>
    <row r="81" spans="1:12" ht="11.25" customHeight="1" x14ac:dyDescent="0.2">
      <c r="A81" s="283" t="s">
        <v>559</v>
      </c>
      <c r="B81" s="296">
        <v>20.7</v>
      </c>
      <c r="C81" s="296">
        <v>20.6</v>
      </c>
      <c r="D81" s="296">
        <v>41.3</v>
      </c>
      <c r="E81" s="286"/>
      <c r="F81" s="306">
        <v>74</v>
      </c>
      <c r="G81" s="306">
        <v>79</v>
      </c>
      <c r="H81" s="306">
        <v>77</v>
      </c>
      <c r="J81" s="306">
        <v>99</v>
      </c>
      <c r="K81" s="306">
        <v>99</v>
      </c>
      <c r="L81" s="306">
        <v>99</v>
      </c>
    </row>
    <row r="82" spans="1:12" ht="11.25" customHeight="1" x14ac:dyDescent="0.2">
      <c r="A82" s="302" t="s">
        <v>560</v>
      </c>
      <c r="B82" s="296">
        <v>0.9</v>
      </c>
      <c r="C82" s="296">
        <v>2.1</v>
      </c>
      <c r="D82" s="296">
        <v>3.1</v>
      </c>
      <c r="E82" s="286"/>
      <c r="F82" s="306">
        <v>47</v>
      </c>
      <c r="G82" s="306">
        <v>67</v>
      </c>
      <c r="H82" s="306">
        <v>61</v>
      </c>
      <c r="J82" s="306">
        <v>97</v>
      </c>
      <c r="K82" s="306">
        <v>99</v>
      </c>
      <c r="L82" s="306">
        <v>98</v>
      </c>
    </row>
    <row r="83" spans="1:12" ht="11.25" customHeight="1" x14ac:dyDescent="0.2">
      <c r="A83" s="283" t="s">
        <v>561</v>
      </c>
      <c r="B83" s="296">
        <v>60.9</v>
      </c>
      <c r="C83" s="296">
        <v>40.700000000000003</v>
      </c>
      <c r="D83" s="296">
        <v>101.6</v>
      </c>
      <c r="E83" s="286"/>
      <c r="F83" s="306">
        <v>71</v>
      </c>
      <c r="G83" s="306">
        <v>71</v>
      </c>
      <c r="H83" s="306">
        <v>71</v>
      </c>
      <c r="J83" s="306">
        <v>100</v>
      </c>
      <c r="K83" s="306">
        <v>100</v>
      </c>
      <c r="L83" s="306">
        <v>100</v>
      </c>
    </row>
    <row r="84" spans="1:12" ht="11.25" customHeight="1" x14ac:dyDescent="0.2">
      <c r="A84" s="283" t="s">
        <v>562</v>
      </c>
      <c r="B84" s="296">
        <v>104.9</v>
      </c>
      <c r="C84" s="296">
        <v>124.1</v>
      </c>
      <c r="D84" s="296">
        <v>229</v>
      </c>
      <c r="E84" s="286"/>
      <c r="F84" s="306">
        <v>67</v>
      </c>
      <c r="G84" s="306">
        <v>79</v>
      </c>
      <c r="H84" s="306">
        <v>74</v>
      </c>
      <c r="J84" s="306">
        <v>98</v>
      </c>
      <c r="K84" s="306">
        <v>99</v>
      </c>
      <c r="L84" s="306">
        <v>98</v>
      </c>
    </row>
    <row r="85" spans="1:12" ht="11.25" customHeight="1" x14ac:dyDescent="0.2">
      <c r="A85" s="283" t="s">
        <v>563</v>
      </c>
      <c r="B85" s="296">
        <v>23.2</v>
      </c>
      <c r="C85" s="296">
        <v>21.2</v>
      </c>
      <c r="D85" s="296">
        <v>44.5</v>
      </c>
      <c r="E85" s="286"/>
      <c r="F85" s="306">
        <v>75</v>
      </c>
      <c r="G85" s="306">
        <v>81</v>
      </c>
      <c r="H85" s="306">
        <v>78</v>
      </c>
      <c r="J85" s="306">
        <v>98</v>
      </c>
      <c r="K85" s="306">
        <v>98</v>
      </c>
      <c r="L85" s="306">
        <v>98</v>
      </c>
    </row>
    <row r="86" spans="1:12" ht="11.25" customHeight="1" x14ac:dyDescent="0.2">
      <c r="A86" s="283" t="s">
        <v>564</v>
      </c>
      <c r="B86" s="296">
        <v>15.8</v>
      </c>
      <c r="C86" s="296">
        <v>17.100000000000001</v>
      </c>
      <c r="D86" s="296">
        <v>32.9</v>
      </c>
      <c r="E86" s="286"/>
      <c r="F86" s="306">
        <v>53</v>
      </c>
      <c r="G86" s="306">
        <v>70</v>
      </c>
      <c r="H86" s="306">
        <v>62</v>
      </c>
      <c r="J86" s="306">
        <v>98</v>
      </c>
      <c r="K86" s="306">
        <v>99</v>
      </c>
      <c r="L86" s="306">
        <v>99</v>
      </c>
    </row>
    <row r="87" spans="1:12" ht="11.25" customHeight="1" x14ac:dyDescent="0.2">
      <c r="A87" s="292"/>
      <c r="B87" s="292"/>
      <c r="C87" s="292"/>
      <c r="D87" s="292"/>
      <c r="E87" s="292"/>
      <c r="F87" s="292"/>
      <c r="G87" s="292"/>
      <c r="H87" s="292"/>
      <c r="I87" s="292"/>
      <c r="J87" s="292"/>
      <c r="K87" s="292"/>
      <c r="L87" s="292"/>
    </row>
    <row r="88" spans="1:12" ht="11.25" customHeight="1" x14ac:dyDescent="0.2">
      <c r="A88" s="294"/>
      <c r="B88" s="317"/>
      <c r="C88" s="317"/>
      <c r="D88" s="317"/>
      <c r="E88" s="317"/>
      <c r="F88" s="317"/>
      <c r="G88" s="317"/>
      <c r="H88" s="317"/>
      <c r="I88" s="317"/>
      <c r="J88" s="317"/>
      <c r="K88" s="317"/>
      <c r="L88" s="140" t="s">
        <v>393</v>
      </c>
    </row>
    <row r="89" spans="1:12" ht="22.5" customHeight="1" x14ac:dyDescent="0.2">
      <c r="A89" s="463" t="s">
        <v>565</v>
      </c>
      <c r="B89" s="463"/>
      <c r="C89" s="463"/>
      <c r="D89" s="463"/>
      <c r="E89" s="463"/>
      <c r="F89" s="463"/>
      <c r="G89" s="464"/>
      <c r="H89" s="464"/>
      <c r="I89" s="464"/>
      <c r="J89" s="464"/>
      <c r="K89" s="464"/>
      <c r="L89" s="464"/>
    </row>
    <row r="90" spans="1:12" ht="12.75" x14ac:dyDescent="0.2">
      <c r="A90" s="466" t="s">
        <v>566</v>
      </c>
      <c r="B90" s="466"/>
      <c r="C90" s="466"/>
      <c r="D90" s="466"/>
      <c r="E90" s="466"/>
      <c r="F90" s="467"/>
    </row>
    <row r="91" spans="1:12" x14ac:dyDescent="0.2">
      <c r="A91" s="466" t="s">
        <v>567</v>
      </c>
      <c r="B91" s="466"/>
      <c r="C91" s="466"/>
      <c r="D91" s="466"/>
      <c r="E91" s="466"/>
      <c r="F91" s="466"/>
      <c r="G91" s="466"/>
      <c r="H91" s="466"/>
      <c r="I91" s="466"/>
      <c r="J91" s="466"/>
      <c r="K91" s="466"/>
      <c r="L91" s="466"/>
    </row>
    <row r="92" spans="1:12" x14ac:dyDescent="0.2">
      <c r="A92" s="466" t="s">
        <v>568</v>
      </c>
      <c r="B92" s="466"/>
      <c r="C92" s="466"/>
      <c r="D92" s="466"/>
      <c r="E92" s="466"/>
      <c r="F92" s="466"/>
      <c r="G92" s="466"/>
      <c r="H92" s="466"/>
      <c r="I92" s="466"/>
      <c r="J92" s="466"/>
      <c r="K92" s="466"/>
      <c r="L92" s="466"/>
    </row>
    <row r="93" spans="1:12" x14ac:dyDescent="0.2">
      <c r="A93" s="468" t="s">
        <v>569</v>
      </c>
      <c r="B93" s="468"/>
      <c r="C93" s="468"/>
    </row>
    <row r="94" spans="1:12" x14ac:dyDescent="0.2">
      <c r="A94" s="466" t="s">
        <v>570</v>
      </c>
      <c r="B94" s="466"/>
      <c r="C94" s="466"/>
      <c r="D94" s="466"/>
      <c r="E94" s="466"/>
      <c r="F94" s="466"/>
    </row>
    <row r="95" spans="1:12" ht="11.25" customHeight="1" x14ac:dyDescent="0.2">
      <c r="A95" s="466" t="s">
        <v>571</v>
      </c>
      <c r="B95" s="466"/>
      <c r="C95" s="466"/>
      <c r="D95" s="466"/>
      <c r="E95" s="466"/>
      <c r="F95" s="466"/>
      <c r="G95" s="466"/>
      <c r="H95" s="466"/>
      <c r="I95" s="466"/>
      <c r="J95" s="466"/>
      <c r="K95" s="466"/>
    </row>
    <row r="97" spans="1:12" x14ac:dyDescent="0.2">
      <c r="A97" s="3" t="s">
        <v>349</v>
      </c>
    </row>
    <row r="99" spans="1:12" ht="22.5" customHeight="1" x14ac:dyDescent="0.2">
      <c r="A99" s="465" t="s">
        <v>572</v>
      </c>
      <c r="B99" s="465"/>
      <c r="C99" s="465"/>
      <c r="D99" s="465"/>
      <c r="E99" s="465"/>
      <c r="F99" s="465"/>
      <c r="G99" s="465"/>
      <c r="H99" s="465"/>
      <c r="I99" s="465"/>
      <c r="J99" s="465"/>
      <c r="K99" s="465"/>
      <c r="L99" s="465"/>
    </row>
  </sheetData>
  <mergeCells count="14">
    <mergeCell ref="A95:K95"/>
    <mergeCell ref="A99:L99"/>
    <mergeCell ref="A89:L89"/>
    <mergeCell ref="A90:F90"/>
    <mergeCell ref="A91:L91"/>
    <mergeCell ref="A92:L92"/>
    <mergeCell ref="A93:C93"/>
    <mergeCell ref="A94:F94"/>
    <mergeCell ref="A1:L1"/>
    <mergeCell ref="A2:B2"/>
    <mergeCell ref="D4:L4"/>
    <mergeCell ref="B5:D5"/>
    <mergeCell ref="F5:H5"/>
    <mergeCell ref="J5:L5"/>
  </mergeCells>
  <conditionalFormatting sqref="E22:E27 E31:E40 B54:D54 B56:E58 B62:E64 E43:E47 E50:E55 B66:E66 B81:E86 B68:E79">
    <cfRule type="cellIs" dxfId="16" priority="15" stopIfTrue="1" operator="equal">
      <formula>"LOW"</formula>
    </cfRule>
    <cfRule type="cellIs" dxfId="15" priority="16" stopIfTrue="1" operator="equal">
      <formula>"HIGH"</formula>
    </cfRule>
  </conditionalFormatting>
  <conditionalFormatting sqref="B51:D52 B56:D58 B62:D64">
    <cfRule type="cellIs" dxfId="14" priority="13" stopIfTrue="1" operator="equal">
      <formula>"LOW"</formula>
    </cfRule>
    <cfRule type="cellIs" dxfId="13" priority="14" stopIfTrue="1" operator="equal">
      <formula>"HIGH"</formula>
    </cfRule>
  </conditionalFormatting>
  <conditionalFormatting sqref="B61:E64">
    <cfRule type="cellIs" dxfId="12" priority="11" stopIfTrue="1" operator="equal">
      <formula>"LOW"</formula>
    </cfRule>
    <cfRule type="cellIs" dxfId="11" priority="12" stopIfTrue="1" operator="equal">
      <formula>"HIGH"</formula>
    </cfRule>
  </conditionalFormatting>
  <conditionalFormatting sqref="B61:D64">
    <cfRule type="cellIs" dxfId="10" priority="9" stopIfTrue="1" operator="equal">
      <formula>"LOW"</formula>
    </cfRule>
    <cfRule type="cellIs" dxfId="9" priority="10" stopIfTrue="1" operator="equal">
      <formula>"HIGH"</formula>
    </cfRule>
  </conditionalFormatting>
  <pageMargins left="0.74803149606299213" right="0.74803149606299213" top="0.98425196850393704" bottom="0.98425196850393704" header="0.51181102362204722" footer="0.51181102362204722"/>
  <pageSetup paperSize="9" scale="8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17DBA-9098-4479-9A13-B7B6EABEFF13}">
  <sheetPr>
    <tabColor indexed="26"/>
  </sheetPr>
  <dimension ref="A1:M101"/>
  <sheetViews>
    <sheetView showGridLines="0" zoomScaleNormal="100" workbookViewId="0">
      <selection sqref="A1:L1"/>
    </sheetView>
  </sheetViews>
  <sheetFormatPr defaultRowHeight="11.25" x14ac:dyDescent="0.2"/>
  <cols>
    <col min="1" max="1" width="30" style="283" customWidth="1"/>
    <col min="2" max="4" width="8.140625" style="308" customWidth="1"/>
    <col min="5" max="5" width="1.7109375" style="308" customWidth="1"/>
    <col min="6" max="8" width="7.42578125" style="308" customWidth="1"/>
    <col min="9" max="9" width="1.7109375" style="308" customWidth="1"/>
    <col min="10" max="12" width="8.85546875" style="308" customWidth="1"/>
    <col min="13" max="256" width="11.42578125" style="283" customWidth="1"/>
    <col min="257" max="16384" width="9.140625" style="283"/>
  </cols>
  <sheetData>
    <row r="1" spans="1:12" ht="24.75" customHeight="1" x14ac:dyDescent="0.2">
      <c r="A1" s="469" t="s">
        <v>576</v>
      </c>
      <c r="B1" s="469"/>
      <c r="C1" s="469"/>
      <c r="D1" s="469"/>
      <c r="E1" s="469"/>
      <c r="F1" s="469"/>
      <c r="G1" s="469"/>
      <c r="H1" s="469"/>
      <c r="I1" s="469"/>
      <c r="J1" s="469"/>
      <c r="K1" s="469"/>
      <c r="L1" s="469"/>
    </row>
    <row r="2" spans="1:12" ht="13.5" customHeight="1" x14ac:dyDescent="0.2">
      <c r="A2" s="461" t="s">
        <v>394</v>
      </c>
      <c r="B2" s="461"/>
    </row>
    <row r="3" spans="1:12" ht="12.75" customHeight="1" x14ac:dyDescent="0.2">
      <c r="A3" s="1" t="s">
        <v>9</v>
      </c>
    </row>
    <row r="4" spans="1:12" ht="11.25" customHeight="1" x14ac:dyDescent="0.2">
      <c r="A4" s="318"/>
      <c r="C4" s="310"/>
      <c r="F4" s="470" t="s">
        <v>577</v>
      </c>
      <c r="G4" s="470"/>
      <c r="H4" s="470"/>
      <c r="I4" s="470"/>
      <c r="J4" s="470"/>
      <c r="K4" s="470"/>
      <c r="L4" s="470"/>
    </row>
    <row r="5" spans="1:12" s="291" customFormat="1" ht="11.25" customHeight="1" x14ac:dyDescent="0.2">
      <c r="A5" s="288"/>
      <c r="B5" s="462" t="s">
        <v>493</v>
      </c>
      <c r="C5" s="462"/>
      <c r="D5" s="462"/>
      <c r="E5" s="319"/>
      <c r="F5" s="462" t="s">
        <v>494</v>
      </c>
      <c r="G5" s="462"/>
      <c r="H5" s="462"/>
      <c r="I5" s="319"/>
      <c r="J5" s="462" t="s">
        <v>495</v>
      </c>
      <c r="K5" s="462"/>
      <c r="L5" s="462"/>
    </row>
    <row r="6" spans="1:12" ht="11.25" customHeight="1" x14ac:dyDescent="0.2">
      <c r="A6" s="292"/>
      <c r="B6" s="320" t="s">
        <v>10</v>
      </c>
      <c r="C6" s="320" t="s">
        <v>11</v>
      </c>
      <c r="D6" s="320" t="s">
        <v>496</v>
      </c>
      <c r="E6" s="321"/>
      <c r="F6" s="320" t="s">
        <v>10</v>
      </c>
      <c r="G6" s="320" t="s">
        <v>11</v>
      </c>
      <c r="H6" s="320" t="s">
        <v>496</v>
      </c>
      <c r="I6" s="321"/>
      <c r="J6" s="320" t="s">
        <v>10</v>
      </c>
      <c r="K6" s="320" t="s">
        <v>11</v>
      </c>
      <c r="L6" s="320" t="s">
        <v>496</v>
      </c>
    </row>
    <row r="7" spans="1:12" ht="11.25" customHeight="1" x14ac:dyDescent="0.2">
      <c r="A7" s="294"/>
      <c r="B7" s="322"/>
      <c r="C7" s="322"/>
      <c r="D7" s="322"/>
      <c r="E7" s="322"/>
      <c r="F7" s="322"/>
      <c r="G7" s="322"/>
      <c r="H7" s="322"/>
      <c r="I7" s="322"/>
      <c r="J7" s="322"/>
      <c r="K7" s="322"/>
      <c r="L7" s="322"/>
    </row>
    <row r="8" spans="1:12" ht="11.25" customHeight="1" x14ac:dyDescent="0.2">
      <c r="A8" s="283" t="s">
        <v>578</v>
      </c>
      <c r="B8" s="296">
        <v>314.8</v>
      </c>
      <c r="C8" s="296">
        <v>304.89999999999998</v>
      </c>
      <c r="D8" s="296">
        <v>619.6</v>
      </c>
      <c r="E8" s="286"/>
      <c r="F8" s="296">
        <v>257.3</v>
      </c>
      <c r="G8" s="296">
        <v>268.2</v>
      </c>
      <c r="H8" s="296">
        <v>525.5</v>
      </c>
      <c r="I8" s="286"/>
      <c r="J8" s="296">
        <v>311.89999999999998</v>
      </c>
      <c r="K8" s="296">
        <v>303.10000000000002</v>
      </c>
      <c r="L8" s="296">
        <v>615</v>
      </c>
    </row>
    <row r="9" spans="1:12" ht="11.25" customHeight="1" x14ac:dyDescent="0.2">
      <c r="A9" s="283" t="s">
        <v>497</v>
      </c>
      <c r="B9" s="306">
        <v>97</v>
      </c>
      <c r="C9" s="306">
        <v>99</v>
      </c>
      <c r="D9" s="306">
        <v>98</v>
      </c>
      <c r="F9" s="306">
        <v>79</v>
      </c>
      <c r="G9" s="306">
        <v>87</v>
      </c>
      <c r="H9" s="306">
        <v>83</v>
      </c>
      <c r="J9" s="306">
        <v>96</v>
      </c>
      <c r="K9" s="306">
        <v>98</v>
      </c>
      <c r="L9" s="306">
        <v>97</v>
      </c>
    </row>
    <row r="10" spans="1:12" ht="11.25" customHeight="1" x14ac:dyDescent="0.2"/>
    <row r="11" spans="1:12" ht="11.25" customHeight="1" x14ac:dyDescent="0.2">
      <c r="A11" s="283" t="s">
        <v>498</v>
      </c>
      <c r="B11" s="306">
        <v>83</v>
      </c>
      <c r="C11" s="306">
        <v>88</v>
      </c>
      <c r="D11" s="306">
        <v>85</v>
      </c>
      <c r="F11" s="306">
        <v>49</v>
      </c>
      <c r="G11" s="306">
        <v>60</v>
      </c>
      <c r="H11" s="306">
        <v>54</v>
      </c>
      <c r="J11" s="306">
        <v>82</v>
      </c>
      <c r="K11" s="306">
        <v>86</v>
      </c>
      <c r="L11" s="306">
        <v>84</v>
      </c>
    </row>
    <row r="12" spans="1:12" ht="11.25" customHeight="1" x14ac:dyDescent="0.2">
      <c r="A12" s="283" t="s">
        <v>499</v>
      </c>
      <c r="B12" s="306">
        <v>72</v>
      </c>
      <c r="C12" s="306">
        <v>76</v>
      </c>
      <c r="D12" s="306">
        <v>74</v>
      </c>
      <c r="F12" s="306">
        <v>49</v>
      </c>
      <c r="G12" s="306">
        <v>55</v>
      </c>
      <c r="H12" s="306">
        <v>52</v>
      </c>
      <c r="J12" s="306">
        <v>71</v>
      </c>
      <c r="K12" s="306">
        <v>75</v>
      </c>
      <c r="L12" s="306">
        <v>73</v>
      </c>
    </row>
    <row r="13" spans="1:12" ht="11.25" customHeight="1" x14ac:dyDescent="0.2">
      <c r="A13" s="283" t="s">
        <v>500</v>
      </c>
      <c r="B13" s="306">
        <v>67</v>
      </c>
      <c r="C13" s="306">
        <v>72</v>
      </c>
      <c r="D13" s="306">
        <v>69</v>
      </c>
      <c r="F13" s="306">
        <v>41</v>
      </c>
      <c r="G13" s="306">
        <v>51</v>
      </c>
      <c r="H13" s="306">
        <v>46</v>
      </c>
      <c r="J13" s="306">
        <v>66</v>
      </c>
      <c r="K13" s="306">
        <v>71</v>
      </c>
      <c r="L13" s="306">
        <v>68</v>
      </c>
    </row>
    <row r="14" spans="1:12" ht="11.25" customHeight="1" x14ac:dyDescent="0.2">
      <c r="A14" s="298"/>
    </row>
    <row r="15" spans="1:12" s="299" customFormat="1" ht="11.25" customHeight="1" x14ac:dyDescent="0.2">
      <c r="A15" s="283" t="s">
        <v>579</v>
      </c>
      <c r="B15" s="306">
        <v>85</v>
      </c>
      <c r="C15" s="306">
        <v>89</v>
      </c>
      <c r="D15" s="306">
        <v>87</v>
      </c>
      <c r="E15" s="308"/>
      <c r="F15" s="306">
        <v>54</v>
      </c>
      <c r="G15" s="306">
        <v>70</v>
      </c>
      <c r="H15" s="306">
        <v>62</v>
      </c>
      <c r="I15" s="308"/>
      <c r="J15" s="306">
        <v>84</v>
      </c>
      <c r="K15" s="306">
        <v>89</v>
      </c>
      <c r="L15" s="306">
        <v>87</v>
      </c>
    </row>
    <row r="16" spans="1:12" s="299" customFormat="1" ht="11.25" customHeight="1" x14ac:dyDescent="0.2">
      <c r="A16" s="301" t="s">
        <v>7</v>
      </c>
      <c r="B16" s="306">
        <v>27</v>
      </c>
      <c r="C16" s="306">
        <v>19</v>
      </c>
      <c r="D16" s="306">
        <v>23</v>
      </c>
      <c r="E16" s="308"/>
      <c r="F16" s="306">
        <v>9</v>
      </c>
      <c r="G16" s="306">
        <v>9</v>
      </c>
      <c r="H16" s="306">
        <v>9</v>
      </c>
      <c r="I16" s="308"/>
      <c r="J16" s="306">
        <v>26</v>
      </c>
      <c r="K16" s="306">
        <v>19</v>
      </c>
      <c r="L16" s="306">
        <v>23</v>
      </c>
    </row>
    <row r="17" spans="1:12" s="299" customFormat="1" ht="11.25" customHeight="1" x14ac:dyDescent="0.2">
      <c r="A17" s="301" t="s">
        <v>580</v>
      </c>
      <c r="B17" s="306">
        <v>58</v>
      </c>
      <c r="C17" s="306">
        <v>70</v>
      </c>
      <c r="D17" s="306">
        <v>64</v>
      </c>
      <c r="E17" s="308"/>
      <c r="F17" s="306">
        <v>45</v>
      </c>
      <c r="G17" s="306">
        <v>61</v>
      </c>
      <c r="H17" s="306">
        <v>53</v>
      </c>
      <c r="I17" s="308"/>
      <c r="J17" s="306">
        <v>58</v>
      </c>
      <c r="K17" s="306">
        <v>70</v>
      </c>
      <c r="L17" s="306">
        <v>64</v>
      </c>
    </row>
    <row r="18" spans="1:12" s="299" customFormat="1" ht="11.25" customHeight="1" x14ac:dyDescent="0.2">
      <c r="A18" s="301"/>
    </row>
    <row r="19" spans="1:12" ht="11.25" customHeight="1" x14ac:dyDescent="0.2">
      <c r="A19" s="283" t="s">
        <v>8</v>
      </c>
      <c r="B19" s="306">
        <v>92</v>
      </c>
      <c r="C19" s="306">
        <v>94</v>
      </c>
      <c r="D19" s="306">
        <v>93</v>
      </c>
      <c r="F19" s="306">
        <v>66</v>
      </c>
      <c r="G19" s="306">
        <v>69</v>
      </c>
      <c r="H19" s="306">
        <v>68</v>
      </c>
      <c r="J19" s="306">
        <v>90</v>
      </c>
      <c r="K19" s="306">
        <v>92</v>
      </c>
      <c r="L19" s="306">
        <v>91</v>
      </c>
    </row>
    <row r="20" spans="1:12" ht="11.25" customHeight="1" x14ac:dyDescent="0.2">
      <c r="B20" s="283"/>
      <c r="C20" s="283"/>
      <c r="D20" s="283"/>
      <c r="E20" s="283"/>
      <c r="F20" s="283"/>
      <c r="G20" s="283"/>
      <c r="H20" s="283"/>
      <c r="I20" s="283"/>
      <c r="J20" s="283"/>
      <c r="K20" s="283"/>
      <c r="L20" s="283"/>
    </row>
    <row r="21" spans="1:12" ht="11.25" customHeight="1" x14ac:dyDescent="0.2">
      <c r="A21" s="283" t="s">
        <v>503</v>
      </c>
      <c r="B21" s="306">
        <v>74</v>
      </c>
      <c r="C21" s="306">
        <v>78</v>
      </c>
      <c r="D21" s="306">
        <v>76</v>
      </c>
      <c r="F21" s="306">
        <v>53</v>
      </c>
      <c r="G21" s="306">
        <v>59</v>
      </c>
      <c r="H21" s="306">
        <v>56</v>
      </c>
      <c r="J21" s="306">
        <v>73</v>
      </c>
      <c r="K21" s="306">
        <v>77</v>
      </c>
      <c r="L21" s="306">
        <v>75</v>
      </c>
    </row>
    <row r="22" spans="1:12" ht="11.25" customHeight="1" x14ac:dyDescent="0.2">
      <c r="A22" s="283" t="s">
        <v>504</v>
      </c>
      <c r="B22" s="306">
        <v>49</v>
      </c>
      <c r="C22" s="306">
        <v>53</v>
      </c>
      <c r="D22" s="306">
        <v>51</v>
      </c>
      <c r="F22" s="306">
        <v>28</v>
      </c>
      <c r="G22" s="306">
        <v>34</v>
      </c>
      <c r="H22" s="306">
        <v>31</v>
      </c>
      <c r="J22" s="306">
        <v>48</v>
      </c>
      <c r="K22" s="306">
        <v>52</v>
      </c>
      <c r="L22" s="306">
        <v>50</v>
      </c>
    </row>
    <row r="23" spans="1:12" ht="11.25" customHeight="1" x14ac:dyDescent="0.2">
      <c r="A23" s="283" t="s">
        <v>505</v>
      </c>
      <c r="B23" s="306">
        <v>37</v>
      </c>
      <c r="C23" s="306">
        <v>42</v>
      </c>
      <c r="D23" s="306">
        <v>39</v>
      </c>
      <c r="F23" s="306">
        <v>23</v>
      </c>
      <c r="G23" s="306">
        <v>29</v>
      </c>
      <c r="H23" s="306">
        <v>26</v>
      </c>
      <c r="J23" s="306">
        <v>37</v>
      </c>
      <c r="K23" s="306">
        <v>41</v>
      </c>
      <c r="L23" s="306">
        <v>39</v>
      </c>
    </row>
    <row r="24" spans="1:12" ht="11.25" customHeight="1" x14ac:dyDescent="0.2">
      <c r="A24" s="283" t="s">
        <v>506</v>
      </c>
      <c r="B24" s="306">
        <v>2</v>
      </c>
      <c r="C24" s="306">
        <v>2</v>
      </c>
      <c r="D24" s="306">
        <v>2</v>
      </c>
      <c r="F24" s="306">
        <v>0</v>
      </c>
      <c r="G24" s="306">
        <v>1</v>
      </c>
      <c r="H24" s="306">
        <v>1</v>
      </c>
      <c r="J24" s="306">
        <v>2</v>
      </c>
      <c r="K24" s="306">
        <v>2</v>
      </c>
      <c r="L24" s="306">
        <v>2</v>
      </c>
    </row>
    <row r="25" spans="1:12" ht="11.25" customHeight="1" x14ac:dyDescent="0.2">
      <c r="A25" s="283" t="s">
        <v>507</v>
      </c>
      <c r="B25" s="306">
        <v>24</v>
      </c>
      <c r="C25" s="306">
        <v>24</v>
      </c>
      <c r="D25" s="306">
        <v>24</v>
      </c>
      <c r="F25" s="306">
        <v>21</v>
      </c>
      <c r="G25" s="306">
        <v>22</v>
      </c>
      <c r="H25" s="306">
        <v>22</v>
      </c>
      <c r="J25" s="306">
        <v>24</v>
      </c>
      <c r="K25" s="306">
        <v>24</v>
      </c>
      <c r="L25" s="306">
        <v>24</v>
      </c>
    </row>
    <row r="26" spans="1:12" ht="11.25" customHeight="1" x14ac:dyDescent="0.2">
      <c r="A26" s="283" t="s">
        <v>508</v>
      </c>
      <c r="B26" s="306">
        <v>24</v>
      </c>
      <c r="C26" s="306">
        <v>24</v>
      </c>
      <c r="D26" s="306">
        <v>24</v>
      </c>
      <c r="F26" s="306">
        <v>21</v>
      </c>
      <c r="G26" s="306">
        <v>22</v>
      </c>
      <c r="H26" s="306">
        <v>22</v>
      </c>
      <c r="J26" s="306">
        <v>24</v>
      </c>
      <c r="K26" s="306">
        <v>24</v>
      </c>
      <c r="L26" s="306">
        <v>24</v>
      </c>
    </row>
    <row r="27" spans="1:12" ht="11.25" customHeight="1" x14ac:dyDescent="0.2">
      <c r="A27" s="283" t="s">
        <v>509</v>
      </c>
      <c r="B27" s="306">
        <v>24</v>
      </c>
      <c r="C27" s="306">
        <v>24</v>
      </c>
      <c r="D27" s="306">
        <v>24</v>
      </c>
      <c r="F27" s="306">
        <v>22</v>
      </c>
      <c r="G27" s="306">
        <v>23</v>
      </c>
      <c r="H27" s="306">
        <v>22</v>
      </c>
      <c r="J27" s="306">
        <v>24</v>
      </c>
      <c r="K27" s="306">
        <v>24</v>
      </c>
      <c r="L27" s="306">
        <v>24</v>
      </c>
    </row>
    <row r="28" spans="1:12" ht="11.25" customHeight="1" x14ac:dyDescent="0.2">
      <c r="A28" s="283" t="s">
        <v>581</v>
      </c>
      <c r="B28" s="306">
        <v>1</v>
      </c>
      <c r="C28" s="306">
        <v>1</v>
      </c>
      <c r="D28" s="306">
        <v>1</v>
      </c>
      <c r="F28" s="306">
        <v>1</v>
      </c>
      <c r="G28" s="306">
        <v>0</v>
      </c>
      <c r="H28" s="306">
        <v>1</v>
      </c>
      <c r="J28" s="306">
        <v>1</v>
      </c>
      <c r="K28" s="306">
        <v>1</v>
      </c>
      <c r="L28" s="306">
        <v>1</v>
      </c>
    </row>
    <row r="29" spans="1:12" ht="12" customHeight="1" x14ac:dyDescent="0.2">
      <c r="B29" s="306"/>
      <c r="C29" s="306"/>
      <c r="D29" s="306"/>
      <c r="F29" s="306"/>
      <c r="G29" s="306"/>
      <c r="H29" s="306"/>
      <c r="J29" s="306"/>
      <c r="K29" s="306"/>
      <c r="L29" s="306"/>
    </row>
    <row r="30" spans="1:12" ht="11.25" customHeight="1" x14ac:dyDescent="0.2">
      <c r="A30" s="283" t="s">
        <v>511</v>
      </c>
      <c r="B30" s="306">
        <v>34</v>
      </c>
      <c r="C30" s="306">
        <v>27</v>
      </c>
      <c r="D30" s="306">
        <v>31</v>
      </c>
      <c r="F30" s="306">
        <v>19</v>
      </c>
      <c r="G30" s="306">
        <v>20</v>
      </c>
      <c r="H30" s="306">
        <v>20</v>
      </c>
      <c r="J30" s="306">
        <v>34</v>
      </c>
      <c r="K30" s="306">
        <v>27</v>
      </c>
      <c r="L30" s="306">
        <v>30</v>
      </c>
    </row>
    <row r="31" spans="1:12" ht="11.25" customHeight="1" x14ac:dyDescent="0.2">
      <c r="A31" s="283" t="s">
        <v>512</v>
      </c>
      <c r="B31" s="306">
        <v>2</v>
      </c>
      <c r="C31" s="306">
        <v>0</v>
      </c>
      <c r="D31" s="306">
        <v>1</v>
      </c>
      <c r="F31" s="306">
        <v>2</v>
      </c>
      <c r="G31" s="306">
        <v>0</v>
      </c>
      <c r="H31" s="306">
        <v>1</v>
      </c>
      <c r="J31" s="306">
        <v>2</v>
      </c>
      <c r="K31" s="306">
        <v>0</v>
      </c>
      <c r="L31" s="306">
        <v>1</v>
      </c>
    </row>
    <row r="32" spans="1:12" ht="11.25" customHeight="1" x14ac:dyDescent="0.2">
      <c r="A32" s="283" t="s">
        <v>513</v>
      </c>
      <c r="B32" s="306">
        <v>5</v>
      </c>
      <c r="C32" s="306">
        <v>9</v>
      </c>
      <c r="D32" s="306">
        <v>7</v>
      </c>
      <c r="F32" s="306">
        <v>2</v>
      </c>
      <c r="G32" s="306">
        <v>6</v>
      </c>
      <c r="H32" s="306">
        <v>4</v>
      </c>
      <c r="J32" s="306">
        <v>5</v>
      </c>
      <c r="K32" s="306">
        <v>9</v>
      </c>
      <c r="L32" s="306">
        <v>7</v>
      </c>
    </row>
    <row r="33" spans="1:12" ht="11.25" customHeight="1" x14ac:dyDescent="0.2">
      <c r="A33" s="283" t="s">
        <v>514</v>
      </c>
      <c r="B33" s="306">
        <v>7</v>
      </c>
      <c r="C33" s="306">
        <v>5</v>
      </c>
      <c r="D33" s="306">
        <v>6</v>
      </c>
      <c r="F33" s="306">
        <v>3</v>
      </c>
      <c r="G33" s="306">
        <v>3</v>
      </c>
      <c r="H33" s="306">
        <v>3</v>
      </c>
      <c r="J33" s="306">
        <v>7</v>
      </c>
      <c r="K33" s="306">
        <v>4</v>
      </c>
      <c r="L33" s="306">
        <v>6</v>
      </c>
    </row>
    <row r="34" spans="1:12" ht="11.25" customHeight="1" x14ac:dyDescent="0.2">
      <c r="A34" s="283" t="s">
        <v>515</v>
      </c>
      <c r="B34" s="306">
        <v>14</v>
      </c>
      <c r="C34" s="306">
        <v>2</v>
      </c>
      <c r="D34" s="306">
        <v>8</v>
      </c>
      <c r="F34" s="306">
        <v>8</v>
      </c>
      <c r="G34" s="306">
        <v>2</v>
      </c>
      <c r="H34" s="306">
        <v>5</v>
      </c>
      <c r="J34" s="306">
        <v>14</v>
      </c>
      <c r="K34" s="306">
        <v>2</v>
      </c>
      <c r="L34" s="306">
        <v>8</v>
      </c>
    </row>
    <row r="35" spans="1:12" ht="11.25" customHeight="1" x14ac:dyDescent="0.2">
      <c r="A35" s="283" t="s">
        <v>516</v>
      </c>
      <c r="B35" s="306">
        <v>1</v>
      </c>
      <c r="C35" s="306">
        <v>0</v>
      </c>
      <c r="D35" s="306">
        <v>1</v>
      </c>
      <c r="F35" s="306">
        <v>1</v>
      </c>
      <c r="G35" s="306">
        <v>0</v>
      </c>
      <c r="H35" s="306">
        <v>0</v>
      </c>
      <c r="J35" s="306">
        <v>1</v>
      </c>
      <c r="K35" s="306">
        <v>0</v>
      </c>
      <c r="L35" s="306">
        <v>1</v>
      </c>
    </row>
    <row r="36" spans="1:12" ht="11.25" customHeight="1" x14ac:dyDescent="0.2">
      <c r="A36" s="283" t="s">
        <v>517</v>
      </c>
      <c r="B36" s="306">
        <v>0</v>
      </c>
      <c r="C36" s="306">
        <v>9</v>
      </c>
      <c r="D36" s="306">
        <v>4</v>
      </c>
      <c r="F36" s="306">
        <v>0</v>
      </c>
      <c r="G36" s="306">
        <v>7</v>
      </c>
      <c r="H36" s="306">
        <v>3</v>
      </c>
      <c r="J36" s="306">
        <v>0</v>
      </c>
      <c r="K36" s="306">
        <v>9</v>
      </c>
      <c r="L36" s="306">
        <v>4</v>
      </c>
    </row>
    <row r="37" spans="1:12" ht="11.25" customHeight="1" x14ac:dyDescent="0.2">
      <c r="A37" s="283" t="s">
        <v>582</v>
      </c>
      <c r="B37" s="306">
        <v>7</v>
      </c>
      <c r="C37" s="306">
        <v>3</v>
      </c>
      <c r="D37" s="306">
        <v>5</v>
      </c>
      <c r="F37" s="306">
        <v>4</v>
      </c>
      <c r="G37" s="306">
        <v>2</v>
      </c>
      <c r="H37" s="306">
        <v>3</v>
      </c>
      <c r="J37" s="306">
        <v>7</v>
      </c>
      <c r="K37" s="306">
        <v>3</v>
      </c>
      <c r="L37" s="306">
        <v>5</v>
      </c>
    </row>
    <row r="38" spans="1:12" ht="12" customHeight="1" x14ac:dyDescent="0.2">
      <c r="A38" s="302" t="s">
        <v>519</v>
      </c>
      <c r="B38" s="306">
        <v>1</v>
      </c>
      <c r="C38" s="306">
        <v>0</v>
      </c>
      <c r="D38" s="306">
        <v>0</v>
      </c>
      <c r="F38" s="306">
        <v>0</v>
      </c>
      <c r="G38" s="306">
        <v>0</v>
      </c>
      <c r="H38" s="306">
        <v>0</v>
      </c>
      <c r="J38" s="306">
        <v>1</v>
      </c>
      <c r="K38" s="306">
        <v>0</v>
      </c>
      <c r="L38" s="306">
        <v>0</v>
      </c>
    </row>
    <row r="39" spans="1:12" ht="12" customHeight="1" x14ac:dyDescent="0.2">
      <c r="A39" s="283" t="s">
        <v>583</v>
      </c>
      <c r="B39" s="306">
        <v>10</v>
      </c>
      <c r="C39" s="306">
        <v>8</v>
      </c>
      <c r="D39" s="306">
        <v>9</v>
      </c>
      <c r="F39" s="306">
        <v>7</v>
      </c>
      <c r="G39" s="306">
        <v>6</v>
      </c>
      <c r="H39" s="306">
        <v>7</v>
      </c>
      <c r="J39" s="306">
        <v>10</v>
      </c>
      <c r="K39" s="306">
        <v>8</v>
      </c>
      <c r="L39" s="306">
        <v>9</v>
      </c>
    </row>
    <row r="40" spans="1:12" ht="11.25" customHeight="1" x14ac:dyDescent="0.2">
      <c r="A40" s="283" t="s">
        <v>521</v>
      </c>
      <c r="B40" s="306">
        <v>12</v>
      </c>
      <c r="C40" s="306">
        <v>8</v>
      </c>
      <c r="D40" s="306">
        <v>10</v>
      </c>
      <c r="F40" s="306">
        <v>8</v>
      </c>
      <c r="G40" s="306">
        <v>6</v>
      </c>
      <c r="H40" s="306">
        <v>7</v>
      </c>
      <c r="J40" s="306">
        <v>12</v>
      </c>
      <c r="K40" s="306">
        <v>8</v>
      </c>
      <c r="L40" s="306">
        <v>10</v>
      </c>
    </row>
    <row r="41" spans="1:12" ht="11.25" customHeight="1" x14ac:dyDescent="0.2">
      <c r="A41" s="303" t="s">
        <v>522</v>
      </c>
      <c r="B41" s="306">
        <v>1</v>
      </c>
      <c r="C41" s="306">
        <v>1</v>
      </c>
      <c r="D41" s="306">
        <v>1</v>
      </c>
      <c r="F41" s="306">
        <v>1</v>
      </c>
      <c r="G41" s="306">
        <v>0</v>
      </c>
      <c r="H41" s="306">
        <v>0</v>
      </c>
      <c r="J41" s="306">
        <v>1</v>
      </c>
      <c r="K41" s="306">
        <v>1</v>
      </c>
      <c r="L41" s="306">
        <v>1</v>
      </c>
    </row>
    <row r="42" spans="1:12" ht="11.25" customHeight="1" x14ac:dyDescent="0.2">
      <c r="A42" s="283" t="s">
        <v>523</v>
      </c>
      <c r="B42" s="306">
        <v>1</v>
      </c>
      <c r="C42" s="306">
        <v>7</v>
      </c>
      <c r="D42" s="306">
        <v>4</v>
      </c>
      <c r="F42" s="306">
        <v>1</v>
      </c>
      <c r="G42" s="306">
        <v>4</v>
      </c>
      <c r="H42" s="306">
        <v>2</v>
      </c>
      <c r="J42" s="306">
        <v>1</v>
      </c>
      <c r="K42" s="306">
        <v>7</v>
      </c>
      <c r="L42" s="306">
        <v>4</v>
      </c>
    </row>
    <row r="43" spans="1:12" ht="11.25" customHeight="1" x14ac:dyDescent="0.2">
      <c r="B43" s="283"/>
      <c r="C43" s="283"/>
      <c r="D43" s="283"/>
      <c r="E43" s="283"/>
      <c r="F43" s="283"/>
      <c r="G43" s="283"/>
      <c r="H43" s="283"/>
      <c r="I43" s="283"/>
      <c r="J43" s="283"/>
      <c r="K43" s="283"/>
      <c r="L43" s="283"/>
    </row>
    <row r="44" spans="1:12" ht="11.25" customHeight="1" x14ac:dyDescent="0.2">
      <c r="A44" s="283" t="s">
        <v>524</v>
      </c>
      <c r="B44" s="306">
        <v>33</v>
      </c>
      <c r="C44" s="306">
        <v>30</v>
      </c>
      <c r="D44" s="306">
        <v>32</v>
      </c>
      <c r="F44" s="306">
        <v>22</v>
      </c>
      <c r="G44" s="306">
        <v>22</v>
      </c>
      <c r="H44" s="306">
        <v>22</v>
      </c>
      <c r="J44" s="306">
        <v>33</v>
      </c>
      <c r="K44" s="306">
        <v>30</v>
      </c>
      <c r="L44" s="306">
        <v>31</v>
      </c>
    </row>
    <row r="45" spans="1:12" ht="11.25" customHeight="1" x14ac:dyDescent="0.2">
      <c r="A45" s="283" t="s">
        <v>525</v>
      </c>
      <c r="B45" s="306">
        <v>36</v>
      </c>
      <c r="C45" s="306">
        <v>39</v>
      </c>
      <c r="D45" s="306">
        <v>37</v>
      </c>
      <c r="F45" s="306">
        <v>23</v>
      </c>
      <c r="G45" s="306">
        <v>28</v>
      </c>
      <c r="H45" s="306">
        <v>26</v>
      </c>
      <c r="J45" s="306">
        <v>35</v>
      </c>
      <c r="K45" s="306">
        <v>38</v>
      </c>
      <c r="L45" s="306">
        <v>36</v>
      </c>
    </row>
    <row r="46" spans="1:12" ht="11.25" customHeight="1" x14ac:dyDescent="0.2">
      <c r="A46" s="283" t="s">
        <v>526</v>
      </c>
      <c r="B46" s="306">
        <v>2</v>
      </c>
      <c r="C46" s="306">
        <v>2</v>
      </c>
      <c r="D46" s="306">
        <v>2</v>
      </c>
      <c r="F46" s="306">
        <v>1</v>
      </c>
      <c r="G46" s="306">
        <v>1</v>
      </c>
      <c r="H46" s="306">
        <v>1</v>
      </c>
      <c r="J46" s="306">
        <v>2</v>
      </c>
      <c r="K46" s="306">
        <v>2</v>
      </c>
      <c r="L46" s="306">
        <v>2</v>
      </c>
    </row>
    <row r="47" spans="1:12" ht="11.25" customHeight="1" x14ac:dyDescent="0.2">
      <c r="A47" s="283" t="s">
        <v>527</v>
      </c>
      <c r="B47" s="306">
        <v>1</v>
      </c>
      <c r="C47" s="306">
        <v>0</v>
      </c>
      <c r="D47" s="306">
        <v>1</v>
      </c>
      <c r="F47" s="306">
        <v>1</v>
      </c>
      <c r="G47" s="306">
        <v>0</v>
      </c>
      <c r="H47" s="306">
        <v>1</v>
      </c>
      <c r="J47" s="306">
        <v>1</v>
      </c>
      <c r="K47" s="306">
        <v>0</v>
      </c>
      <c r="L47" s="306">
        <v>1</v>
      </c>
    </row>
    <row r="48" spans="1:12" ht="11.25" customHeight="1" x14ac:dyDescent="0.2">
      <c r="A48" s="283" t="s">
        <v>528</v>
      </c>
      <c r="B48" s="306">
        <v>5</v>
      </c>
      <c r="C48" s="306">
        <v>9</v>
      </c>
      <c r="D48" s="306">
        <v>7</v>
      </c>
      <c r="F48" s="306">
        <v>3</v>
      </c>
      <c r="G48" s="306">
        <v>6</v>
      </c>
      <c r="H48" s="306">
        <v>4</v>
      </c>
      <c r="J48" s="306">
        <v>5</v>
      </c>
      <c r="K48" s="306">
        <v>9</v>
      </c>
      <c r="L48" s="306">
        <v>7</v>
      </c>
    </row>
    <row r="49" spans="1:13" ht="11.25" customHeight="1" x14ac:dyDescent="0.2">
      <c r="B49" s="283"/>
      <c r="C49" s="283"/>
      <c r="D49" s="283"/>
      <c r="E49" s="283"/>
      <c r="F49" s="283"/>
      <c r="G49" s="283"/>
      <c r="H49" s="283"/>
      <c r="I49" s="283"/>
      <c r="J49" s="283"/>
      <c r="K49" s="283"/>
      <c r="L49" s="283"/>
    </row>
    <row r="50" spans="1:13" ht="11.25" customHeight="1" x14ac:dyDescent="0.2">
      <c r="A50" s="283" t="s">
        <v>529</v>
      </c>
      <c r="B50" s="306">
        <v>41</v>
      </c>
      <c r="C50" s="306">
        <v>54</v>
      </c>
      <c r="D50" s="306">
        <v>48</v>
      </c>
      <c r="F50" s="306">
        <v>27</v>
      </c>
      <c r="G50" s="306">
        <v>41</v>
      </c>
      <c r="H50" s="306">
        <v>34</v>
      </c>
      <c r="J50" s="306">
        <v>41</v>
      </c>
      <c r="K50" s="306">
        <v>54</v>
      </c>
      <c r="L50" s="306">
        <v>47</v>
      </c>
      <c r="M50" s="299"/>
    </row>
    <row r="51" spans="1:13" ht="11.25" customHeight="1" x14ac:dyDescent="0.2">
      <c r="A51" s="304" t="s">
        <v>530</v>
      </c>
      <c r="B51" s="306">
        <v>0</v>
      </c>
      <c r="C51" s="306">
        <v>0</v>
      </c>
      <c r="D51" s="306">
        <v>0</v>
      </c>
      <c r="F51" s="306">
        <v>0</v>
      </c>
      <c r="G51" s="306">
        <v>0</v>
      </c>
      <c r="H51" s="306">
        <v>0</v>
      </c>
      <c r="J51" s="306">
        <v>0</v>
      </c>
      <c r="K51" s="306">
        <v>0</v>
      </c>
      <c r="L51" s="306">
        <v>0</v>
      </c>
    </row>
    <row r="52" spans="1:13" ht="11.25" customHeight="1" x14ac:dyDescent="0.2">
      <c r="A52" s="304" t="s">
        <v>531</v>
      </c>
      <c r="B52" s="306">
        <v>0</v>
      </c>
      <c r="C52" s="306">
        <v>0</v>
      </c>
      <c r="D52" s="306">
        <v>0</v>
      </c>
      <c r="F52" s="306">
        <v>0</v>
      </c>
      <c r="G52" s="306">
        <v>0</v>
      </c>
      <c r="H52" s="306">
        <v>0</v>
      </c>
      <c r="J52" s="306">
        <v>0</v>
      </c>
      <c r="K52" s="306">
        <v>0</v>
      </c>
      <c r="L52" s="306">
        <v>0</v>
      </c>
    </row>
    <row r="53" spans="1:13" ht="11.25" customHeight="1" x14ac:dyDescent="0.2">
      <c r="A53" s="283" t="s">
        <v>532</v>
      </c>
      <c r="B53" s="306">
        <v>21</v>
      </c>
      <c r="C53" s="306">
        <v>30</v>
      </c>
      <c r="D53" s="306">
        <v>26</v>
      </c>
      <c r="F53" s="306">
        <v>14</v>
      </c>
      <c r="G53" s="306">
        <v>22</v>
      </c>
      <c r="H53" s="306">
        <v>18</v>
      </c>
      <c r="J53" s="306">
        <v>21</v>
      </c>
      <c r="K53" s="306">
        <v>30</v>
      </c>
      <c r="L53" s="306">
        <v>25</v>
      </c>
    </row>
    <row r="54" spans="1:13" ht="11.25" customHeight="1" x14ac:dyDescent="0.2">
      <c r="A54" s="283" t="s">
        <v>533</v>
      </c>
      <c r="B54" s="306">
        <v>9</v>
      </c>
      <c r="C54" s="306">
        <v>10</v>
      </c>
      <c r="D54" s="306">
        <v>10</v>
      </c>
      <c r="F54" s="306">
        <v>6</v>
      </c>
      <c r="G54" s="306">
        <v>8</v>
      </c>
      <c r="H54" s="306">
        <v>7</v>
      </c>
      <c r="J54" s="306">
        <v>9</v>
      </c>
      <c r="K54" s="306">
        <v>10</v>
      </c>
      <c r="L54" s="306">
        <v>10</v>
      </c>
    </row>
    <row r="55" spans="1:13" ht="11.25" customHeight="1" x14ac:dyDescent="0.2">
      <c r="A55" s="283" t="s">
        <v>534</v>
      </c>
      <c r="B55" s="306">
        <v>1</v>
      </c>
      <c r="C55" s="306">
        <v>1</v>
      </c>
      <c r="D55" s="306">
        <v>1</v>
      </c>
      <c r="F55" s="306">
        <v>0</v>
      </c>
      <c r="G55" s="306">
        <v>1</v>
      </c>
      <c r="H55" s="306">
        <v>1</v>
      </c>
      <c r="J55" s="306">
        <v>1</v>
      </c>
      <c r="K55" s="306">
        <v>1</v>
      </c>
      <c r="L55" s="306">
        <v>1</v>
      </c>
    </row>
    <row r="56" spans="1:13" ht="11.25" customHeight="1" x14ac:dyDescent="0.2">
      <c r="A56" s="304" t="s">
        <v>535</v>
      </c>
      <c r="B56" s="306">
        <v>0</v>
      </c>
      <c r="C56" s="306">
        <v>0</v>
      </c>
      <c r="D56" s="306">
        <v>0</v>
      </c>
      <c r="F56" s="306">
        <v>0</v>
      </c>
      <c r="G56" s="306">
        <v>0</v>
      </c>
      <c r="H56" s="306">
        <v>0</v>
      </c>
      <c r="J56" s="306">
        <v>0</v>
      </c>
      <c r="K56" s="306">
        <v>0</v>
      </c>
      <c r="L56" s="306">
        <v>0</v>
      </c>
    </row>
    <row r="57" spans="1:13" ht="11.25" customHeight="1" x14ac:dyDescent="0.2">
      <c r="A57" s="283" t="s">
        <v>536</v>
      </c>
      <c r="B57" s="306">
        <v>11</v>
      </c>
      <c r="C57" s="306">
        <v>15</v>
      </c>
      <c r="D57" s="306">
        <v>13</v>
      </c>
      <c r="F57" s="306">
        <v>7</v>
      </c>
      <c r="G57" s="306">
        <v>12</v>
      </c>
      <c r="H57" s="306">
        <v>9</v>
      </c>
      <c r="J57" s="306">
        <v>11</v>
      </c>
      <c r="K57" s="306">
        <v>15</v>
      </c>
      <c r="L57" s="306">
        <v>13</v>
      </c>
    </row>
    <row r="58" spans="1:13" ht="11.25" customHeight="1" x14ac:dyDescent="0.2">
      <c r="A58" s="304" t="s">
        <v>537</v>
      </c>
      <c r="B58" s="306">
        <v>0</v>
      </c>
      <c r="C58" s="306">
        <v>1</v>
      </c>
      <c r="D58" s="306">
        <v>1</v>
      </c>
      <c r="F58" s="306">
        <v>0</v>
      </c>
      <c r="G58" s="306">
        <v>1</v>
      </c>
      <c r="H58" s="306">
        <v>0</v>
      </c>
      <c r="J58" s="306">
        <v>0</v>
      </c>
      <c r="K58" s="306">
        <v>1</v>
      </c>
      <c r="L58" s="306">
        <v>1</v>
      </c>
    </row>
    <row r="59" spans="1:13" ht="11.25" customHeight="1" x14ac:dyDescent="0.2">
      <c r="A59" s="283" t="s">
        <v>538</v>
      </c>
      <c r="B59" s="306">
        <v>1</v>
      </c>
      <c r="C59" s="306">
        <v>2</v>
      </c>
      <c r="D59" s="306">
        <v>1</v>
      </c>
      <c r="F59" s="306">
        <v>1</v>
      </c>
      <c r="G59" s="306">
        <v>1</v>
      </c>
      <c r="H59" s="306">
        <v>1</v>
      </c>
      <c r="J59" s="306">
        <v>1</v>
      </c>
      <c r="K59" s="306">
        <v>2</v>
      </c>
      <c r="L59" s="306">
        <v>1</v>
      </c>
    </row>
    <row r="60" spans="1:13" ht="11.25" customHeight="1" x14ac:dyDescent="0.2">
      <c r="B60" s="283"/>
      <c r="C60" s="283"/>
      <c r="D60" s="283"/>
      <c r="E60" s="283"/>
      <c r="F60" s="283"/>
      <c r="G60" s="283"/>
      <c r="H60" s="283"/>
      <c r="I60" s="283"/>
      <c r="J60" s="283"/>
      <c r="K60" s="283"/>
      <c r="L60" s="283"/>
    </row>
    <row r="61" spans="1:13" ht="11.25" customHeight="1" x14ac:dyDescent="0.2">
      <c r="A61" s="283" t="s">
        <v>539</v>
      </c>
      <c r="B61" s="306">
        <v>2</v>
      </c>
      <c r="C61" s="306">
        <v>2</v>
      </c>
      <c r="D61" s="306">
        <v>2</v>
      </c>
      <c r="F61" s="306">
        <v>2</v>
      </c>
      <c r="G61" s="306">
        <v>2</v>
      </c>
      <c r="H61" s="306">
        <v>2</v>
      </c>
      <c r="J61" s="306">
        <v>2</v>
      </c>
      <c r="K61" s="306">
        <v>2</v>
      </c>
      <c r="L61" s="306">
        <v>2</v>
      </c>
    </row>
    <row r="62" spans="1:13" ht="11.25" customHeight="1" x14ac:dyDescent="0.2">
      <c r="A62" s="3" t="s">
        <v>540</v>
      </c>
      <c r="B62" s="306">
        <v>1</v>
      </c>
      <c r="C62" s="306">
        <v>1</v>
      </c>
      <c r="D62" s="306">
        <v>1</v>
      </c>
      <c r="F62" s="306">
        <v>1</v>
      </c>
      <c r="G62" s="306">
        <v>0</v>
      </c>
      <c r="H62" s="306">
        <v>1</v>
      </c>
      <c r="J62" s="306">
        <v>1</v>
      </c>
      <c r="K62" s="306">
        <v>1</v>
      </c>
      <c r="L62" s="306">
        <v>1</v>
      </c>
    </row>
    <row r="63" spans="1:13" ht="11.25" customHeight="1" x14ac:dyDescent="0.2">
      <c r="A63" s="3" t="s">
        <v>541</v>
      </c>
      <c r="B63" s="306">
        <v>0</v>
      </c>
      <c r="C63" s="306">
        <v>0</v>
      </c>
      <c r="D63" s="306">
        <v>0</v>
      </c>
      <c r="F63" s="306">
        <v>0</v>
      </c>
      <c r="G63" s="306">
        <v>0</v>
      </c>
      <c r="H63" s="306">
        <v>0</v>
      </c>
      <c r="J63" s="306">
        <v>0</v>
      </c>
      <c r="K63" s="306">
        <v>0</v>
      </c>
      <c r="L63" s="306">
        <v>0</v>
      </c>
      <c r="M63" s="308"/>
    </row>
    <row r="64" spans="1:13" ht="11.25" customHeight="1" x14ac:dyDescent="0.2">
      <c r="A64" s="283" t="s">
        <v>542</v>
      </c>
      <c r="B64" s="306">
        <v>1</v>
      </c>
      <c r="C64" s="306">
        <v>2</v>
      </c>
      <c r="D64" s="306">
        <v>1</v>
      </c>
      <c r="F64" s="306">
        <v>1</v>
      </c>
      <c r="G64" s="306">
        <v>1</v>
      </c>
      <c r="H64" s="306">
        <v>1</v>
      </c>
      <c r="J64" s="306">
        <v>1</v>
      </c>
      <c r="K64" s="306">
        <v>2</v>
      </c>
      <c r="L64" s="306">
        <v>1</v>
      </c>
    </row>
    <row r="65" spans="1:12" ht="11.25" customHeight="1" x14ac:dyDescent="0.2">
      <c r="A65" s="283" t="s">
        <v>543</v>
      </c>
      <c r="B65" s="306">
        <v>0</v>
      </c>
      <c r="C65" s="306">
        <v>0</v>
      </c>
      <c r="D65" s="306">
        <v>0</v>
      </c>
      <c r="F65" s="306">
        <v>0</v>
      </c>
      <c r="G65" s="306">
        <v>0</v>
      </c>
      <c r="H65" s="306">
        <v>0</v>
      </c>
      <c r="J65" s="306">
        <v>0</v>
      </c>
      <c r="K65" s="306">
        <v>0</v>
      </c>
      <c r="L65" s="306">
        <v>0</v>
      </c>
    </row>
    <row r="66" spans="1:12" ht="11.25" customHeight="1" x14ac:dyDescent="0.2">
      <c r="B66" s="283"/>
      <c r="C66" s="283"/>
      <c r="D66" s="283"/>
      <c r="E66" s="283"/>
      <c r="F66" s="283"/>
      <c r="G66" s="283"/>
      <c r="H66" s="283"/>
      <c r="I66" s="283"/>
      <c r="J66" s="283"/>
      <c r="K66" s="283"/>
      <c r="L66" s="283"/>
    </row>
    <row r="67" spans="1:12" ht="11.25" customHeight="1" x14ac:dyDescent="0.2">
      <c r="A67" s="302" t="s">
        <v>544</v>
      </c>
      <c r="B67" s="306">
        <v>0</v>
      </c>
      <c r="C67" s="306">
        <v>0</v>
      </c>
      <c r="D67" s="306">
        <v>0</v>
      </c>
      <c r="F67" s="306">
        <v>0</v>
      </c>
      <c r="G67" s="306">
        <v>0</v>
      </c>
      <c r="H67" s="306">
        <v>0</v>
      </c>
      <c r="J67" s="306">
        <v>0</v>
      </c>
      <c r="K67" s="306">
        <v>0</v>
      </c>
      <c r="L67" s="306">
        <v>0</v>
      </c>
    </row>
    <row r="68" spans="1:12" ht="11.25" customHeight="1" x14ac:dyDescent="0.2">
      <c r="A68" s="305" t="s">
        <v>545</v>
      </c>
      <c r="B68" s="306" t="s">
        <v>196</v>
      </c>
      <c r="C68" s="306" t="s">
        <v>196</v>
      </c>
      <c r="D68" s="306" t="s">
        <v>196</v>
      </c>
      <c r="E68" s="306" t="s">
        <v>196</v>
      </c>
      <c r="F68" s="306" t="s">
        <v>196</v>
      </c>
      <c r="G68" s="306" t="s">
        <v>196</v>
      </c>
      <c r="H68" s="306" t="s">
        <v>196</v>
      </c>
      <c r="I68" s="306" t="s">
        <v>196</v>
      </c>
      <c r="J68" s="306" t="s">
        <v>196</v>
      </c>
      <c r="K68" s="306" t="s">
        <v>196</v>
      </c>
      <c r="L68" s="306" t="s">
        <v>196</v>
      </c>
    </row>
    <row r="69" spans="1:12" ht="11.25" customHeight="1" x14ac:dyDescent="0.2">
      <c r="A69" s="283" t="s">
        <v>546</v>
      </c>
      <c r="B69" s="306">
        <v>16</v>
      </c>
      <c r="C69" s="306">
        <v>34</v>
      </c>
      <c r="D69" s="306">
        <v>25</v>
      </c>
      <c r="F69" s="306">
        <v>10</v>
      </c>
      <c r="G69" s="306">
        <v>28</v>
      </c>
      <c r="H69" s="306">
        <v>19</v>
      </c>
      <c r="J69" s="306">
        <v>16</v>
      </c>
      <c r="K69" s="306">
        <v>34</v>
      </c>
      <c r="L69" s="306">
        <v>24</v>
      </c>
    </row>
    <row r="70" spans="1:12" ht="11.25" customHeight="1" x14ac:dyDescent="0.2">
      <c r="A70" s="283" t="s">
        <v>547</v>
      </c>
      <c r="B70" s="306">
        <v>1</v>
      </c>
      <c r="C70" s="306">
        <v>2</v>
      </c>
      <c r="D70" s="306">
        <v>1</v>
      </c>
      <c r="F70" s="306">
        <v>1</v>
      </c>
      <c r="G70" s="306">
        <v>1</v>
      </c>
      <c r="H70" s="306">
        <v>1</v>
      </c>
      <c r="J70" s="306">
        <v>1</v>
      </c>
      <c r="K70" s="306">
        <v>2</v>
      </c>
      <c r="L70" s="306">
        <v>1</v>
      </c>
    </row>
    <row r="71" spans="1:12" ht="11.25" customHeight="1" x14ac:dyDescent="0.2">
      <c r="A71" s="305" t="s">
        <v>548</v>
      </c>
      <c r="B71" s="306">
        <v>0</v>
      </c>
      <c r="C71" s="306">
        <v>0</v>
      </c>
      <c r="D71" s="306">
        <v>0</v>
      </c>
      <c r="F71" s="306">
        <v>0</v>
      </c>
      <c r="G71" s="306">
        <v>0</v>
      </c>
      <c r="H71" s="306">
        <v>0</v>
      </c>
      <c r="J71" s="306">
        <v>0</v>
      </c>
      <c r="K71" s="306">
        <v>0</v>
      </c>
      <c r="L71" s="306">
        <v>0</v>
      </c>
    </row>
    <row r="72" spans="1:12" ht="11.25" customHeight="1" x14ac:dyDescent="0.2">
      <c r="A72" s="283" t="s">
        <v>549</v>
      </c>
      <c r="B72" s="306">
        <v>8</v>
      </c>
      <c r="C72" s="306">
        <v>14</v>
      </c>
      <c r="D72" s="306">
        <v>11</v>
      </c>
      <c r="F72" s="306">
        <v>6</v>
      </c>
      <c r="G72" s="306">
        <v>11</v>
      </c>
      <c r="H72" s="306">
        <v>8</v>
      </c>
      <c r="J72" s="306">
        <v>8</v>
      </c>
      <c r="K72" s="306">
        <v>14</v>
      </c>
      <c r="L72" s="306">
        <v>11</v>
      </c>
    </row>
    <row r="73" spans="1:12" ht="11.25" customHeight="1" x14ac:dyDescent="0.2">
      <c r="A73" s="283" t="s">
        <v>550</v>
      </c>
      <c r="B73" s="306">
        <v>61</v>
      </c>
      <c r="C73" s="306">
        <v>73</v>
      </c>
      <c r="D73" s="306">
        <v>67</v>
      </c>
      <c r="F73" s="306">
        <v>43</v>
      </c>
      <c r="G73" s="306">
        <v>61</v>
      </c>
      <c r="H73" s="306">
        <v>52</v>
      </c>
      <c r="J73" s="306">
        <v>60</v>
      </c>
      <c r="K73" s="306">
        <v>72</v>
      </c>
      <c r="L73" s="306">
        <v>66</v>
      </c>
    </row>
    <row r="74" spans="1:12" ht="11.25" customHeight="1" x14ac:dyDescent="0.2">
      <c r="A74" s="139" t="s">
        <v>551</v>
      </c>
      <c r="B74" s="306">
        <v>0</v>
      </c>
      <c r="C74" s="306">
        <v>0</v>
      </c>
      <c r="D74" s="306">
        <v>0</v>
      </c>
      <c r="F74" s="306">
        <v>0</v>
      </c>
      <c r="G74" s="306">
        <v>0</v>
      </c>
      <c r="H74" s="306">
        <v>0</v>
      </c>
      <c r="J74" s="306">
        <v>0</v>
      </c>
      <c r="K74" s="306">
        <v>0</v>
      </c>
      <c r="L74" s="306">
        <v>0</v>
      </c>
    </row>
    <row r="75" spans="1:12" ht="11.25" customHeight="1" x14ac:dyDescent="0.2">
      <c r="A75" s="139" t="s">
        <v>552</v>
      </c>
      <c r="B75" s="306">
        <v>1</v>
      </c>
      <c r="C75" s="306">
        <v>1</v>
      </c>
      <c r="D75" s="306">
        <v>1</v>
      </c>
      <c r="F75" s="306">
        <v>0</v>
      </c>
      <c r="G75" s="306">
        <v>0</v>
      </c>
      <c r="H75" s="306">
        <v>0</v>
      </c>
      <c r="J75" s="306">
        <v>1</v>
      </c>
      <c r="K75" s="306">
        <v>1</v>
      </c>
      <c r="L75" s="306">
        <v>1</v>
      </c>
    </row>
    <row r="76" spans="1:12" ht="11.25" customHeight="1" x14ac:dyDescent="0.2">
      <c r="A76" s="302" t="s">
        <v>553</v>
      </c>
      <c r="B76" s="306">
        <v>0</v>
      </c>
      <c r="C76" s="306">
        <v>2</v>
      </c>
      <c r="D76" s="306">
        <v>1</v>
      </c>
      <c r="F76" s="306">
        <v>0</v>
      </c>
      <c r="G76" s="306">
        <v>1</v>
      </c>
      <c r="H76" s="306">
        <v>1</v>
      </c>
      <c r="J76" s="306">
        <v>0</v>
      </c>
      <c r="K76" s="306">
        <v>2</v>
      </c>
      <c r="L76" s="306">
        <v>1</v>
      </c>
    </row>
    <row r="77" spans="1:12" ht="11.25" customHeight="1" x14ac:dyDescent="0.2">
      <c r="A77" s="305" t="s">
        <v>554</v>
      </c>
      <c r="B77" s="306">
        <v>0</v>
      </c>
      <c r="C77" s="306">
        <v>0</v>
      </c>
      <c r="D77" s="306">
        <v>0</v>
      </c>
      <c r="F77" s="306">
        <v>0</v>
      </c>
      <c r="G77" s="306">
        <v>0</v>
      </c>
      <c r="H77" s="306">
        <v>0</v>
      </c>
      <c r="J77" s="306">
        <v>0</v>
      </c>
      <c r="K77" s="306">
        <v>0</v>
      </c>
      <c r="L77" s="306">
        <v>0</v>
      </c>
    </row>
    <row r="78" spans="1:12" ht="11.25" customHeight="1" x14ac:dyDescent="0.2">
      <c r="A78" s="305" t="s">
        <v>555</v>
      </c>
      <c r="B78" s="306">
        <v>0</v>
      </c>
      <c r="C78" s="306">
        <v>0</v>
      </c>
      <c r="D78" s="306">
        <v>0</v>
      </c>
      <c r="F78" s="306">
        <v>0</v>
      </c>
      <c r="G78" s="306">
        <v>0</v>
      </c>
      <c r="H78" s="306">
        <v>0</v>
      </c>
      <c r="J78" s="306">
        <v>0</v>
      </c>
      <c r="K78" s="306">
        <v>0</v>
      </c>
      <c r="L78" s="306">
        <v>0</v>
      </c>
    </row>
    <row r="79" spans="1:12" ht="11.25" customHeight="1" x14ac:dyDescent="0.2">
      <c r="A79" s="305" t="s">
        <v>556</v>
      </c>
      <c r="B79" s="306">
        <v>0</v>
      </c>
      <c r="C79" s="306">
        <v>0</v>
      </c>
      <c r="D79" s="306">
        <v>0</v>
      </c>
      <c r="F79" s="306">
        <v>0</v>
      </c>
      <c r="G79" s="306">
        <v>0</v>
      </c>
      <c r="H79" s="306">
        <v>0</v>
      </c>
      <c r="J79" s="306">
        <v>0</v>
      </c>
      <c r="K79" s="306">
        <v>0</v>
      </c>
      <c r="L79" s="306">
        <v>0</v>
      </c>
    </row>
    <row r="80" spans="1:12" ht="11.25" customHeight="1" x14ac:dyDescent="0.2">
      <c r="A80" s="283" t="s">
        <v>557</v>
      </c>
      <c r="B80" s="306">
        <v>7</v>
      </c>
      <c r="C80" s="306">
        <v>8</v>
      </c>
      <c r="D80" s="306">
        <v>8</v>
      </c>
      <c r="F80" s="306">
        <v>4</v>
      </c>
      <c r="G80" s="306">
        <v>6</v>
      </c>
      <c r="H80" s="306">
        <v>5</v>
      </c>
      <c r="J80" s="306">
        <v>7</v>
      </c>
      <c r="K80" s="306">
        <v>8</v>
      </c>
      <c r="L80" s="306">
        <v>8</v>
      </c>
    </row>
    <row r="81" spans="1:12" ht="11.25" customHeight="1" x14ac:dyDescent="0.2">
      <c r="A81" s="305" t="s">
        <v>558</v>
      </c>
      <c r="B81" s="306" t="s">
        <v>196</v>
      </c>
      <c r="C81" s="306" t="s">
        <v>196</v>
      </c>
      <c r="D81" s="306" t="s">
        <v>196</v>
      </c>
      <c r="E81" s="306"/>
      <c r="F81" s="306" t="s">
        <v>196</v>
      </c>
      <c r="G81" s="306" t="s">
        <v>196</v>
      </c>
      <c r="H81" s="306" t="s">
        <v>196</v>
      </c>
      <c r="I81" s="306"/>
      <c r="J81" s="306" t="s">
        <v>196</v>
      </c>
      <c r="K81" s="306" t="s">
        <v>196</v>
      </c>
      <c r="L81" s="306" t="s">
        <v>196</v>
      </c>
    </row>
    <row r="82" spans="1:12" ht="11.25" customHeight="1" x14ac:dyDescent="0.2">
      <c r="A82" s="283" t="s">
        <v>559</v>
      </c>
      <c r="B82" s="306">
        <v>6</v>
      </c>
      <c r="C82" s="306">
        <v>7</v>
      </c>
      <c r="D82" s="306">
        <v>7</v>
      </c>
      <c r="F82" s="306">
        <v>5</v>
      </c>
      <c r="G82" s="306">
        <v>5</v>
      </c>
      <c r="H82" s="306">
        <v>5</v>
      </c>
      <c r="J82" s="306">
        <v>6</v>
      </c>
      <c r="K82" s="306">
        <v>7</v>
      </c>
      <c r="L82" s="306">
        <v>6</v>
      </c>
    </row>
    <row r="83" spans="1:12" ht="11.25" customHeight="1" x14ac:dyDescent="0.2">
      <c r="A83" s="302" t="s">
        <v>560</v>
      </c>
      <c r="B83" s="306">
        <v>0</v>
      </c>
      <c r="C83" s="306">
        <v>1</v>
      </c>
      <c r="D83" s="306">
        <v>0</v>
      </c>
      <c r="F83" s="306">
        <v>0</v>
      </c>
      <c r="G83" s="306">
        <v>0</v>
      </c>
      <c r="H83" s="306">
        <v>0</v>
      </c>
      <c r="J83" s="306">
        <v>0</v>
      </c>
      <c r="K83" s="306">
        <v>1</v>
      </c>
      <c r="L83" s="306">
        <v>0</v>
      </c>
    </row>
    <row r="84" spans="1:12" ht="11.25" customHeight="1" x14ac:dyDescent="0.2">
      <c r="A84" s="283" t="s">
        <v>561</v>
      </c>
      <c r="B84" s="306">
        <v>19</v>
      </c>
      <c r="C84" s="306">
        <v>13</v>
      </c>
      <c r="D84" s="306">
        <v>16</v>
      </c>
      <c r="F84" s="306">
        <v>13</v>
      </c>
      <c r="G84" s="306">
        <v>9</v>
      </c>
      <c r="H84" s="306">
        <v>11</v>
      </c>
      <c r="J84" s="306">
        <v>19</v>
      </c>
      <c r="K84" s="306">
        <v>13</v>
      </c>
      <c r="L84" s="306">
        <v>16</v>
      </c>
    </row>
    <row r="85" spans="1:12" ht="11.25" customHeight="1" x14ac:dyDescent="0.2">
      <c r="A85" s="283" t="s">
        <v>562</v>
      </c>
      <c r="B85" s="306">
        <v>32</v>
      </c>
      <c r="C85" s="306">
        <v>40</v>
      </c>
      <c r="D85" s="306">
        <v>36</v>
      </c>
      <c r="F85" s="306">
        <v>22</v>
      </c>
      <c r="G85" s="306">
        <v>32</v>
      </c>
      <c r="H85" s="306">
        <v>27</v>
      </c>
      <c r="J85" s="306">
        <v>32</v>
      </c>
      <c r="K85" s="306">
        <v>40</v>
      </c>
      <c r="L85" s="306">
        <v>36</v>
      </c>
    </row>
    <row r="86" spans="1:12" ht="11.25" customHeight="1" x14ac:dyDescent="0.2">
      <c r="A86" s="283" t="s">
        <v>563</v>
      </c>
      <c r="B86" s="306">
        <v>7</v>
      </c>
      <c r="C86" s="306">
        <v>7</v>
      </c>
      <c r="D86" s="306">
        <v>7</v>
      </c>
      <c r="F86" s="306">
        <v>5</v>
      </c>
      <c r="G86" s="306">
        <v>6</v>
      </c>
      <c r="H86" s="306">
        <v>5</v>
      </c>
      <c r="J86" s="306">
        <v>7</v>
      </c>
      <c r="K86" s="306">
        <v>7</v>
      </c>
      <c r="L86" s="306">
        <v>7</v>
      </c>
    </row>
    <row r="87" spans="1:12" ht="11.25" customHeight="1" x14ac:dyDescent="0.2">
      <c r="A87" s="283" t="s">
        <v>564</v>
      </c>
      <c r="B87" s="306">
        <v>5</v>
      </c>
      <c r="C87" s="306">
        <v>6</v>
      </c>
      <c r="D87" s="306">
        <v>5</v>
      </c>
      <c r="F87" s="306">
        <v>3</v>
      </c>
      <c r="G87" s="306">
        <v>4</v>
      </c>
      <c r="H87" s="306">
        <v>3</v>
      </c>
      <c r="J87" s="306">
        <v>5</v>
      </c>
      <c r="K87" s="306">
        <v>5</v>
      </c>
      <c r="L87" s="306">
        <v>5</v>
      </c>
    </row>
    <row r="88" spans="1:12" ht="11.25" customHeight="1" x14ac:dyDescent="0.2">
      <c r="A88" s="292"/>
      <c r="B88" s="292"/>
      <c r="C88" s="292"/>
      <c r="D88" s="292"/>
      <c r="E88" s="292"/>
      <c r="F88" s="292"/>
      <c r="G88" s="292"/>
      <c r="H88" s="292"/>
      <c r="I88" s="292"/>
      <c r="J88" s="292"/>
      <c r="K88" s="292"/>
      <c r="L88" s="292"/>
    </row>
    <row r="89" spans="1:12" ht="11.25" customHeight="1" x14ac:dyDescent="0.2">
      <c r="A89" s="294"/>
      <c r="B89" s="317"/>
      <c r="C89" s="317"/>
      <c r="D89" s="317"/>
      <c r="E89" s="317"/>
      <c r="F89" s="317"/>
      <c r="G89" s="317"/>
      <c r="H89" s="317"/>
      <c r="I89" s="317"/>
      <c r="J89" s="317"/>
      <c r="K89" s="317"/>
      <c r="L89" s="140" t="s">
        <v>393</v>
      </c>
    </row>
    <row r="90" spans="1:12" ht="22.5" customHeight="1" x14ac:dyDescent="0.2">
      <c r="A90" s="463" t="s">
        <v>584</v>
      </c>
      <c r="B90" s="463"/>
      <c r="C90" s="463"/>
      <c r="D90" s="463"/>
      <c r="E90" s="463"/>
      <c r="F90" s="463"/>
      <c r="G90" s="471"/>
      <c r="H90" s="471"/>
      <c r="I90" s="471"/>
      <c r="J90" s="471"/>
      <c r="K90" s="471"/>
      <c r="L90" s="471"/>
    </row>
    <row r="91" spans="1:12" ht="11.25" customHeight="1" x14ac:dyDescent="0.2">
      <c r="A91" s="466" t="s">
        <v>566</v>
      </c>
      <c r="B91" s="466"/>
      <c r="C91" s="466"/>
      <c r="D91" s="466"/>
      <c r="E91" s="466"/>
      <c r="F91" s="466"/>
    </row>
    <row r="92" spans="1:12" x14ac:dyDescent="0.2">
      <c r="A92" s="276" t="s">
        <v>585</v>
      </c>
      <c r="B92" s="276"/>
      <c r="C92" s="276"/>
      <c r="D92" s="276"/>
      <c r="E92" s="276"/>
      <c r="F92" s="276"/>
    </row>
    <row r="93" spans="1:12" ht="11.25" customHeight="1" x14ac:dyDescent="0.2">
      <c r="A93" s="276" t="s">
        <v>586</v>
      </c>
      <c r="B93" s="276"/>
      <c r="C93" s="276"/>
      <c r="D93" s="276"/>
      <c r="E93" s="276"/>
      <c r="F93" s="276"/>
    </row>
    <row r="94" spans="1:12" ht="11.25" customHeight="1" x14ac:dyDescent="0.2">
      <c r="A94" s="276" t="s">
        <v>587</v>
      </c>
      <c r="B94" s="276"/>
      <c r="C94" s="276"/>
      <c r="D94" s="276"/>
      <c r="E94" s="276"/>
      <c r="F94" s="276"/>
    </row>
    <row r="95" spans="1:12" x14ac:dyDescent="0.2">
      <c r="A95" s="468" t="s">
        <v>588</v>
      </c>
      <c r="B95" s="468"/>
      <c r="C95" s="468"/>
    </row>
    <row r="96" spans="1:12" ht="11.25" customHeight="1" x14ac:dyDescent="0.2">
      <c r="A96" s="466" t="s">
        <v>589</v>
      </c>
      <c r="B96" s="466"/>
      <c r="C96" s="466"/>
      <c r="D96" s="466"/>
      <c r="E96" s="466"/>
      <c r="F96" s="466"/>
    </row>
    <row r="97" spans="1:12" x14ac:dyDescent="0.2">
      <c r="A97" s="466" t="s">
        <v>590</v>
      </c>
      <c r="B97" s="466"/>
      <c r="C97" s="466"/>
      <c r="D97" s="466"/>
      <c r="E97" s="466"/>
      <c r="F97" s="466"/>
      <c r="G97" s="466"/>
      <c r="H97" s="466"/>
      <c r="I97" s="466"/>
      <c r="J97" s="466"/>
      <c r="K97" s="466"/>
    </row>
    <row r="99" spans="1:12" x14ac:dyDescent="0.2">
      <c r="A99" s="3" t="s">
        <v>349</v>
      </c>
    </row>
    <row r="101" spans="1:12" ht="22.5" customHeight="1" x14ac:dyDescent="0.2">
      <c r="A101" s="465" t="s">
        <v>572</v>
      </c>
      <c r="B101" s="465"/>
      <c r="C101" s="465"/>
      <c r="D101" s="465"/>
      <c r="E101" s="465"/>
      <c r="F101" s="465"/>
      <c r="G101" s="465"/>
      <c r="H101" s="465"/>
      <c r="I101" s="465"/>
      <c r="J101" s="465"/>
      <c r="K101" s="465"/>
      <c r="L101" s="465"/>
    </row>
  </sheetData>
  <mergeCells count="12">
    <mergeCell ref="A90:L90"/>
    <mergeCell ref="A91:F91"/>
    <mergeCell ref="A95:C95"/>
    <mergeCell ref="A96:F96"/>
    <mergeCell ref="A97:K97"/>
    <mergeCell ref="A101:L101"/>
    <mergeCell ref="A1:L1"/>
    <mergeCell ref="A2:B2"/>
    <mergeCell ref="F4:L4"/>
    <mergeCell ref="B5:D5"/>
    <mergeCell ref="F5:H5"/>
    <mergeCell ref="J5:L5"/>
  </mergeCells>
  <conditionalFormatting sqref="B52:L53 B58:L59 B62:L65 B67:L67 B69:L80 B82:L87">
    <cfRule type="cellIs" dxfId="8" priority="3" stopIfTrue="1" operator="equal">
      <formula>"LOW"</formula>
    </cfRule>
    <cfRule type="cellIs" dxfId="7" priority="4" stopIfTrue="1" operator="equal">
      <formula>"HIGH"</formula>
    </cfRule>
  </conditionalFormatting>
  <pageMargins left="0.74803149606299213" right="0.74803149606299213" top="0.98425196850393704" bottom="0.98425196850393704" header="0.51181102362204722" footer="0.51181102362204722"/>
  <pageSetup paperSize="9" scale="8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2A570-3F3A-48E8-A39D-54538CED77D9}">
  <sheetPr>
    <tabColor indexed="26"/>
  </sheetPr>
  <dimension ref="A1:R105"/>
  <sheetViews>
    <sheetView showGridLines="0" zoomScale="80" zoomScaleNormal="80" workbookViewId="0">
      <selection sqref="A1:G1"/>
    </sheetView>
  </sheetViews>
  <sheetFormatPr defaultRowHeight="11.25" x14ac:dyDescent="0.2"/>
  <cols>
    <col min="1" max="1" width="28.28515625" style="283" customWidth="1"/>
    <col min="2" max="4" width="12.140625" style="283" customWidth="1"/>
    <col min="5" max="8" width="10.7109375" style="283" customWidth="1"/>
    <col min="9" max="13" width="11.85546875" style="283" customWidth="1"/>
    <col min="14" max="17" width="10.7109375" style="283" customWidth="1"/>
    <col min="18" max="256" width="11.42578125" style="294" customWidth="1"/>
    <col min="257" max="16384" width="9.140625" style="294"/>
  </cols>
  <sheetData>
    <row r="1" spans="1:18" ht="13.5" customHeight="1" x14ac:dyDescent="0.2">
      <c r="A1" s="460" t="s">
        <v>591</v>
      </c>
      <c r="B1" s="460"/>
      <c r="C1" s="460"/>
      <c r="D1" s="460"/>
      <c r="E1" s="460"/>
      <c r="F1" s="460"/>
      <c r="G1" s="460"/>
      <c r="H1" s="323"/>
      <c r="I1" s="323"/>
      <c r="J1" s="323"/>
      <c r="K1" s="323"/>
      <c r="L1" s="323"/>
      <c r="M1" s="323"/>
      <c r="N1" s="323"/>
      <c r="O1" s="323"/>
      <c r="P1" s="323"/>
      <c r="Q1" s="294"/>
    </row>
    <row r="2" spans="1:18" ht="13.5" customHeight="1" x14ac:dyDescent="0.2">
      <c r="A2" s="461" t="s">
        <v>592</v>
      </c>
      <c r="B2" s="461"/>
      <c r="C2" s="160"/>
      <c r="D2" s="160"/>
      <c r="Q2" s="294"/>
    </row>
    <row r="3" spans="1:18" ht="12.75" customHeight="1" x14ac:dyDescent="0.2">
      <c r="A3" s="1" t="s">
        <v>9</v>
      </c>
      <c r="B3" s="294"/>
      <c r="C3" s="294"/>
      <c r="D3" s="294"/>
      <c r="E3" s="294"/>
      <c r="F3" s="294"/>
      <c r="G3" s="294"/>
      <c r="H3" s="294"/>
      <c r="I3" s="294"/>
      <c r="J3" s="294"/>
      <c r="K3" s="294"/>
      <c r="L3" s="294"/>
      <c r="M3" s="294"/>
      <c r="N3" s="294"/>
      <c r="O3" s="294"/>
      <c r="P3" s="294"/>
      <c r="Q3" s="294"/>
    </row>
    <row r="4" spans="1:18" ht="11.25" customHeight="1" x14ac:dyDescent="0.2">
      <c r="A4" s="324"/>
      <c r="B4" s="164"/>
      <c r="C4" s="164"/>
      <c r="D4" s="164"/>
      <c r="E4" s="164"/>
      <c r="F4" s="164"/>
      <c r="G4" s="164"/>
      <c r="H4" s="164"/>
      <c r="I4" s="164"/>
      <c r="J4" s="325"/>
      <c r="K4" s="164"/>
      <c r="L4" s="326"/>
      <c r="M4" s="164"/>
      <c r="N4" s="164"/>
      <c r="O4" s="164"/>
      <c r="P4" s="164"/>
      <c r="Q4" s="321" t="s">
        <v>593</v>
      </c>
      <c r="R4" s="311"/>
    </row>
    <row r="5" spans="1:18" s="330" customFormat="1" ht="136.5" customHeight="1" x14ac:dyDescent="0.2">
      <c r="A5" s="327"/>
      <c r="B5" s="166" t="s">
        <v>594</v>
      </c>
      <c r="C5" s="166" t="s">
        <v>595</v>
      </c>
      <c r="D5" s="166" t="s">
        <v>596</v>
      </c>
      <c r="E5" s="166" t="s">
        <v>597</v>
      </c>
      <c r="F5" s="166" t="s">
        <v>598</v>
      </c>
      <c r="G5" s="277" t="s">
        <v>599</v>
      </c>
      <c r="H5" s="166" t="s">
        <v>600</v>
      </c>
      <c r="I5" s="166" t="s">
        <v>601</v>
      </c>
      <c r="J5" s="328" t="s">
        <v>602</v>
      </c>
      <c r="K5" s="166" t="s">
        <v>603</v>
      </c>
      <c r="L5" s="329" t="s">
        <v>604</v>
      </c>
      <c r="M5" s="166" t="s">
        <v>605</v>
      </c>
      <c r="N5" s="166" t="s">
        <v>606</v>
      </c>
      <c r="O5" s="166" t="s">
        <v>607</v>
      </c>
      <c r="P5" s="166" t="s">
        <v>608</v>
      </c>
      <c r="Q5" s="166" t="s">
        <v>609</v>
      </c>
    </row>
    <row r="6" spans="1:18" ht="11.25" customHeight="1" x14ac:dyDescent="0.2">
      <c r="A6" s="294"/>
    </row>
    <row r="7" spans="1:18" ht="11.25" customHeight="1" x14ac:dyDescent="0.2">
      <c r="A7" s="283" t="s">
        <v>497</v>
      </c>
      <c r="B7" s="331">
        <v>100</v>
      </c>
      <c r="C7" s="331">
        <v>100</v>
      </c>
      <c r="D7" s="331">
        <v>100</v>
      </c>
      <c r="E7" s="331">
        <v>99</v>
      </c>
      <c r="F7" s="331">
        <v>100</v>
      </c>
      <c r="G7" s="331">
        <v>99</v>
      </c>
      <c r="H7" s="331">
        <v>34</v>
      </c>
      <c r="I7" s="331">
        <v>98</v>
      </c>
      <c r="J7" s="331">
        <v>61</v>
      </c>
      <c r="K7" s="331">
        <v>98</v>
      </c>
      <c r="L7" s="331">
        <v>49</v>
      </c>
      <c r="M7" s="331">
        <v>95</v>
      </c>
      <c r="N7" s="331">
        <v>50</v>
      </c>
      <c r="O7" s="331">
        <v>92</v>
      </c>
      <c r="P7" s="331">
        <v>38</v>
      </c>
      <c r="Q7" s="331">
        <v>97</v>
      </c>
      <c r="R7"/>
    </row>
    <row r="8" spans="1:18" ht="11.25" customHeight="1" x14ac:dyDescent="0.2">
      <c r="R8"/>
    </row>
    <row r="9" spans="1:18" ht="11.25" customHeight="1" x14ac:dyDescent="0.2">
      <c r="A9" s="283" t="s">
        <v>498</v>
      </c>
      <c r="B9" s="331">
        <v>92</v>
      </c>
      <c r="C9" s="331">
        <v>93</v>
      </c>
      <c r="D9" s="331">
        <v>91</v>
      </c>
      <c r="E9" s="331">
        <v>85</v>
      </c>
      <c r="F9" s="331">
        <v>92</v>
      </c>
      <c r="G9" s="331">
        <v>88</v>
      </c>
      <c r="H9" s="331">
        <v>13</v>
      </c>
      <c r="I9" s="331">
        <v>90</v>
      </c>
      <c r="J9" s="331">
        <v>30</v>
      </c>
      <c r="K9" s="331">
        <v>89</v>
      </c>
      <c r="L9" s="331">
        <v>25</v>
      </c>
      <c r="M9" s="331">
        <v>39</v>
      </c>
      <c r="N9" s="331">
        <v>28</v>
      </c>
      <c r="O9" s="331">
        <v>38</v>
      </c>
      <c r="P9" s="331">
        <v>16</v>
      </c>
      <c r="Q9" s="331">
        <v>85</v>
      </c>
      <c r="R9"/>
    </row>
    <row r="10" spans="1:18" ht="11.25" customHeight="1" x14ac:dyDescent="0.2">
      <c r="A10" s="283" t="s">
        <v>499</v>
      </c>
      <c r="B10" s="331">
        <v>79</v>
      </c>
      <c r="C10" s="331">
        <v>79</v>
      </c>
      <c r="D10" s="331">
        <v>79</v>
      </c>
      <c r="E10" s="331">
        <v>63</v>
      </c>
      <c r="F10" s="331">
        <v>83</v>
      </c>
      <c r="G10" s="331">
        <v>80</v>
      </c>
      <c r="H10" s="331">
        <v>12</v>
      </c>
      <c r="I10" s="331">
        <v>78</v>
      </c>
      <c r="J10" s="331">
        <v>25</v>
      </c>
      <c r="K10" s="331">
        <v>77</v>
      </c>
      <c r="L10" s="331">
        <v>28</v>
      </c>
      <c r="M10" s="331">
        <v>38</v>
      </c>
      <c r="N10" s="331">
        <v>29</v>
      </c>
      <c r="O10" s="331">
        <v>37</v>
      </c>
      <c r="P10" s="331">
        <v>16</v>
      </c>
      <c r="Q10" s="331">
        <v>74</v>
      </c>
      <c r="R10"/>
    </row>
    <row r="11" spans="1:18" ht="11.25" customHeight="1" x14ac:dyDescent="0.2">
      <c r="A11" s="283" t="s">
        <v>500</v>
      </c>
      <c r="B11" s="331">
        <v>75</v>
      </c>
      <c r="C11" s="331">
        <v>75</v>
      </c>
      <c r="D11" s="331">
        <v>74</v>
      </c>
      <c r="E11" s="331">
        <v>55</v>
      </c>
      <c r="F11" s="331">
        <v>79</v>
      </c>
      <c r="G11" s="331">
        <v>75</v>
      </c>
      <c r="H11" s="331">
        <v>8</v>
      </c>
      <c r="I11" s="331">
        <v>73</v>
      </c>
      <c r="J11" s="331">
        <v>17</v>
      </c>
      <c r="K11" s="331">
        <v>72</v>
      </c>
      <c r="L11" s="331">
        <v>22</v>
      </c>
      <c r="M11" s="331">
        <v>32</v>
      </c>
      <c r="N11" s="331">
        <v>22</v>
      </c>
      <c r="O11" s="331">
        <v>31</v>
      </c>
      <c r="P11" s="331">
        <v>11</v>
      </c>
      <c r="Q11" s="331">
        <v>69</v>
      </c>
      <c r="R11"/>
    </row>
    <row r="12" spans="1:18" s="332" customFormat="1" ht="11.25" customHeight="1" x14ac:dyDescent="0.2">
      <c r="A12" s="298"/>
    </row>
    <row r="13" spans="1:18" ht="11.25" customHeight="1" x14ac:dyDescent="0.2">
      <c r="A13" s="283" t="s">
        <v>610</v>
      </c>
      <c r="B13" s="331">
        <v>93</v>
      </c>
      <c r="C13" s="331">
        <v>93</v>
      </c>
      <c r="D13" s="331">
        <v>92</v>
      </c>
      <c r="E13" s="331">
        <v>86</v>
      </c>
      <c r="F13" s="331">
        <v>94</v>
      </c>
      <c r="G13" s="331">
        <v>88</v>
      </c>
      <c r="H13" s="331">
        <v>15</v>
      </c>
      <c r="I13" s="331">
        <v>91</v>
      </c>
      <c r="J13" s="331">
        <v>32</v>
      </c>
      <c r="K13" s="331">
        <v>90</v>
      </c>
      <c r="L13" s="331">
        <v>27</v>
      </c>
      <c r="M13" s="331">
        <v>50</v>
      </c>
      <c r="N13" s="331">
        <v>33</v>
      </c>
      <c r="O13" s="331">
        <v>49</v>
      </c>
      <c r="P13" s="331">
        <v>19</v>
      </c>
      <c r="Q13" s="331">
        <v>87</v>
      </c>
      <c r="R13"/>
    </row>
    <row r="14" spans="1:18" ht="11.25" customHeight="1" x14ac:dyDescent="0.2">
      <c r="A14" s="301" t="s">
        <v>7</v>
      </c>
      <c r="B14" s="331">
        <v>25</v>
      </c>
      <c r="C14" s="331">
        <v>25</v>
      </c>
      <c r="D14" s="331">
        <v>24</v>
      </c>
      <c r="E14" s="331">
        <v>40</v>
      </c>
      <c r="F14" s="331">
        <v>20</v>
      </c>
      <c r="G14" s="331">
        <v>34</v>
      </c>
      <c r="H14" s="331">
        <v>14</v>
      </c>
      <c r="I14" s="331">
        <v>25</v>
      </c>
      <c r="J14" s="331">
        <v>25</v>
      </c>
      <c r="K14" s="331">
        <v>25</v>
      </c>
      <c r="L14" s="331">
        <v>18</v>
      </c>
      <c r="M14" s="331">
        <v>5</v>
      </c>
      <c r="N14" s="331">
        <v>26</v>
      </c>
      <c r="O14" s="331">
        <v>6</v>
      </c>
      <c r="P14" s="331">
        <v>16</v>
      </c>
      <c r="Q14" s="331">
        <v>23</v>
      </c>
      <c r="R14"/>
    </row>
    <row r="15" spans="1:18" ht="11.25" customHeight="1" x14ac:dyDescent="0.2">
      <c r="A15" s="301" t="s">
        <v>611</v>
      </c>
      <c r="B15" s="331">
        <v>68</v>
      </c>
      <c r="C15" s="331">
        <v>68</v>
      </c>
      <c r="D15" s="331">
        <v>67</v>
      </c>
      <c r="E15" s="331">
        <v>46</v>
      </c>
      <c r="F15" s="331">
        <v>74</v>
      </c>
      <c r="G15" s="331">
        <v>54</v>
      </c>
      <c r="H15" s="331">
        <v>2</v>
      </c>
      <c r="I15" s="331">
        <v>67</v>
      </c>
      <c r="J15" s="331">
        <v>6</v>
      </c>
      <c r="K15" s="331">
        <v>66</v>
      </c>
      <c r="L15" s="331">
        <v>9</v>
      </c>
      <c r="M15" s="331">
        <v>45</v>
      </c>
      <c r="N15" s="331">
        <v>7</v>
      </c>
      <c r="O15" s="331">
        <v>43</v>
      </c>
      <c r="P15" s="331">
        <v>3</v>
      </c>
      <c r="Q15" s="331">
        <v>64</v>
      </c>
      <c r="R15"/>
    </row>
    <row r="16" spans="1:18" ht="11.25" customHeight="1" x14ac:dyDescent="0.2">
      <c r="A16" s="301"/>
      <c r="R16"/>
    </row>
    <row r="17" spans="1:18" ht="11.25" customHeight="1" x14ac:dyDescent="0.2">
      <c r="A17" s="283" t="s">
        <v>8</v>
      </c>
      <c r="B17" s="331">
        <v>98</v>
      </c>
      <c r="C17" s="331">
        <v>98</v>
      </c>
      <c r="D17" s="331">
        <v>98</v>
      </c>
      <c r="E17" s="331">
        <v>99</v>
      </c>
      <c r="F17" s="331">
        <v>98</v>
      </c>
      <c r="G17" s="331">
        <v>99</v>
      </c>
      <c r="H17" s="331">
        <v>23</v>
      </c>
      <c r="I17" s="331">
        <v>97</v>
      </c>
      <c r="J17" s="331">
        <v>56</v>
      </c>
      <c r="K17" s="331">
        <v>96</v>
      </c>
      <c r="L17" s="331">
        <v>38</v>
      </c>
      <c r="M17" s="331">
        <v>50</v>
      </c>
      <c r="N17" s="331">
        <v>41</v>
      </c>
      <c r="O17" s="331">
        <v>50</v>
      </c>
      <c r="P17" s="331">
        <v>27</v>
      </c>
      <c r="Q17" s="331">
        <v>93</v>
      </c>
      <c r="R17" s="332"/>
    </row>
    <row r="18" spans="1:18" ht="11.25" customHeight="1" x14ac:dyDescent="0.2"/>
    <row r="19" spans="1:18" ht="11.25" customHeight="1" x14ac:dyDescent="0.2">
      <c r="A19" s="283" t="s">
        <v>503</v>
      </c>
      <c r="B19" s="331">
        <v>80</v>
      </c>
      <c r="C19" s="331">
        <v>80</v>
      </c>
      <c r="D19" s="331">
        <v>80</v>
      </c>
      <c r="E19" s="331">
        <v>63</v>
      </c>
      <c r="F19" s="331">
        <v>84</v>
      </c>
      <c r="G19" s="331">
        <v>80</v>
      </c>
      <c r="H19" s="331">
        <v>17</v>
      </c>
      <c r="I19" s="331">
        <v>79</v>
      </c>
      <c r="J19" s="331">
        <v>28</v>
      </c>
      <c r="K19" s="331">
        <v>78</v>
      </c>
      <c r="L19" s="331">
        <v>32</v>
      </c>
      <c r="M19" s="331">
        <v>53</v>
      </c>
      <c r="N19" s="331">
        <v>32</v>
      </c>
      <c r="O19" s="331">
        <v>52</v>
      </c>
      <c r="P19" s="331">
        <v>20</v>
      </c>
      <c r="Q19" s="331">
        <v>76</v>
      </c>
      <c r="R19"/>
    </row>
    <row r="20" spans="1:18" ht="11.25" customHeight="1" x14ac:dyDescent="0.2">
      <c r="A20" s="283" t="s">
        <v>504</v>
      </c>
      <c r="B20" s="331">
        <v>54</v>
      </c>
      <c r="C20" s="331">
        <v>56</v>
      </c>
      <c r="D20" s="331">
        <v>52</v>
      </c>
      <c r="E20" s="331">
        <v>47</v>
      </c>
      <c r="F20" s="331">
        <v>53</v>
      </c>
      <c r="G20" s="331">
        <v>55</v>
      </c>
      <c r="H20" s="331">
        <v>16</v>
      </c>
      <c r="I20" s="331">
        <v>53</v>
      </c>
      <c r="J20" s="331">
        <v>26</v>
      </c>
      <c r="K20" s="331">
        <v>53</v>
      </c>
      <c r="L20" s="331">
        <v>29</v>
      </c>
      <c r="M20" s="331">
        <v>25</v>
      </c>
      <c r="N20" s="331">
        <v>30</v>
      </c>
      <c r="O20" s="331">
        <v>25</v>
      </c>
      <c r="P20" s="331">
        <v>19</v>
      </c>
      <c r="Q20" s="331">
        <v>51</v>
      </c>
    </row>
    <row r="21" spans="1:18" ht="11.25" customHeight="1" x14ac:dyDescent="0.2">
      <c r="A21" s="283" t="s">
        <v>505</v>
      </c>
      <c r="B21" s="331">
        <v>42</v>
      </c>
      <c r="C21" s="331">
        <v>44</v>
      </c>
      <c r="D21" s="331">
        <v>41</v>
      </c>
      <c r="E21" s="331">
        <v>33</v>
      </c>
      <c r="F21" s="331">
        <v>43</v>
      </c>
      <c r="G21" s="331">
        <v>51</v>
      </c>
      <c r="H21" s="331">
        <v>1</v>
      </c>
      <c r="I21" s="331">
        <v>42</v>
      </c>
      <c r="J21" s="331">
        <v>2</v>
      </c>
      <c r="K21" s="331">
        <v>41</v>
      </c>
      <c r="L21" s="331">
        <v>10</v>
      </c>
      <c r="M21" s="331">
        <v>21</v>
      </c>
      <c r="N21" s="331">
        <v>7</v>
      </c>
      <c r="O21" s="331">
        <v>20</v>
      </c>
      <c r="P21" s="331">
        <v>2</v>
      </c>
      <c r="Q21" s="331">
        <v>39</v>
      </c>
      <c r="R21"/>
    </row>
    <row r="22" spans="1:18" ht="11.25" customHeight="1" x14ac:dyDescent="0.2">
      <c r="A22" s="283" t="s">
        <v>506</v>
      </c>
      <c r="B22" s="331">
        <v>2</v>
      </c>
      <c r="C22" s="331">
        <v>2</v>
      </c>
      <c r="D22" s="331">
        <v>2</v>
      </c>
      <c r="E22" s="331">
        <v>1</v>
      </c>
      <c r="F22" s="331">
        <v>2</v>
      </c>
      <c r="G22" s="331">
        <v>0</v>
      </c>
      <c r="H22" s="331">
        <v>0</v>
      </c>
      <c r="I22" s="331">
        <v>2</v>
      </c>
      <c r="J22" s="331">
        <v>1</v>
      </c>
      <c r="K22" s="331">
        <v>2</v>
      </c>
      <c r="L22" s="331" t="s">
        <v>612</v>
      </c>
      <c r="M22" s="331">
        <v>0</v>
      </c>
      <c r="N22" s="331">
        <v>1</v>
      </c>
      <c r="O22" s="331">
        <v>0</v>
      </c>
      <c r="P22" s="331">
        <v>0</v>
      </c>
      <c r="Q22" s="331">
        <v>2</v>
      </c>
      <c r="R22"/>
    </row>
    <row r="23" spans="1:18" ht="11.25" customHeight="1" x14ac:dyDescent="0.2">
      <c r="A23" s="283" t="s">
        <v>507</v>
      </c>
      <c r="B23" s="331">
        <v>25</v>
      </c>
      <c r="C23" s="331">
        <v>23</v>
      </c>
      <c r="D23" s="331">
        <v>26</v>
      </c>
      <c r="E23" s="331">
        <v>15</v>
      </c>
      <c r="F23" s="331">
        <v>30</v>
      </c>
      <c r="G23" s="331">
        <v>23</v>
      </c>
      <c r="H23" s="331">
        <v>0</v>
      </c>
      <c r="I23" s="331">
        <v>24</v>
      </c>
      <c r="J23" s="331">
        <v>0</v>
      </c>
      <c r="K23" s="331">
        <v>24</v>
      </c>
      <c r="L23" s="331">
        <v>1</v>
      </c>
      <c r="M23" s="331">
        <v>23</v>
      </c>
      <c r="N23" s="331">
        <v>0</v>
      </c>
      <c r="O23" s="331">
        <v>21</v>
      </c>
      <c r="P23" s="331">
        <v>0</v>
      </c>
      <c r="Q23" s="331">
        <v>24</v>
      </c>
      <c r="R23"/>
    </row>
    <row r="24" spans="1:18" ht="11.25" customHeight="1" x14ac:dyDescent="0.2">
      <c r="A24" s="283" t="s">
        <v>508</v>
      </c>
      <c r="B24" s="331">
        <v>25</v>
      </c>
      <c r="C24" s="331">
        <v>23</v>
      </c>
      <c r="D24" s="331">
        <v>27</v>
      </c>
      <c r="E24" s="331">
        <v>15</v>
      </c>
      <c r="F24" s="331">
        <v>30</v>
      </c>
      <c r="G24" s="331">
        <v>23</v>
      </c>
      <c r="H24" s="331">
        <v>0</v>
      </c>
      <c r="I24" s="331">
        <v>24</v>
      </c>
      <c r="J24" s="331">
        <v>0</v>
      </c>
      <c r="K24" s="331">
        <v>24</v>
      </c>
      <c r="L24" s="331">
        <v>1</v>
      </c>
      <c r="M24" s="331">
        <v>25</v>
      </c>
      <c r="N24" s="331">
        <v>0</v>
      </c>
      <c r="O24" s="331">
        <v>23</v>
      </c>
      <c r="P24" s="331">
        <v>0</v>
      </c>
      <c r="Q24" s="331">
        <v>24</v>
      </c>
      <c r="R24"/>
    </row>
    <row r="25" spans="1:18" ht="11.25" customHeight="1" x14ac:dyDescent="0.2">
      <c r="A25" s="283" t="s">
        <v>509</v>
      </c>
      <c r="B25" s="331">
        <v>25</v>
      </c>
      <c r="C25" s="331">
        <v>23</v>
      </c>
      <c r="D25" s="331">
        <v>27</v>
      </c>
      <c r="E25" s="331">
        <v>15</v>
      </c>
      <c r="F25" s="331">
        <v>30</v>
      </c>
      <c r="G25" s="331">
        <v>23</v>
      </c>
      <c r="H25" s="331">
        <v>0</v>
      </c>
      <c r="I25" s="331">
        <v>25</v>
      </c>
      <c r="J25" s="331">
        <v>1</v>
      </c>
      <c r="K25" s="331">
        <v>24</v>
      </c>
      <c r="L25" s="331">
        <v>1</v>
      </c>
      <c r="M25" s="331">
        <v>25</v>
      </c>
      <c r="N25" s="331">
        <v>1</v>
      </c>
      <c r="O25" s="331">
        <v>24</v>
      </c>
      <c r="P25" s="331">
        <v>1</v>
      </c>
      <c r="Q25" s="331">
        <v>24</v>
      </c>
      <c r="R25"/>
    </row>
    <row r="26" spans="1:18" ht="11.25" customHeight="1" x14ac:dyDescent="0.2">
      <c r="A26" s="283" t="s">
        <v>613</v>
      </c>
      <c r="B26" s="331">
        <v>1</v>
      </c>
      <c r="C26" s="331">
        <v>1</v>
      </c>
      <c r="D26" s="331">
        <v>1</v>
      </c>
      <c r="E26" s="331">
        <v>1</v>
      </c>
      <c r="F26" s="331">
        <v>1</v>
      </c>
      <c r="G26" s="331">
        <v>0</v>
      </c>
      <c r="H26" s="331">
        <v>0</v>
      </c>
      <c r="I26" s="331">
        <v>1</v>
      </c>
      <c r="J26" s="331">
        <v>0</v>
      </c>
      <c r="K26" s="331">
        <v>1</v>
      </c>
      <c r="L26" s="331">
        <v>1</v>
      </c>
      <c r="M26" s="331">
        <v>1</v>
      </c>
      <c r="N26" s="331">
        <v>0</v>
      </c>
      <c r="O26" s="331">
        <v>1</v>
      </c>
      <c r="P26" s="331">
        <v>0</v>
      </c>
      <c r="Q26" s="331">
        <v>1</v>
      </c>
      <c r="R26"/>
    </row>
    <row r="27" spans="1:18" ht="11.25" customHeight="1" x14ac:dyDescent="0.2">
      <c r="B27" s="331"/>
      <c r="C27" s="331"/>
      <c r="D27" s="331"/>
      <c r="E27" s="331"/>
      <c r="F27" s="331"/>
      <c r="G27" s="331"/>
      <c r="H27" s="331"/>
      <c r="I27" s="331"/>
      <c r="J27" s="331"/>
      <c r="K27" s="331"/>
      <c r="L27" s="331"/>
      <c r="M27" s="331"/>
      <c r="N27" s="331"/>
      <c r="O27" s="331"/>
      <c r="P27" s="331"/>
      <c r="Q27" s="331"/>
      <c r="R27"/>
    </row>
    <row r="28" spans="1:18" ht="11.25" customHeight="1" x14ac:dyDescent="0.2">
      <c r="A28" s="283" t="s">
        <v>511</v>
      </c>
      <c r="B28" s="331">
        <v>33</v>
      </c>
      <c r="C28" s="331">
        <v>33</v>
      </c>
      <c r="D28" s="331">
        <v>33</v>
      </c>
      <c r="E28" s="331">
        <v>25</v>
      </c>
      <c r="F28" s="331">
        <v>35</v>
      </c>
      <c r="G28" s="331">
        <v>15</v>
      </c>
      <c r="H28" s="331">
        <v>5</v>
      </c>
      <c r="I28" s="331">
        <v>33</v>
      </c>
      <c r="J28" s="331">
        <v>2</v>
      </c>
      <c r="K28" s="331">
        <v>32</v>
      </c>
      <c r="L28" s="331">
        <v>15</v>
      </c>
      <c r="M28" s="331">
        <v>19</v>
      </c>
      <c r="N28" s="331">
        <v>7</v>
      </c>
      <c r="O28" s="331">
        <v>18</v>
      </c>
      <c r="P28" s="331">
        <v>5</v>
      </c>
      <c r="Q28" s="331">
        <v>31</v>
      </c>
      <c r="R28"/>
    </row>
    <row r="29" spans="1:18" ht="11.25" customHeight="1" x14ac:dyDescent="0.2">
      <c r="A29" s="283" t="s">
        <v>512</v>
      </c>
      <c r="B29" s="331">
        <v>1</v>
      </c>
      <c r="C29" s="331">
        <v>1</v>
      </c>
      <c r="D29" s="331">
        <v>2</v>
      </c>
      <c r="E29" s="331">
        <v>1</v>
      </c>
      <c r="F29" s="331">
        <v>2</v>
      </c>
      <c r="G29" s="331">
        <v>0</v>
      </c>
      <c r="H29" s="331">
        <v>0</v>
      </c>
      <c r="I29" s="331">
        <v>1</v>
      </c>
      <c r="J29" s="331" t="s">
        <v>612</v>
      </c>
      <c r="K29" s="331">
        <v>1</v>
      </c>
      <c r="L29" s="331">
        <v>0</v>
      </c>
      <c r="M29" s="331">
        <v>1</v>
      </c>
      <c r="N29" s="331" t="s">
        <v>612</v>
      </c>
      <c r="O29" s="331">
        <v>1</v>
      </c>
      <c r="P29" s="331">
        <v>0</v>
      </c>
      <c r="Q29" s="331">
        <v>1</v>
      </c>
      <c r="R29"/>
    </row>
    <row r="30" spans="1:18" ht="11.25" customHeight="1" x14ac:dyDescent="0.2">
      <c r="A30" s="283" t="s">
        <v>513</v>
      </c>
      <c r="B30" s="331">
        <v>8</v>
      </c>
      <c r="C30" s="331">
        <v>8</v>
      </c>
      <c r="D30" s="331">
        <v>7</v>
      </c>
      <c r="E30" s="331">
        <v>6</v>
      </c>
      <c r="F30" s="331">
        <v>8</v>
      </c>
      <c r="G30" s="331" t="s">
        <v>612</v>
      </c>
      <c r="H30" s="331">
        <v>1</v>
      </c>
      <c r="I30" s="331">
        <v>7</v>
      </c>
      <c r="J30" s="331">
        <v>0</v>
      </c>
      <c r="K30" s="331">
        <v>7</v>
      </c>
      <c r="L30" s="331">
        <v>1</v>
      </c>
      <c r="M30" s="331">
        <v>2</v>
      </c>
      <c r="N30" s="331">
        <v>1</v>
      </c>
      <c r="O30" s="331">
        <v>2</v>
      </c>
      <c r="P30" s="331">
        <v>1</v>
      </c>
      <c r="Q30" s="331">
        <v>7</v>
      </c>
      <c r="R30"/>
    </row>
    <row r="31" spans="1:18" ht="11.25" customHeight="1" x14ac:dyDescent="0.2">
      <c r="A31" s="283" t="s">
        <v>514</v>
      </c>
      <c r="B31" s="331">
        <v>6</v>
      </c>
      <c r="C31" s="331">
        <v>6</v>
      </c>
      <c r="D31" s="331">
        <v>6</v>
      </c>
      <c r="E31" s="331">
        <v>4</v>
      </c>
      <c r="F31" s="331">
        <v>7</v>
      </c>
      <c r="G31" s="331">
        <v>1</v>
      </c>
      <c r="H31" s="331">
        <v>0</v>
      </c>
      <c r="I31" s="331">
        <v>6</v>
      </c>
      <c r="J31" s="331">
        <v>0</v>
      </c>
      <c r="K31" s="331">
        <v>6</v>
      </c>
      <c r="L31" s="331">
        <v>0</v>
      </c>
      <c r="M31" s="331">
        <v>2</v>
      </c>
      <c r="N31" s="331">
        <v>0</v>
      </c>
      <c r="O31" s="331">
        <v>2</v>
      </c>
      <c r="P31" s="331">
        <v>0</v>
      </c>
      <c r="Q31" s="331">
        <v>6</v>
      </c>
      <c r="R31"/>
    </row>
    <row r="32" spans="1:18" ht="11.25" customHeight="1" x14ac:dyDescent="0.2">
      <c r="A32" s="283" t="s">
        <v>515</v>
      </c>
      <c r="B32" s="331">
        <v>8</v>
      </c>
      <c r="C32" s="331">
        <v>8</v>
      </c>
      <c r="D32" s="331">
        <v>8</v>
      </c>
      <c r="E32" s="331">
        <v>7</v>
      </c>
      <c r="F32" s="331">
        <v>9</v>
      </c>
      <c r="G32" s="331">
        <v>3</v>
      </c>
      <c r="H32" s="331">
        <v>3</v>
      </c>
      <c r="I32" s="331">
        <v>8</v>
      </c>
      <c r="J32" s="331">
        <v>1</v>
      </c>
      <c r="K32" s="331">
        <v>8</v>
      </c>
      <c r="L32" s="331">
        <v>15</v>
      </c>
      <c r="M32" s="331">
        <v>10</v>
      </c>
      <c r="N32" s="331">
        <v>5</v>
      </c>
      <c r="O32" s="331">
        <v>10</v>
      </c>
      <c r="P32" s="331">
        <v>4</v>
      </c>
      <c r="Q32" s="331">
        <v>8</v>
      </c>
      <c r="R32"/>
    </row>
    <row r="33" spans="1:18" ht="11.25" customHeight="1" x14ac:dyDescent="0.2">
      <c r="A33" s="283" t="s">
        <v>516</v>
      </c>
      <c r="B33" s="331">
        <v>1</v>
      </c>
      <c r="C33" s="331">
        <v>1</v>
      </c>
      <c r="D33" s="331">
        <v>1</v>
      </c>
      <c r="E33" s="331">
        <v>0</v>
      </c>
      <c r="F33" s="331">
        <v>1</v>
      </c>
      <c r="G33" s="331">
        <v>0</v>
      </c>
      <c r="H33" s="331">
        <v>0</v>
      </c>
      <c r="I33" s="331">
        <v>1</v>
      </c>
      <c r="J33" s="331" t="s">
        <v>612</v>
      </c>
      <c r="K33" s="331">
        <v>1</v>
      </c>
      <c r="L33" s="331">
        <v>0</v>
      </c>
      <c r="M33" s="331">
        <v>0</v>
      </c>
      <c r="N33" s="331">
        <v>0</v>
      </c>
      <c r="O33" s="331">
        <v>0</v>
      </c>
      <c r="P33" s="331">
        <v>0</v>
      </c>
      <c r="Q33" s="331">
        <v>1</v>
      </c>
      <c r="R33"/>
    </row>
    <row r="34" spans="1:18" ht="12" customHeight="1" x14ac:dyDescent="0.2">
      <c r="A34" s="283" t="s">
        <v>517</v>
      </c>
      <c r="B34" s="331">
        <v>5</v>
      </c>
      <c r="C34" s="331">
        <v>5</v>
      </c>
      <c r="D34" s="331">
        <v>5</v>
      </c>
      <c r="E34" s="331">
        <v>3</v>
      </c>
      <c r="F34" s="331">
        <v>5</v>
      </c>
      <c r="G34" s="331">
        <v>1</v>
      </c>
      <c r="H34" s="331">
        <v>0</v>
      </c>
      <c r="I34" s="331">
        <v>5</v>
      </c>
      <c r="J34" s="331">
        <v>0</v>
      </c>
      <c r="K34" s="331">
        <v>5</v>
      </c>
      <c r="L34" s="331">
        <v>0</v>
      </c>
      <c r="M34" s="331">
        <v>2</v>
      </c>
      <c r="N34" s="331">
        <v>0</v>
      </c>
      <c r="O34" s="331">
        <v>2</v>
      </c>
      <c r="P34" s="331">
        <v>0</v>
      </c>
      <c r="Q34" s="331">
        <v>4</v>
      </c>
      <c r="R34"/>
    </row>
    <row r="35" spans="1:18" ht="12" customHeight="1" x14ac:dyDescent="0.2">
      <c r="A35" s="283" t="s">
        <v>614</v>
      </c>
      <c r="B35" s="331">
        <v>6</v>
      </c>
      <c r="C35" s="331">
        <v>6</v>
      </c>
      <c r="D35" s="331">
        <v>6</v>
      </c>
      <c r="E35" s="331">
        <v>6</v>
      </c>
      <c r="F35" s="331">
        <v>6</v>
      </c>
      <c r="G35" s="331">
        <v>10</v>
      </c>
      <c r="H35" s="331">
        <v>0</v>
      </c>
      <c r="I35" s="331">
        <v>6</v>
      </c>
      <c r="J35" s="331">
        <v>0</v>
      </c>
      <c r="K35" s="331">
        <v>6</v>
      </c>
      <c r="L35" s="331">
        <v>0</v>
      </c>
      <c r="M35" s="331">
        <v>3</v>
      </c>
      <c r="N35" s="331">
        <v>1</v>
      </c>
      <c r="O35" s="331">
        <v>3</v>
      </c>
      <c r="P35" s="331">
        <v>1</v>
      </c>
      <c r="Q35" s="331">
        <v>5</v>
      </c>
      <c r="R35"/>
    </row>
    <row r="36" spans="1:18" ht="11.25" customHeight="1" x14ac:dyDescent="0.2">
      <c r="A36" s="302" t="s">
        <v>519</v>
      </c>
      <c r="B36" s="331">
        <v>0</v>
      </c>
      <c r="C36" s="331">
        <v>0</v>
      </c>
      <c r="D36" s="331">
        <v>0</v>
      </c>
      <c r="E36" s="331">
        <v>0</v>
      </c>
      <c r="F36" s="331">
        <v>1</v>
      </c>
      <c r="G36" s="331">
        <v>0</v>
      </c>
      <c r="H36" s="331">
        <v>0</v>
      </c>
      <c r="I36" s="331">
        <v>0</v>
      </c>
      <c r="J36" s="331" t="s">
        <v>612</v>
      </c>
      <c r="K36" s="331">
        <v>0</v>
      </c>
      <c r="L36" s="331">
        <v>0</v>
      </c>
      <c r="M36" s="331">
        <v>0</v>
      </c>
      <c r="N36" s="331">
        <v>0</v>
      </c>
      <c r="O36" s="331">
        <v>0</v>
      </c>
      <c r="P36" s="331">
        <v>0</v>
      </c>
      <c r="Q36" s="331">
        <v>0</v>
      </c>
      <c r="R36"/>
    </row>
    <row r="37" spans="1:18" ht="11.25" customHeight="1" x14ac:dyDescent="0.2">
      <c r="A37" s="283" t="s">
        <v>615</v>
      </c>
      <c r="B37" s="331">
        <v>9</v>
      </c>
      <c r="C37" s="331">
        <v>9</v>
      </c>
      <c r="D37" s="331">
        <v>10</v>
      </c>
      <c r="E37" s="331">
        <v>6</v>
      </c>
      <c r="F37" s="331">
        <v>11</v>
      </c>
      <c r="G37" s="331">
        <v>27</v>
      </c>
      <c r="H37" s="331">
        <v>1</v>
      </c>
      <c r="I37" s="331">
        <v>9</v>
      </c>
      <c r="J37" s="331">
        <v>2</v>
      </c>
      <c r="K37" s="331">
        <v>9</v>
      </c>
      <c r="L37" s="331">
        <v>0</v>
      </c>
      <c r="M37" s="331">
        <v>10</v>
      </c>
      <c r="N37" s="331">
        <v>2</v>
      </c>
      <c r="O37" s="331">
        <v>9</v>
      </c>
      <c r="P37" s="331">
        <v>1</v>
      </c>
      <c r="Q37" s="331">
        <v>9</v>
      </c>
      <c r="R37"/>
    </row>
    <row r="38" spans="1:18" ht="11.25" customHeight="1" x14ac:dyDescent="0.2">
      <c r="A38" s="283" t="s">
        <v>521</v>
      </c>
      <c r="B38" s="331">
        <v>11</v>
      </c>
      <c r="C38" s="331">
        <v>9</v>
      </c>
      <c r="D38" s="331">
        <v>12</v>
      </c>
      <c r="E38" s="331">
        <v>6</v>
      </c>
      <c r="F38" s="331">
        <v>14</v>
      </c>
      <c r="G38" s="331">
        <v>32</v>
      </c>
      <c r="H38" s="331" t="s">
        <v>612</v>
      </c>
      <c r="I38" s="331">
        <v>11</v>
      </c>
      <c r="J38" s="331">
        <v>0</v>
      </c>
      <c r="K38" s="331">
        <v>10</v>
      </c>
      <c r="L38" s="331" t="s">
        <v>612</v>
      </c>
      <c r="M38" s="331">
        <v>9</v>
      </c>
      <c r="N38" s="331">
        <v>1</v>
      </c>
      <c r="O38" s="331">
        <v>8</v>
      </c>
      <c r="P38" s="331">
        <v>0</v>
      </c>
      <c r="Q38" s="331">
        <v>10</v>
      </c>
      <c r="R38"/>
    </row>
    <row r="39" spans="1:18" ht="11.25" customHeight="1" x14ac:dyDescent="0.2">
      <c r="A39" s="303" t="s">
        <v>522</v>
      </c>
      <c r="B39" s="331">
        <v>1</v>
      </c>
      <c r="C39" s="331">
        <v>1</v>
      </c>
      <c r="D39" s="331">
        <v>1</v>
      </c>
      <c r="E39" s="331">
        <v>0</v>
      </c>
      <c r="F39" s="331">
        <v>1</v>
      </c>
      <c r="G39" s="331">
        <v>0</v>
      </c>
      <c r="H39" s="331">
        <v>0</v>
      </c>
      <c r="I39" s="331">
        <v>1</v>
      </c>
      <c r="J39" s="331">
        <v>0</v>
      </c>
      <c r="K39" s="331">
        <v>1</v>
      </c>
      <c r="L39" s="331">
        <v>0</v>
      </c>
      <c r="M39" s="331">
        <v>0</v>
      </c>
      <c r="N39" s="331">
        <v>0</v>
      </c>
      <c r="O39" s="331">
        <v>0</v>
      </c>
      <c r="P39" s="331">
        <v>0</v>
      </c>
      <c r="Q39" s="331">
        <v>1</v>
      </c>
      <c r="R39"/>
    </row>
    <row r="40" spans="1:18" ht="11.25" customHeight="1" x14ac:dyDescent="0.2">
      <c r="A40" s="283" t="s">
        <v>523</v>
      </c>
      <c r="B40" s="331">
        <v>4</v>
      </c>
      <c r="C40" s="331">
        <v>4</v>
      </c>
      <c r="D40" s="331">
        <v>4</v>
      </c>
      <c r="E40" s="331">
        <v>3</v>
      </c>
      <c r="F40" s="331">
        <v>4</v>
      </c>
      <c r="G40" s="331">
        <v>0</v>
      </c>
      <c r="H40" s="331">
        <v>1</v>
      </c>
      <c r="I40" s="331">
        <v>4</v>
      </c>
      <c r="J40" s="331">
        <v>1</v>
      </c>
      <c r="K40" s="331">
        <v>4</v>
      </c>
      <c r="L40" s="331">
        <v>2</v>
      </c>
      <c r="M40" s="331">
        <v>3</v>
      </c>
      <c r="N40" s="331">
        <v>2</v>
      </c>
      <c r="O40" s="331">
        <v>3</v>
      </c>
      <c r="P40" s="331">
        <v>1</v>
      </c>
      <c r="Q40" s="331">
        <v>4</v>
      </c>
    </row>
    <row r="41" spans="1:18" ht="11.25" customHeight="1" x14ac:dyDescent="0.2">
      <c r="R41"/>
    </row>
    <row r="42" spans="1:18" ht="11.25" customHeight="1" x14ac:dyDescent="0.2">
      <c r="A42" s="283" t="s">
        <v>524</v>
      </c>
      <c r="B42" s="331">
        <v>32</v>
      </c>
      <c r="C42" s="331">
        <v>32</v>
      </c>
      <c r="D42" s="331">
        <v>33</v>
      </c>
      <c r="E42" s="331">
        <v>22</v>
      </c>
      <c r="F42" s="331">
        <v>36</v>
      </c>
      <c r="G42" s="331">
        <v>35</v>
      </c>
      <c r="H42" s="331">
        <v>1</v>
      </c>
      <c r="I42" s="331">
        <v>32</v>
      </c>
      <c r="J42" s="331">
        <v>1</v>
      </c>
      <c r="K42" s="331">
        <v>31</v>
      </c>
      <c r="L42" s="331">
        <v>5</v>
      </c>
      <c r="M42" s="331">
        <v>39</v>
      </c>
      <c r="N42" s="331">
        <v>6</v>
      </c>
      <c r="O42" s="331">
        <v>37</v>
      </c>
      <c r="P42" s="331">
        <v>2</v>
      </c>
      <c r="Q42" s="331">
        <v>32</v>
      </c>
      <c r="R42"/>
    </row>
    <row r="43" spans="1:18" ht="11.25" customHeight="1" x14ac:dyDescent="0.2">
      <c r="A43" s="283" t="s">
        <v>525</v>
      </c>
      <c r="B43" s="331">
        <v>38</v>
      </c>
      <c r="C43" s="331">
        <v>37</v>
      </c>
      <c r="D43" s="331">
        <v>39</v>
      </c>
      <c r="E43" s="331">
        <v>30</v>
      </c>
      <c r="F43" s="331">
        <v>42</v>
      </c>
      <c r="G43" s="331">
        <v>40</v>
      </c>
      <c r="H43" s="331">
        <v>1</v>
      </c>
      <c r="I43" s="331">
        <v>37</v>
      </c>
      <c r="J43" s="331">
        <v>1</v>
      </c>
      <c r="K43" s="331">
        <v>37</v>
      </c>
      <c r="L43" s="331">
        <v>5</v>
      </c>
      <c r="M43" s="331">
        <v>42</v>
      </c>
      <c r="N43" s="331">
        <v>5</v>
      </c>
      <c r="O43" s="331">
        <v>40</v>
      </c>
      <c r="P43" s="331">
        <v>2</v>
      </c>
      <c r="Q43" s="331">
        <v>37</v>
      </c>
      <c r="R43"/>
    </row>
    <row r="44" spans="1:18" ht="11.25" customHeight="1" x14ac:dyDescent="0.2">
      <c r="A44" s="283" t="s">
        <v>526</v>
      </c>
      <c r="B44" s="331">
        <v>2</v>
      </c>
      <c r="C44" s="331">
        <v>2</v>
      </c>
      <c r="D44" s="331">
        <v>2</v>
      </c>
      <c r="E44" s="331">
        <v>3</v>
      </c>
      <c r="F44" s="331">
        <v>2</v>
      </c>
      <c r="G44" s="331">
        <v>2</v>
      </c>
      <c r="H44" s="331">
        <v>0</v>
      </c>
      <c r="I44" s="331">
        <v>2</v>
      </c>
      <c r="J44" s="331">
        <v>1</v>
      </c>
      <c r="K44" s="331">
        <v>2</v>
      </c>
      <c r="L44" s="331" t="s">
        <v>612</v>
      </c>
      <c r="M44" s="331">
        <v>0</v>
      </c>
      <c r="N44" s="331">
        <v>1</v>
      </c>
      <c r="O44" s="331">
        <v>0</v>
      </c>
      <c r="P44" s="331">
        <v>1</v>
      </c>
      <c r="Q44" s="331">
        <v>2</v>
      </c>
      <c r="R44"/>
    </row>
    <row r="45" spans="1:18" ht="11.25" customHeight="1" x14ac:dyDescent="0.2">
      <c r="A45" s="283" t="s">
        <v>527</v>
      </c>
      <c r="B45" s="331">
        <v>1</v>
      </c>
      <c r="C45" s="331">
        <v>0</v>
      </c>
      <c r="D45" s="331">
        <v>1</v>
      </c>
      <c r="E45" s="331">
        <v>1</v>
      </c>
      <c r="F45" s="331">
        <v>1</v>
      </c>
      <c r="G45" s="331">
        <v>0</v>
      </c>
      <c r="H45" s="331" t="s">
        <v>612</v>
      </c>
      <c r="I45" s="331">
        <v>1</v>
      </c>
      <c r="J45" s="331" t="s">
        <v>612</v>
      </c>
      <c r="K45" s="331">
        <v>1</v>
      </c>
      <c r="L45" s="331">
        <v>0</v>
      </c>
      <c r="M45" s="331">
        <v>1</v>
      </c>
      <c r="N45" s="331" t="s">
        <v>612</v>
      </c>
      <c r="O45" s="331">
        <v>1</v>
      </c>
      <c r="P45" s="331" t="s">
        <v>612</v>
      </c>
      <c r="Q45" s="331">
        <v>1</v>
      </c>
      <c r="R45"/>
    </row>
    <row r="46" spans="1:18" ht="11.25" customHeight="1" x14ac:dyDescent="0.2">
      <c r="A46" s="283" t="s">
        <v>528</v>
      </c>
      <c r="B46" s="331">
        <v>7</v>
      </c>
      <c r="C46" s="331">
        <v>7</v>
      </c>
      <c r="D46" s="331">
        <v>7</v>
      </c>
      <c r="E46" s="331">
        <v>9</v>
      </c>
      <c r="F46" s="331">
        <v>7</v>
      </c>
      <c r="G46" s="331">
        <v>1</v>
      </c>
      <c r="H46" s="331">
        <v>0</v>
      </c>
      <c r="I46" s="331">
        <v>7</v>
      </c>
      <c r="J46" s="331">
        <v>1</v>
      </c>
      <c r="K46" s="331">
        <v>7</v>
      </c>
      <c r="L46" s="331">
        <v>0</v>
      </c>
      <c r="M46" s="331">
        <v>2</v>
      </c>
      <c r="N46" s="331">
        <v>1</v>
      </c>
      <c r="O46" s="331">
        <v>2</v>
      </c>
      <c r="P46" s="331">
        <v>0</v>
      </c>
      <c r="Q46" s="331">
        <v>7</v>
      </c>
      <c r="R46"/>
    </row>
    <row r="47" spans="1:18" ht="11.25" customHeight="1" x14ac:dyDescent="0.2"/>
    <row r="48" spans="1:18" ht="11.25" customHeight="1" x14ac:dyDescent="0.2">
      <c r="A48" s="283" t="s">
        <v>529</v>
      </c>
      <c r="B48" s="331">
        <v>48</v>
      </c>
      <c r="C48" s="331">
        <v>46</v>
      </c>
      <c r="D48" s="331">
        <v>50</v>
      </c>
      <c r="E48" s="331">
        <v>33</v>
      </c>
      <c r="F48" s="331">
        <v>55</v>
      </c>
      <c r="G48" s="331">
        <v>44</v>
      </c>
      <c r="H48" s="331">
        <v>0</v>
      </c>
      <c r="I48" s="331">
        <v>47</v>
      </c>
      <c r="J48" s="331">
        <v>2</v>
      </c>
      <c r="K48" s="331">
        <v>46</v>
      </c>
      <c r="L48" s="331">
        <v>3</v>
      </c>
      <c r="M48" s="331">
        <v>63</v>
      </c>
      <c r="N48" s="331">
        <v>1</v>
      </c>
      <c r="O48" s="331">
        <v>60</v>
      </c>
      <c r="P48" s="331">
        <v>1</v>
      </c>
      <c r="Q48" s="331">
        <v>48</v>
      </c>
      <c r="R48"/>
    </row>
    <row r="49" spans="1:17" ht="11.25" customHeight="1" x14ac:dyDescent="0.2">
      <c r="A49" s="304" t="s">
        <v>530</v>
      </c>
      <c r="B49" s="331">
        <v>0</v>
      </c>
      <c r="C49" s="331">
        <v>0</v>
      </c>
      <c r="D49" s="331">
        <v>0</v>
      </c>
      <c r="E49" s="331">
        <v>1</v>
      </c>
      <c r="F49" s="331">
        <v>0</v>
      </c>
      <c r="G49" s="331">
        <v>0</v>
      </c>
      <c r="H49" s="331" t="s">
        <v>612</v>
      </c>
      <c r="I49" s="331">
        <v>0</v>
      </c>
      <c r="J49" s="331">
        <v>0</v>
      </c>
      <c r="K49" s="331">
        <v>0</v>
      </c>
      <c r="L49" s="331">
        <v>0</v>
      </c>
      <c r="M49" s="331">
        <v>2</v>
      </c>
      <c r="N49" s="331">
        <v>0</v>
      </c>
      <c r="O49" s="331">
        <v>2</v>
      </c>
      <c r="P49" s="331">
        <v>0</v>
      </c>
      <c r="Q49" s="331">
        <v>0</v>
      </c>
    </row>
    <row r="50" spans="1:17" ht="11.25" customHeight="1" x14ac:dyDescent="0.2">
      <c r="A50" s="304" t="s">
        <v>531</v>
      </c>
      <c r="B50" s="331">
        <v>0</v>
      </c>
      <c r="C50" s="331">
        <v>0</v>
      </c>
      <c r="D50" s="331">
        <v>0</v>
      </c>
      <c r="E50" s="331">
        <v>0</v>
      </c>
      <c r="F50" s="331">
        <v>0</v>
      </c>
      <c r="G50" s="331">
        <v>0</v>
      </c>
      <c r="H50" s="331">
        <v>0</v>
      </c>
      <c r="I50" s="331">
        <v>0</v>
      </c>
      <c r="J50" s="331">
        <v>0</v>
      </c>
      <c r="K50" s="331">
        <v>0</v>
      </c>
      <c r="L50" s="331">
        <v>0</v>
      </c>
      <c r="M50" s="331">
        <v>2</v>
      </c>
      <c r="N50" s="331" t="s">
        <v>612</v>
      </c>
      <c r="O50" s="331">
        <v>2</v>
      </c>
      <c r="P50" s="331" t="s">
        <v>612</v>
      </c>
      <c r="Q50" s="331">
        <v>0</v>
      </c>
    </row>
    <row r="51" spans="1:17" ht="11.25" customHeight="1" x14ac:dyDescent="0.2">
      <c r="A51" s="283" t="s">
        <v>532</v>
      </c>
      <c r="B51" s="331">
        <v>26</v>
      </c>
      <c r="C51" s="331">
        <v>25</v>
      </c>
      <c r="D51" s="331">
        <v>27</v>
      </c>
      <c r="E51" s="331">
        <v>17</v>
      </c>
      <c r="F51" s="331">
        <v>30</v>
      </c>
      <c r="G51" s="331">
        <v>22</v>
      </c>
      <c r="H51" s="331">
        <v>0</v>
      </c>
      <c r="I51" s="331">
        <v>25</v>
      </c>
      <c r="J51" s="331">
        <v>1</v>
      </c>
      <c r="K51" s="331">
        <v>25</v>
      </c>
      <c r="L51" s="331">
        <v>3</v>
      </c>
      <c r="M51" s="331">
        <v>34</v>
      </c>
      <c r="N51" s="331">
        <v>1</v>
      </c>
      <c r="O51" s="331">
        <v>32</v>
      </c>
      <c r="P51" s="331">
        <v>0</v>
      </c>
      <c r="Q51" s="331">
        <v>26</v>
      </c>
    </row>
    <row r="52" spans="1:17" ht="11.25" customHeight="1" x14ac:dyDescent="0.2">
      <c r="A52" s="283" t="s">
        <v>533</v>
      </c>
      <c r="B52" s="331">
        <v>10</v>
      </c>
      <c r="C52" s="331">
        <v>9</v>
      </c>
      <c r="D52" s="331">
        <v>11</v>
      </c>
      <c r="E52" s="331">
        <v>4</v>
      </c>
      <c r="F52" s="331">
        <v>13</v>
      </c>
      <c r="G52" s="331">
        <v>8</v>
      </c>
      <c r="H52" s="331" t="s">
        <v>612</v>
      </c>
      <c r="I52" s="331">
        <v>10</v>
      </c>
      <c r="J52" s="331">
        <v>0</v>
      </c>
      <c r="K52" s="331">
        <v>9</v>
      </c>
      <c r="L52" s="331">
        <v>0</v>
      </c>
      <c r="M52" s="331">
        <v>10</v>
      </c>
      <c r="N52" s="331" t="s">
        <v>612</v>
      </c>
      <c r="O52" s="331">
        <v>10</v>
      </c>
      <c r="P52" s="331">
        <v>0</v>
      </c>
      <c r="Q52" s="331">
        <v>10</v>
      </c>
    </row>
    <row r="53" spans="1:17" ht="11.25" customHeight="1" x14ac:dyDescent="0.2">
      <c r="A53" s="283" t="s">
        <v>534</v>
      </c>
      <c r="B53" s="331">
        <v>1</v>
      </c>
      <c r="C53" s="331">
        <v>0</v>
      </c>
      <c r="D53" s="331">
        <v>1</v>
      </c>
      <c r="E53" s="331">
        <v>0</v>
      </c>
      <c r="F53" s="331">
        <v>1</v>
      </c>
      <c r="G53" s="331">
        <v>0</v>
      </c>
      <c r="H53" s="331">
        <v>0</v>
      </c>
      <c r="I53" s="331">
        <v>1</v>
      </c>
      <c r="J53" s="331">
        <v>0</v>
      </c>
      <c r="K53" s="331">
        <v>1</v>
      </c>
      <c r="L53" s="331">
        <v>0</v>
      </c>
      <c r="M53" s="331">
        <v>2</v>
      </c>
      <c r="N53" s="331">
        <v>0</v>
      </c>
      <c r="O53" s="331">
        <v>2</v>
      </c>
      <c r="P53" s="331">
        <v>0</v>
      </c>
      <c r="Q53" s="331">
        <v>1</v>
      </c>
    </row>
    <row r="54" spans="1:17" ht="11.25" customHeight="1" x14ac:dyDescent="0.2">
      <c r="A54" s="304" t="s">
        <v>535</v>
      </c>
      <c r="B54" s="331">
        <v>1</v>
      </c>
      <c r="C54" s="331">
        <v>1</v>
      </c>
      <c r="D54" s="331">
        <v>0</v>
      </c>
      <c r="E54" s="331">
        <v>1</v>
      </c>
      <c r="F54" s="331">
        <v>0</v>
      </c>
      <c r="G54" s="331" t="s">
        <v>612</v>
      </c>
      <c r="H54" s="331" t="s">
        <v>612</v>
      </c>
      <c r="I54" s="331">
        <v>0</v>
      </c>
      <c r="J54" s="331">
        <v>0</v>
      </c>
      <c r="K54" s="331">
        <v>0</v>
      </c>
      <c r="L54" s="331">
        <v>0</v>
      </c>
      <c r="M54" s="331">
        <v>0</v>
      </c>
      <c r="N54" s="331">
        <v>0</v>
      </c>
      <c r="O54" s="331">
        <v>0</v>
      </c>
      <c r="P54" s="331" t="s">
        <v>612</v>
      </c>
      <c r="Q54" s="331">
        <v>0</v>
      </c>
    </row>
    <row r="55" spans="1:17" ht="11.25" customHeight="1" x14ac:dyDescent="0.2">
      <c r="A55" s="283" t="s">
        <v>536</v>
      </c>
      <c r="B55" s="331">
        <v>13</v>
      </c>
      <c r="C55" s="331">
        <v>12</v>
      </c>
      <c r="D55" s="331">
        <v>14</v>
      </c>
      <c r="E55" s="331">
        <v>11</v>
      </c>
      <c r="F55" s="331">
        <v>14</v>
      </c>
      <c r="G55" s="331">
        <v>14</v>
      </c>
      <c r="H55" s="331">
        <v>0</v>
      </c>
      <c r="I55" s="331">
        <v>13</v>
      </c>
      <c r="J55" s="331">
        <v>0</v>
      </c>
      <c r="K55" s="331">
        <v>12</v>
      </c>
      <c r="L55" s="331" t="s">
        <v>612</v>
      </c>
      <c r="M55" s="331">
        <v>21</v>
      </c>
      <c r="N55" s="331" t="s">
        <v>612</v>
      </c>
      <c r="O55" s="331">
        <v>19</v>
      </c>
      <c r="P55" s="331">
        <v>0</v>
      </c>
      <c r="Q55" s="331">
        <v>13</v>
      </c>
    </row>
    <row r="56" spans="1:17" ht="11.25" customHeight="1" x14ac:dyDescent="0.2">
      <c r="A56" s="304" t="s">
        <v>537</v>
      </c>
      <c r="B56" s="331">
        <v>1</v>
      </c>
      <c r="C56" s="331">
        <v>1</v>
      </c>
      <c r="D56" s="331">
        <v>0</v>
      </c>
      <c r="E56" s="331">
        <v>1</v>
      </c>
      <c r="F56" s="331">
        <v>0</v>
      </c>
      <c r="G56" s="331">
        <v>0</v>
      </c>
      <c r="H56" s="331" t="s">
        <v>612</v>
      </c>
      <c r="I56" s="331">
        <v>1</v>
      </c>
      <c r="J56" s="331">
        <v>0</v>
      </c>
      <c r="K56" s="331">
        <v>1</v>
      </c>
      <c r="L56" s="331">
        <v>0</v>
      </c>
      <c r="M56" s="331">
        <v>2</v>
      </c>
      <c r="N56" s="331">
        <v>0</v>
      </c>
      <c r="O56" s="331">
        <v>2</v>
      </c>
      <c r="P56" s="331" t="s">
        <v>612</v>
      </c>
      <c r="Q56" s="331">
        <v>1</v>
      </c>
    </row>
    <row r="57" spans="1:17" ht="11.25" customHeight="1" x14ac:dyDescent="0.2">
      <c r="A57" s="283" t="s">
        <v>538</v>
      </c>
      <c r="B57" s="331">
        <v>1</v>
      </c>
      <c r="C57" s="331">
        <v>1</v>
      </c>
      <c r="D57" s="331">
        <v>1</v>
      </c>
      <c r="E57" s="331">
        <v>2</v>
      </c>
      <c r="F57" s="331">
        <v>1</v>
      </c>
      <c r="G57" s="331" t="s">
        <v>612</v>
      </c>
      <c r="H57" s="331" t="s">
        <v>612</v>
      </c>
      <c r="I57" s="331">
        <v>1</v>
      </c>
      <c r="J57" s="331">
        <v>0</v>
      </c>
      <c r="K57" s="331">
        <v>1</v>
      </c>
      <c r="L57" s="331">
        <v>0</v>
      </c>
      <c r="M57" s="331">
        <v>3</v>
      </c>
      <c r="N57" s="331" t="s">
        <v>612</v>
      </c>
      <c r="O57" s="331">
        <v>3</v>
      </c>
      <c r="P57" s="331">
        <v>0</v>
      </c>
      <c r="Q57" s="331">
        <v>1</v>
      </c>
    </row>
    <row r="58" spans="1:17" ht="11.25" customHeight="1" x14ac:dyDescent="0.2"/>
    <row r="59" spans="1:17" ht="11.25" customHeight="1" x14ac:dyDescent="0.2">
      <c r="A59" s="283" t="s">
        <v>539</v>
      </c>
      <c r="B59" s="331">
        <v>1</v>
      </c>
      <c r="C59" s="331">
        <v>1</v>
      </c>
      <c r="D59" s="331">
        <v>1</v>
      </c>
      <c r="E59" s="331">
        <v>0</v>
      </c>
      <c r="F59" s="331">
        <v>1</v>
      </c>
      <c r="G59" s="331">
        <v>2</v>
      </c>
      <c r="H59" s="331" t="s">
        <v>612</v>
      </c>
      <c r="I59" s="331">
        <v>1</v>
      </c>
      <c r="J59" s="331" t="s">
        <v>612</v>
      </c>
      <c r="K59" s="331">
        <v>1</v>
      </c>
      <c r="L59" s="331">
        <v>0</v>
      </c>
      <c r="M59" s="331">
        <v>18</v>
      </c>
      <c r="N59" s="331">
        <v>0</v>
      </c>
      <c r="O59" s="331">
        <v>17</v>
      </c>
      <c r="P59" s="331" t="s">
        <v>612</v>
      </c>
      <c r="Q59" s="331">
        <v>2</v>
      </c>
    </row>
    <row r="60" spans="1:17" ht="11.25" customHeight="1" x14ac:dyDescent="0.2">
      <c r="A60" s="3" t="s">
        <v>540</v>
      </c>
      <c r="B60" s="331">
        <v>0</v>
      </c>
      <c r="C60" s="331">
        <v>0</v>
      </c>
      <c r="D60" s="331">
        <v>0</v>
      </c>
      <c r="E60" s="331">
        <v>0</v>
      </c>
      <c r="F60" s="331">
        <v>0</v>
      </c>
      <c r="G60" s="331">
        <v>2</v>
      </c>
      <c r="H60" s="331">
        <v>0</v>
      </c>
      <c r="I60" s="331">
        <v>0</v>
      </c>
      <c r="J60" s="331" t="s">
        <v>612</v>
      </c>
      <c r="K60" s="331">
        <v>0</v>
      </c>
      <c r="L60" s="331">
        <v>0</v>
      </c>
      <c r="M60" s="331">
        <v>5</v>
      </c>
      <c r="N60" s="331">
        <v>0</v>
      </c>
      <c r="O60" s="331">
        <v>5</v>
      </c>
      <c r="P60" s="331">
        <v>0</v>
      </c>
      <c r="Q60" s="331">
        <v>1</v>
      </c>
    </row>
    <row r="61" spans="1:17" ht="11.25" customHeight="1" x14ac:dyDescent="0.2">
      <c r="A61" s="3" t="s">
        <v>541</v>
      </c>
      <c r="B61" s="331">
        <v>0</v>
      </c>
      <c r="C61" s="331">
        <v>0</v>
      </c>
      <c r="D61" s="331">
        <v>0</v>
      </c>
      <c r="E61" s="331">
        <v>0</v>
      </c>
      <c r="F61" s="331">
        <v>0</v>
      </c>
      <c r="G61" s="331">
        <v>0</v>
      </c>
      <c r="H61" s="331">
        <v>0</v>
      </c>
      <c r="I61" s="331">
        <v>0</v>
      </c>
      <c r="J61" s="331">
        <v>0</v>
      </c>
      <c r="K61" s="331">
        <v>0</v>
      </c>
      <c r="L61" s="331">
        <v>0</v>
      </c>
      <c r="M61" s="331">
        <v>2</v>
      </c>
      <c r="N61" s="331">
        <v>0</v>
      </c>
      <c r="O61" s="331">
        <v>2</v>
      </c>
      <c r="P61" s="331">
        <v>0</v>
      </c>
      <c r="Q61" s="331">
        <v>0</v>
      </c>
    </row>
    <row r="62" spans="1:17" ht="11.25" customHeight="1" x14ac:dyDescent="0.2">
      <c r="A62" s="283" t="s">
        <v>542</v>
      </c>
      <c r="B62" s="331">
        <v>1</v>
      </c>
      <c r="C62" s="331">
        <v>0</v>
      </c>
      <c r="D62" s="331">
        <v>1</v>
      </c>
      <c r="E62" s="331">
        <v>0</v>
      </c>
      <c r="F62" s="331">
        <v>1</v>
      </c>
      <c r="G62" s="331">
        <v>0</v>
      </c>
      <c r="H62" s="331" t="s">
        <v>612</v>
      </c>
      <c r="I62" s="331">
        <v>0</v>
      </c>
      <c r="J62" s="331">
        <v>0</v>
      </c>
      <c r="K62" s="331">
        <v>0</v>
      </c>
      <c r="L62" s="331">
        <v>0</v>
      </c>
      <c r="M62" s="331">
        <v>13</v>
      </c>
      <c r="N62" s="331">
        <v>0</v>
      </c>
      <c r="O62" s="331">
        <v>12</v>
      </c>
      <c r="P62" s="331" t="s">
        <v>612</v>
      </c>
      <c r="Q62" s="331">
        <v>1</v>
      </c>
    </row>
    <row r="63" spans="1:17" ht="11.25" customHeight="1" x14ac:dyDescent="0.2">
      <c r="A63" s="283" t="s">
        <v>543</v>
      </c>
      <c r="B63" s="331">
        <v>0</v>
      </c>
      <c r="C63" s="331">
        <v>0</v>
      </c>
      <c r="D63" s="331">
        <v>0</v>
      </c>
      <c r="E63" s="331">
        <v>0</v>
      </c>
      <c r="F63" s="331">
        <v>0</v>
      </c>
      <c r="G63" s="331">
        <v>0</v>
      </c>
      <c r="H63" s="331">
        <v>0</v>
      </c>
      <c r="I63" s="331">
        <v>0</v>
      </c>
      <c r="J63" s="331">
        <v>0</v>
      </c>
      <c r="K63" s="331">
        <v>0</v>
      </c>
      <c r="L63" s="331">
        <v>0</v>
      </c>
      <c r="M63" s="331">
        <v>1</v>
      </c>
      <c r="N63" s="331">
        <v>0</v>
      </c>
      <c r="O63" s="331">
        <v>1</v>
      </c>
      <c r="P63" s="331">
        <v>0</v>
      </c>
      <c r="Q63" s="331">
        <v>0</v>
      </c>
    </row>
    <row r="64" spans="1:17" ht="11.25" customHeight="1" x14ac:dyDescent="0.2"/>
    <row r="65" spans="1:18" ht="11.25" customHeight="1" x14ac:dyDescent="0.2">
      <c r="A65" s="302" t="s">
        <v>544</v>
      </c>
      <c r="B65" s="331">
        <v>0</v>
      </c>
      <c r="C65" s="331">
        <v>0</v>
      </c>
      <c r="D65" s="331">
        <v>0</v>
      </c>
      <c r="E65" s="331">
        <v>0</v>
      </c>
      <c r="F65" s="331">
        <v>0</v>
      </c>
      <c r="G65" s="331">
        <v>0</v>
      </c>
      <c r="H65" s="331">
        <v>0</v>
      </c>
      <c r="I65" s="331">
        <v>0</v>
      </c>
      <c r="J65" s="331">
        <v>0</v>
      </c>
      <c r="K65" s="331">
        <v>0</v>
      </c>
      <c r="L65" s="331">
        <v>0</v>
      </c>
      <c r="M65" s="331" t="s">
        <v>612</v>
      </c>
      <c r="N65" s="331">
        <v>0</v>
      </c>
      <c r="O65" s="331">
        <v>0</v>
      </c>
      <c r="P65" s="331">
        <v>0</v>
      </c>
      <c r="Q65" s="331">
        <v>0</v>
      </c>
    </row>
    <row r="66" spans="1:18" ht="11.25" customHeight="1" x14ac:dyDescent="0.2">
      <c r="A66" s="305" t="s">
        <v>545</v>
      </c>
      <c r="B66" s="306" t="s">
        <v>196</v>
      </c>
      <c r="C66" s="306" t="s">
        <v>196</v>
      </c>
      <c r="D66" s="306" t="s">
        <v>196</v>
      </c>
      <c r="E66" s="306" t="s">
        <v>196</v>
      </c>
      <c r="F66" s="306" t="s">
        <v>196</v>
      </c>
      <c r="G66" s="306" t="s">
        <v>196</v>
      </c>
      <c r="H66" s="306" t="s">
        <v>196</v>
      </c>
      <c r="I66" s="306" t="s">
        <v>196</v>
      </c>
      <c r="J66" s="306" t="s">
        <v>196</v>
      </c>
      <c r="K66" s="306" t="s">
        <v>196</v>
      </c>
      <c r="L66" s="306" t="s">
        <v>196</v>
      </c>
      <c r="M66" s="306" t="s">
        <v>196</v>
      </c>
      <c r="N66" s="306" t="s">
        <v>196</v>
      </c>
      <c r="O66" s="306" t="s">
        <v>196</v>
      </c>
      <c r="P66" s="306" t="s">
        <v>196</v>
      </c>
      <c r="Q66" s="306" t="s">
        <v>196</v>
      </c>
      <c r="R66" s="306"/>
    </row>
    <row r="67" spans="1:18" ht="11.25" customHeight="1" x14ac:dyDescent="0.2">
      <c r="A67" s="283" t="s">
        <v>546</v>
      </c>
      <c r="B67" s="331">
        <v>25</v>
      </c>
      <c r="C67" s="331">
        <v>25</v>
      </c>
      <c r="D67" s="331">
        <v>25</v>
      </c>
      <c r="E67" s="331">
        <v>21</v>
      </c>
      <c r="F67" s="331">
        <v>26</v>
      </c>
      <c r="G67" s="331">
        <v>19</v>
      </c>
      <c r="H67" s="331">
        <v>14</v>
      </c>
      <c r="I67" s="331">
        <v>25</v>
      </c>
      <c r="J67" s="331">
        <v>8</v>
      </c>
      <c r="K67" s="331">
        <v>24</v>
      </c>
      <c r="L67" s="331">
        <v>27</v>
      </c>
      <c r="M67" s="331">
        <v>28</v>
      </c>
      <c r="N67" s="331">
        <v>16</v>
      </c>
      <c r="O67" s="331">
        <v>28</v>
      </c>
      <c r="P67" s="331">
        <v>15</v>
      </c>
      <c r="Q67" s="331">
        <v>25</v>
      </c>
    </row>
    <row r="68" spans="1:18" ht="11.25" customHeight="1" x14ac:dyDescent="0.2">
      <c r="A68" s="283" t="s">
        <v>547</v>
      </c>
      <c r="B68" s="331">
        <v>2</v>
      </c>
      <c r="C68" s="331">
        <v>1</v>
      </c>
      <c r="D68" s="331">
        <v>2</v>
      </c>
      <c r="E68" s="331">
        <v>2</v>
      </c>
      <c r="F68" s="331">
        <v>2</v>
      </c>
      <c r="G68" s="331" t="s">
        <v>612</v>
      </c>
      <c r="H68" s="331">
        <v>1</v>
      </c>
      <c r="I68" s="331">
        <v>2</v>
      </c>
      <c r="J68" s="331">
        <v>1</v>
      </c>
      <c r="K68" s="331">
        <v>2</v>
      </c>
      <c r="L68" s="331">
        <v>2</v>
      </c>
      <c r="M68" s="331">
        <v>0</v>
      </c>
      <c r="N68" s="331">
        <v>1</v>
      </c>
      <c r="O68" s="331">
        <v>0</v>
      </c>
      <c r="P68" s="331">
        <v>1</v>
      </c>
      <c r="Q68" s="331">
        <v>1</v>
      </c>
    </row>
    <row r="69" spans="1:18" ht="11.25" customHeight="1" x14ac:dyDescent="0.2">
      <c r="A69" s="305" t="s">
        <v>548</v>
      </c>
      <c r="B69" s="331">
        <v>0</v>
      </c>
      <c r="C69" s="331">
        <v>0</v>
      </c>
      <c r="D69" s="331">
        <v>0</v>
      </c>
      <c r="E69" s="331">
        <v>0</v>
      </c>
      <c r="F69" s="331">
        <v>0</v>
      </c>
      <c r="G69" s="331">
        <v>0</v>
      </c>
      <c r="H69" s="331">
        <v>0</v>
      </c>
      <c r="I69" s="331">
        <v>0</v>
      </c>
      <c r="J69" s="331">
        <v>0</v>
      </c>
      <c r="K69" s="331">
        <v>0</v>
      </c>
      <c r="L69" s="331">
        <v>0</v>
      </c>
      <c r="M69" s="331">
        <v>0</v>
      </c>
      <c r="N69" s="331">
        <v>0</v>
      </c>
      <c r="O69" s="331">
        <v>0</v>
      </c>
      <c r="P69" s="331">
        <v>0</v>
      </c>
      <c r="Q69" s="331">
        <v>0</v>
      </c>
    </row>
    <row r="70" spans="1:18" ht="11.25" customHeight="1" x14ac:dyDescent="0.2">
      <c r="A70" s="283" t="s">
        <v>549</v>
      </c>
      <c r="B70" s="331">
        <v>11</v>
      </c>
      <c r="C70" s="331">
        <v>11</v>
      </c>
      <c r="D70" s="331">
        <v>11</v>
      </c>
      <c r="E70" s="331">
        <v>7</v>
      </c>
      <c r="F70" s="331">
        <v>13</v>
      </c>
      <c r="G70" s="331">
        <v>6</v>
      </c>
      <c r="H70" s="331">
        <v>0</v>
      </c>
      <c r="I70" s="331">
        <v>11</v>
      </c>
      <c r="J70" s="331">
        <v>1</v>
      </c>
      <c r="K70" s="331">
        <v>11</v>
      </c>
      <c r="L70" s="331">
        <v>2</v>
      </c>
      <c r="M70" s="331">
        <v>15</v>
      </c>
      <c r="N70" s="331">
        <v>3</v>
      </c>
      <c r="O70" s="331">
        <v>15</v>
      </c>
      <c r="P70" s="331">
        <v>1</v>
      </c>
      <c r="Q70" s="331">
        <v>11</v>
      </c>
    </row>
    <row r="71" spans="1:18" ht="11.25" customHeight="1" x14ac:dyDescent="0.2">
      <c r="A71" s="283" t="s">
        <v>550</v>
      </c>
      <c r="B71" s="331">
        <v>71</v>
      </c>
      <c r="C71" s="331">
        <v>71</v>
      </c>
      <c r="D71" s="331">
        <v>71</v>
      </c>
      <c r="E71" s="331">
        <v>52</v>
      </c>
      <c r="F71" s="331">
        <v>76</v>
      </c>
      <c r="G71" s="331">
        <v>54</v>
      </c>
      <c r="H71" s="331">
        <v>1</v>
      </c>
      <c r="I71" s="331">
        <v>70</v>
      </c>
      <c r="J71" s="331">
        <v>4</v>
      </c>
      <c r="K71" s="331">
        <v>68</v>
      </c>
      <c r="L71" s="331">
        <v>7</v>
      </c>
      <c r="M71" s="331">
        <v>48</v>
      </c>
      <c r="N71" s="331">
        <v>5</v>
      </c>
      <c r="O71" s="331">
        <v>46</v>
      </c>
      <c r="P71" s="331">
        <v>2</v>
      </c>
      <c r="Q71" s="331">
        <v>67</v>
      </c>
    </row>
    <row r="72" spans="1:18" ht="11.25" customHeight="1" x14ac:dyDescent="0.2">
      <c r="A72" s="139" t="s">
        <v>551</v>
      </c>
      <c r="B72" s="331">
        <v>0</v>
      </c>
      <c r="C72" s="331">
        <v>0</v>
      </c>
      <c r="D72" s="331">
        <v>1</v>
      </c>
      <c r="E72" s="331">
        <v>1</v>
      </c>
      <c r="F72" s="331">
        <v>0</v>
      </c>
      <c r="G72" s="331">
        <v>0</v>
      </c>
      <c r="H72" s="331">
        <v>0</v>
      </c>
      <c r="I72" s="331">
        <v>0</v>
      </c>
      <c r="J72" s="331">
        <v>0</v>
      </c>
      <c r="K72" s="331">
        <v>0</v>
      </c>
      <c r="L72" s="331">
        <v>0</v>
      </c>
      <c r="M72" s="331">
        <v>0</v>
      </c>
      <c r="N72" s="331">
        <v>0</v>
      </c>
      <c r="O72" s="331">
        <v>0</v>
      </c>
      <c r="P72" s="331">
        <v>0</v>
      </c>
      <c r="Q72" s="331">
        <v>0</v>
      </c>
    </row>
    <row r="73" spans="1:18" ht="11.25" customHeight="1" x14ac:dyDescent="0.2">
      <c r="A73" s="139" t="s">
        <v>552</v>
      </c>
      <c r="B73" s="331">
        <v>1</v>
      </c>
      <c r="C73" s="331">
        <v>1</v>
      </c>
      <c r="D73" s="331">
        <v>1</v>
      </c>
      <c r="E73" s="331">
        <v>0</v>
      </c>
      <c r="F73" s="331">
        <v>1</v>
      </c>
      <c r="G73" s="331">
        <v>0</v>
      </c>
      <c r="H73" s="331">
        <v>0</v>
      </c>
      <c r="I73" s="331">
        <v>1</v>
      </c>
      <c r="J73" s="331">
        <v>1</v>
      </c>
      <c r="K73" s="331">
        <v>1</v>
      </c>
      <c r="L73" s="331">
        <v>2</v>
      </c>
      <c r="M73" s="331">
        <v>0</v>
      </c>
      <c r="N73" s="331">
        <v>1</v>
      </c>
      <c r="O73" s="331">
        <v>0</v>
      </c>
      <c r="P73" s="331">
        <v>0</v>
      </c>
      <c r="Q73" s="331">
        <v>1</v>
      </c>
    </row>
    <row r="74" spans="1:18" ht="11.25" customHeight="1" x14ac:dyDescent="0.2">
      <c r="A74" s="302" t="s">
        <v>553</v>
      </c>
      <c r="B74" s="331">
        <v>1</v>
      </c>
      <c r="C74" s="331">
        <v>1</v>
      </c>
      <c r="D74" s="331">
        <v>1</v>
      </c>
      <c r="E74" s="331">
        <v>1</v>
      </c>
      <c r="F74" s="331">
        <v>1</v>
      </c>
      <c r="G74" s="331">
        <v>0</v>
      </c>
      <c r="H74" s="331" t="s">
        <v>612</v>
      </c>
      <c r="I74" s="331">
        <v>1</v>
      </c>
      <c r="J74" s="331">
        <v>0</v>
      </c>
      <c r="K74" s="331">
        <v>1</v>
      </c>
      <c r="L74" s="331">
        <v>0</v>
      </c>
      <c r="M74" s="331">
        <v>0</v>
      </c>
      <c r="N74" s="331">
        <v>0</v>
      </c>
      <c r="O74" s="331">
        <v>0</v>
      </c>
      <c r="P74" s="331">
        <v>0</v>
      </c>
      <c r="Q74" s="331">
        <v>1</v>
      </c>
    </row>
    <row r="75" spans="1:18" ht="11.25" customHeight="1" x14ac:dyDescent="0.2">
      <c r="A75" s="305" t="s">
        <v>554</v>
      </c>
      <c r="B75" s="331">
        <v>0</v>
      </c>
      <c r="C75" s="331">
        <v>0</v>
      </c>
      <c r="D75" s="331">
        <v>0</v>
      </c>
      <c r="E75" s="331">
        <v>0</v>
      </c>
      <c r="F75" s="331">
        <v>0</v>
      </c>
      <c r="G75" s="331" t="s">
        <v>612</v>
      </c>
      <c r="H75" s="331">
        <v>0</v>
      </c>
      <c r="I75" s="331">
        <v>0</v>
      </c>
      <c r="J75" s="331">
        <v>0</v>
      </c>
      <c r="K75" s="331">
        <v>0</v>
      </c>
      <c r="L75" s="331">
        <v>0</v>
      </c>
      <c r="M75" s="331">
        <v>0</v>
      </c>
      <c r="N75" s="331">
        <v>0</v>
      </c>
      <c r="O75" s="331">
        <v>0</v>
      </c>
      <c r="P75" s="331">
        <v>0</v>
      </c>
      <c r="Q75" s="331">
        <v>0</v>
      </c>
    </row>
    <row r="76" spans="1:18" ht="11.25" customHeight="1" x14ac:dyDescent="0.2">
      <c r="A76" s="305" t="s">
        <v>555</v>
      </c>
      <c r="B76" s="331">
        <v>0</v>
      </c>
      <c r="C76" s="331">
        <v>1</v>
      </c>
      <c r="D76" s="331">
        <v>0</v>
      </c>
      <c r="E76" s="331">
        <v>0</v>
      </c>
      <c r="F76" s="331">
        <v>0</v>
      </c>
      <c r="G76" s="331">
        <v>0</v>
      </c>
      <c r="H76" s="331">
        <v>0</v>
      </c>
      <c r="I76" s="331">
        <v>0</v>
      </c>
      <c r="J76" s="331">
        <v>0</v>
      </c>
      <c r="K76" s="331">
        <v>0</v>
      </c>
      <c r="L76" s="331">
        <v>0</v>
      </c>
      <c r="M76" s="331">
        <v>0</v>
      </c>
      <c r="N76" s="331">
        <v>0</v>
      </c>
      <c r="O76" s="331">
        <v>0</v>
      </c>
      <c r="P76" s="331">
        <v>0</v>
      </c>
      <c r="Q76" s="331">
        <v>0</v>
      </c>
    </row>
    <row r="77" spans="1:18" ht="11.25" customHeight="1" x14ac:dyDescent="0.2">
      <c r="A77" s="305" t="s">
        <v>556</v>
      </c>
      <c r="B77" s="331">
        <v>0</v>
      </c>
      <c r="C77" s="331">
        <v>0</v>
      </c>
      <c r="D77" s="331">
        <v>0</v>
      </c>
      <c r="E77" s="331" t="s">
        <v>612</v>
      </c>
      <c r="F77" s="331">
        <v>0</v>
      </c>
      <c r="G77" s="331">
        <v>0</v>
      </c>
      <c r="H77" s="331">
        <v>0</v>
      </c>
      <c r="I77" s="331">
        <v>0</v>
      </c>
      <c r="J77" s="331">
        <v>0</v>
      </c>
      <c r="K77" s="331">
        <v>0</v>
      </c>
      <c r="L77" s="331">
        <v>0</v>
      </c>
      <c r="M77" s="331">
        <v>0</v>
      </c>
      <c r="N77" s="331">
        <v>0</v>
      </c>
      <c r="O77" s="331">
        <v>0</v>
      </c>
      <c r="P77" s="331">
        <v>0</v>
      </c>
      <c r="Q77" s="331">
        <v>0</v>
      </c>
    </row>
    <row r="78" spans="1:18" ht="11.25" customHeight="1" x14ac:dyDescent="0.2">
      <c r="A78" s="283" t="s">
        <v>557</v>
      </c>
      <c r="B78" s="331">
        <v>9</v>
      </c>
      <c r="C78" s="331">
        <v>9</v>
      </c>
      <c r="D78" s="331">
        <v>8</v>
      </c>
      <c r="E78" s="331">
        <v>8</v>
      </c>
      <c r="F78" s="331">
        <v>8</v>
      </c>
      <c r="G78" s="331" t="s">
        <v>612</v>
      </c>
      <c r="H78" s="331">
        <v>1</v>
      </c>
      <c r="I78" s="331">
        <v>8</v>
      </c>
      <c r="J78" s="331">
        <v>1</v>
      </c>
      <c r="K78" s="331">
        <v>8</v>
      </c>
      <c r="L78" s="331">
        <v>1</v>
      </c>
      <c r="M78" s="331">
        <v>1</v>
      </c>
      <c r="N78" s="331">
        <v>1</v>
      </c>
      <c r="O78" s="331">
        <v>1</v>
      </c>
      <c r="P78" s="331">
        <v>1</v>
      </c>
      <c r="Q78" s="331">
        <v>8</v>
      </c>
    </row>
    <row r="79" spans="1:18" ht="11.25" customHeight="1" x14ac:dyDescent="0.2">
      <c r="A79" s="305" t="s">
        <v>558</v>
      </c>
      <c r="B79" s="306" t="s">
        <v>196</v>
      </c>
      <c r="C79" s="306" t="s">
        <v>196</v>
      </c>
      <c r="D79" s="306" t="s">
        <v>196</v>
      </c>
      <c r="E79" s="306" t="s">
        <v>196</v>
      </c>
      <c r="F79" s="306" t="s">
        <v>196</v>
      </c>
      <c r="G79" s="306" t="s">
        <v>196</v>
      </c>
      <c r="H79" s="306" t="s">
        <v>196</v>
      </c>
      <c r="I79" s="306" t="s">
        <v>196</v>
      </c>
      <c r="J79" s="306" t="s">
        <v>196</v>
      </c>
      <c r="K79" s="306" t="s">
        <v>196</v>
      </c>
      <c r="L79" s="306" t="s">
        <v>196</v>
      </c>
      <c r="M79" s="306" t="s">
        <v>196</v>
      </c>
      <c r="N79" s="306" t="s">
        <v>196</v>
      </c>
      <c r="O79" s="306" t="s">
        <v>196</v>
      </c>
      <c r="P79" s="306" t="s">
        <v>196</v>
      </c>
      <c r="Q79" s="306" t="s">
        <v>196</v>
      </c>
    </row>
    <row r="80" spans="1:18" ht="11.25" customHeight="1" x14ac:dyDescent="0.2">
      <c r="A80" s="283" t="s">
        <v>559</v>
      </c>
      <c r="B80" s="331">
        <v>6</v>
      </c>
      <c r="C80" s="331">
        <v>6</v>
      </c>
      <c r="D80" s="331">
        <v>7</v>
      </c>
      <c r="E80" s="331">
        <v>4</v>
      </c>
      <c r="F80" s="331">
        <v>8</v>
      </c>
      <c r="G80" s="331">
        <v>3</v>
      </c>
      <c r="H80" s="331">
        <v>0</v>
      </c>
      <c r="I80" s="331">
        <v>6</v>
      </c>
      <c r="J80" s="331">
        <v>0</v>
      </c>
      <c r="K80" s="331">
        <v>6</v>
      </c>
      <c r="L80" s="331">
        <v>2</v>
      </c>
      <c r="M80" s="331">
        <v>10</v>
      </c>
      <c r="N80" s="331">
        <v>2</v>
      </c>
      <c r="O80" s="331">
        <v>9</v>
      </c>
      <c r="P80" s="331">
        <v>1</v>
      </c>
      <c r="Q80" s="331">
        <v>7</v>
      </c>
    </row>
    <row r="81" spans="1:18" ht="11.25" customHeight="1" x14ac:dyDescent="0.2">
      <c r="A81" s="302" t="s">
        <v>560</v>
      </c>
      <c r="B81" s="331">
        <v>1</v>
      </c>
      <c r="C81" s="331">
        <v>1</v>
      </c>
      <c r="D81" s="331">
        <v>1</v>
      </c>
      <c r="E81" s="331">
        <v>1</v>
      </c>
      <c r="F81" s="331">
        <v>0</v>
      </c>
      <c r="G81" s="331">
        <v>0</v>
      </c>
      <c r="H81" s="331">
        <v>0</v>
      </c>
      <c r="I81" s="331">
        <v>1</v>
      </c>
      <c r="J81" s="331">
        <v>0</v>
      </c>
      <c r="K81" s="331">
        <v>1</v>
      </c>
      <c r="L81" s="331">
        <v>0</v>
      </c>
      <c r="M81" s="331">
        <v>0</v>
      </c>
      <c r="N81" s="331">
        <v>0</v>
      </c>
      <c r="O81" s="331">
        <v>0</v>
      </c>
      <c r="P81" s="331">
        <v>0</v>
      </c>
      <c r="Q81" s="331">
        <v>0</v>
      </c>
    </row>
    <row r="82" spans="1:18" ht="11.25" customHeight="1" x14ac:dyDescent="0.2">
      <c r="A82" s="283" t="s">
        <v>561</v>
      </c>
      <c r="B82" s="331">
        <v>17</v>
      </c>
      <c r="C82" s="331">
        <v>16</v>
      </c>
      <c r="D82" s="331">
        <v>18</v>
      </c>
      <c r="E82" s="331">
        <v>12</v>
      </c>
      <c r="F82" s="331">
        <v>19</v>
      </c>
      <c r="G82" s="331">
        <v>12</v>
      </c>
      <c r="H82" s="331">
        <v>1</v>
      </c>
      <c r="I82" s="331">
        <v>17</v>
      </c>
      <c r="J82" s="331">
        <v>0</v>
      </c>
      <c r="K82" s="331">
        <v>16</v>
      </c>
      <c r="L82" s="331">
        <v>3</v>
      </c>
      <c r="M82" s="331">
        <v>13</v>
      </c>
      <c r="N82" s="331">
        <v>3</v>
      </c>
      <c r="O82" s="331">
        <v>13</v>
      </c>
      <c r="P82" s="331">
        <v>1</v>
      </c>
      <c r="Q82" s="331">
        <v>16</v>
      </c>
    </row>
    <row r="83" spans="1:18" ht="11.25" customHeight="1" x14ac:dyDescent="0.2">
      <c r="A83" s="283" t="s">
        <v>562</v>
      </c>
      <c r="B83" s="331">
        <v>38</v>
      </c>
      <c r="C83" s="331">
        <v>40</v>
      </c>
      <c r="D83" s="331">
        <v>35</v>
      </c>
      <c r="E83" s="331">
        <v>24</v>
      </c>
      <c r="F83" s="331">
        <v>39</v>
      </c>
      <c r="G83" s="331">
        <v>16</v>
      </c>
      <c r="H83" s="331">
        <v>1</v>
      </c>
      <c r="I83" s="331">
        <v>37</v>
      </c>
      <c r="J83" s="331">
        <v>1</v>
      </c>
      <c r="K83" s="331">
        <v>37</v>
      </c>
      <c r="L83" s="331">
        <v>3</v>
      </c>
      <c r="M83" s="331">
        <v>33</v>
      </c>
      <c r="N83" s="331">
        <v>1</v>
      </c>
      <c r="O83" s="331">
        <v>32</v>
      </c>
      <c r="P83" s="331">
        <v>1</v>
      </c>
      <c r="Q83" s="331">
        <v>36</v>
      </c>
    </row>
    <row r="84" spans="1:18" ht="11.25" customHeight="1" x14ac:dyDescent="0.2">
      <c r="A84" s="283" t="s">
        <v>563</v>
      </c>
      <c r="B84" s="331">
        <v>8</v>
      </c>
      <c r="C84" s="331">
        <v>7</v>
      </c>
      <c r="D84" s="331">
        <v>8</v>
      </c>
      <c r="E84" s="331">
        <v>6</v>
      </c>
      <c r="F84" s="331">
        <v>9</v>
      </c>
      <c r="G84" s="331" t="s">
        <v>612</v>
      </c>
      <c r="H84" s="331">
        <v>0</v>
      </c>
      <c r="I84" s="331">
        <v>7</v>
      </c>
      <c r="J84" s="331">
        <v>1</v>
      </c>
      <c r="K84" s="331">
        <v>7</v>
      </c>
      <c r="L84" s="331">
        <v>0</v>
      </c>
      <c r="M84" s="331">
        <v>4</v>
      </c>
      <c r="N84" s="331">
        <v>1</v>
      </c>
      <c r="O84" s="331">
        <v>3</v>
      </c>
      <c r="P84" s="331">
        <v>1</v>
      </c>
      <c r="Q84" s="331">
        <v>7</v>
      </c>
    </row>
    <row r="85" spans="1:18" ht="11.25" customHeight="1" x14ac:dyDescent="0.2">
      <c r="A85" s="283" t="s">
        <v>564</v>
      </c>
      <c r="B85" s="331">
        <v>6</v>
      </c>
      <c r="C85" s="331">
        <v>5</v>
      </c>
      <c r="D85" s="331">
        <v>6</v>
      </c>
      <c r="E85" s="331">
        <v>6</v>
      </c>
      <c r="F85" s="331">
        <v>6</v>
      </c>
      <c r="G85" s="331">
        <v>6</v>
      </c>
      <c r="H85" s="331">
        <v>0</v>
      </c>
      <c r="I85" s="331">
        <v>6</v>
      </c>
      <c r="J85" s="331">
        <v>1</v>
      </c>
      <c r="K85" s="331">
        <v>5</v>
      </c>
      <c r="L85" s="331">
        <v>0</v>
      </c>
      <c r="M85" s="331">
        <v>2</v>
      </c>
      <c r="N85" s="331">
        <v>2</v>
      </c>
      <c r="O85" s="331">
        <v>2</v>
      </c>
      <c r="P85" s="331">
        <v>1</v>
      </c>
      <c r="Q85" s="331">
        <v>5</v>
      </c>
    </row>
    <row r="86" spans="1:18" ht="11.25" customHeight="1" x14ac:dyDescent="0.2">
      <c r="A86" s="292"/>
      <c r="B86" s="292"/>
      <c r="C86" s="292"/>
      <c r="D86" s="292"/>
      <c r="E86" s="292"/>
      <c r="F86" s="292"/>
      <c r="G86" s="292"/>
      <c r="H86" s="292"/>
      <c r="I86" s="292"/>
      <c r="J86" s="292"/>
      <c r="K86" s="292"/>
      <c r="L86" s="292"/>
      <c r="M86" s="292"/>
      <c r="N86" s="292"/>
      <c r="O86" s="292"/>
      <c r="P86" s="292"/>
      <c r="Q86" s="292"/>
      <c r="R86"/>
    </row>
    <row r="87" spans="1:18" ht="11.25" customHeight="1" x14ac:dyDescent="0.2">
      <c r="A87" s="294"/>
      <c r="P87" s="140"/>
      <c r="Q87" s="140" t="s">
        <v>393</v>
      </c>
    </row>
    <row r="88" spans="1:18" ht="11.25" customHeight="1" x14ac:dyDescent="0.2">
      <c r="A88" s="466" t="s">
        <v>616</v>
      </c>
      <c r="B88" s="466"/>
      <c r="C88" s="466"/>
      <c r="D88" s="466"/>
      <c r="E88" s="466"/>
      <c r="F88" s="466"/>
      <c r="O88" s="309"/>
      <c r="Q88" s="294"/>
    </row>
    <row r="89" spans="1:18" s="139" customFormat="1" ht="11.25" customHeight="1" x14ac:dyDescent="0.2">
      <c r="A89" s="276" t="s">
        <v>617</v>
      </c>
      <c r="B89" s="294"/>
      <c r="C89" s="294"/>
      <c r="D89" s="294"/>
      <c r="E89" s="294"/>
      <c r="F89" s="294"/>
      <c r="G89" s="276"/>
      <c r="H89" s="276"/>
      <c r="I89" s="276"/>
      <c r="J89" s="309"/>
      <c r="K89" s="309"/>
      <c r="L89" s="309"/>
      <c r="M89" s="309"/>
      <c r="N89" s="309"/>
      <c r="O89" s="276"/>
      <c r="P89" s="3"/>
    </row>
    <row r="90" spans="1:18" s="139" customFormat="1" ht="22.5" customHeight="1" x14ac:dyDescent="0.2">
      <c r="A90" s="472" t="s">
        <v>618</v>
      </c>
      <c r="B90" s="472"/>
      <c r="C90" s="472"/>
      <c r="D90" s="472"/>
      <c r="E90" s="472"/>
      <c r="F90" s="472"/>
      <c r="G90" s="472"/>
      <c r="H90" s="472"/>
      <c r="I90" s="472"/>
      <c r="J90" s="472"/>
      <c r="K90" s="472"/>
      <c r="L90" s="472"/>
      <c r="M90" s="472"/>
      <c r="N90" s="472"/>
      <c r="O90" s="472"/>
      <c r="P90" s="472"/>
      <c r="Q90" s="472"/>
    </row>
    <row r="91" spans="1:18" s="139" customFormat="1" x14ac:dyDescent="0.2">
      <c r="A91" s="473" t="s">
        <v>619</v>
      </c>
      <c r="B91" s="473"/>
      <c r="C91" s="473"/>
      <c r="D91" s="473"/>
      <c r="E91" s="473"/>
      <c r="F91" s="473"/>
      <c r="G91" s="473"/>
      <c r="H91" s="473"/>
      <c r="I91" s="473"/>
      <c r="J91" s="473"/>
      <c r="K91" s="473"/>
      <c r="L91" s="473"/>
      <c r="M91" s="473"/>
      <c r="N91" s="473"/>
      <c r="O91" s="276"/>
      <c r="P91" s="3"/>
    </row>
    <row r="92" spans="1:18" s="139" customFormat="1" ht="11.25" customHeight="1" x14ac:dyDescent="0.2">
      <c r="A92" s="466" t="s">
        <v>620</v>
      </c>
      <c r="B92" s="466"/>
      <c r="C92" s="466"/>
      <c r="D92" s="466"/>
      <c r="E92" s="466"/>
      <c r="F92" s="466"/>
      <c r="G92" s="466"/>
      <c r="H92" s="3"/>
      <c r="I92" s="3"/>
      <c r="J92" s="3"/>
      <c r="K92" s="3"/>
      <c r="L92" s="3"/>
      <c r="M92" s="3"/>
      <c r="N92" s="334"/>
      <c r="O92" s="276"/>
      <c r="P92" s="3"/>
    </row>
    <row r="93" spans="1:18" s="139" customFormat="1" ht="11.25" customHeight="1" x14ac:dyDescent="0.2">
      <c r="A93" s="472" t="s">
        <v>621</v>
      </c>
      <c r="B93" s="472"/>
      <c r="C93" s="472"/>
      <c r="D93" s="472"/>
      <c r="E93" s="472"/>
      <c r="F93" s="472"/>
      <c r="G93" s="472"/>
      <c r="H93" s="472"/>
      <c r="I93" s="472"/>
      <c r="J93" s="472"/>
      <c r="K93" s="472"/>
      <c r="L93" s="472"/>
      <c r="M93" s="3"/>
      <c r="N93" s="334"/>
      <c r="O93" s="276"/>
      <c r="P93" s="3"/>
    </row>
    <row r="94" spans="1:18" s="139" customFormat="1" ht="22.5" customHeight="1" x14ac:dyDescent="0.2">
      <c r="A94" s="476" t="s">
        <v>622</v>
      </c>
      <c r="B94" s="476"/>
      <c r="C94" s="476"/>
      <c r="D94" s="476"/>
      <c r="E94" s="476"/>
      <c r="F94" s="476"/>
      <c r="G94" s="476"/>
      <c r="H94" s="476"/>
      <c r="I94" s="476"/>
      <c r="J94" s="476"/>
      <c r="K94" s="476"/>
      <c r="L94" s="476"/>
      <c r="M94" s="476"/>
      <c r="N94" s="476"/>
      <c r="O94" s="476"/>
      <c r="P94" s="476"/>
      <c r="Q94" s="476"/>
    </row>
    <row r="95" spans="1:18" x14ac:dyDescent="0.2">
      <c r="A95" s="466" t="s">
        <v>623</v>
      </c>
      <c r="B95" s="466"/>
      <c r="C95" s="466"/>
      <c r="D95" s="466"/>
      <c r="E95" s="466"/>
      <c r="F95" s="466"/>
      <c r="G95" s="466"/>
      <c r="H95" s="333"/>
      <c r="I95" s="333"/>
      <c r="J95" s="333"/>
      <c r="K95" s="333"/>
      <c r="L95" s="333"/>
      <c r="M95" s="333"/>
      <c r="N95" s="334"/>
      <c r="O95" s="276"/>
      <c r="Q95" s="294"/>
    </row>
    <row r="96" spans="1:18" ht="11.25" customHeight="1" x14ac:dyDescent="0.2">
      <c r="A96" s="466" t="s">
        <v>624</v>
      </c>
      <c r="B96" s="466"/>
      <c r="C96" s="466"/>
      <c r="D96" s="466"/>
      <c r="E96" s="466"/>
      <c r="F96" s="466"/>
      <c r="G96" s="276"/>
      <c r="H96" s="333"/>
      <c r="I96" s="333"/>
      <c r="J96" s="333"/>
      <c r="K96" s="333"/>
      <c r="L96" s="333"/>
      <c r="M96" s="333"/>
      <c r="N96" s="334"/>
      <c r="Q96" s="294"/>
    </row>
    <row r="97" spans="1:17" x14ac:dyDescent="0.2">
      <c r="A97" s="466" t="s">
        <v>625</v>
      </c>
      <c r="B97" s="466"/>
      <c r="C97" s="466"/>
      <c r="D97" s="466"/>
      <c r="E97" s="466"/>
      <c r="F97" s="466"/>
      <c r="G97" s="276"/>
      <c r="H97" s="333"/>
      <c r="I97" s="333"/>
      <c r="J97" s="333"/>
      <c r="K97" s="333"/>
      <c r="L97" s="333"/>
      <c r="M97" s="333"/>
      <c r="N97" s="334"/>
      <c r="Q97" s="294"/>
    </row>
    <row r="98" spans="1:17" x14ac:dyDescent="0.2">
      <c r="A98" s="468" t="s">
        <v>626</v>
      </c>
      <c r="B98" s="468"/>
      <c r="C98" s="468"/>
      <c r="D98" s="468"/>
      <c r="E98" s="468"/>
      <c r="F98" s="309"/>
      <c r="G98" s="309"/>
      <c r="H98" s="276"/>
      <c r="I98" s="276"/>
      <c r="J98" s="276"/>
      <c r="K98" s="276"/>
      <c r="L98" s="276"/>
      <c r="M98" s="276"/>
      <c r="N98" s="276"/>
      <c r="Q98" s="294"/>
    </row>
    <row r="99" spans="1:17" ht="11.25" customHeight="1" x14ac:dyDescent="0.2">
      <c r="A99" s="466" t="s">
        <v>627</v>
      </c>
      <c r="B99" s="466"/>
      <c r="C99" s="466"/>
      <c r="D99" s="466"/>
      <c r="E99" s="466"/>
      <c r="F99" s="466"/>
      <c r="G99" s="466"/>
      <c r="H99" s="466"/>
      <c r="I99" s="276"/>
      <c r="J99" s="309"/>
      <c r="K99" s="309"/>
      <c r="L99" s="309"/>
      <c r="M99" s="309"/>
      <c r="N99" s="309"/>
      <c r="Q99" s="294"/>
    </row>
    <row r="100" spans="1:17" x14ac:dyDescent="0.2">
      <c r="A100" s="466" t="s">
        <v>628</v>
      </c>
      <c r="B100" s="466"/>
      <c r="C100" s="466"/>
      <c r="D100" s="466"/>
      <c r="E100" s="466"/>
      <c r="F100" s="466"/>
      <c r="G100" s="466"/>
      <c r="H100" s="466"/>
      <c r="I100" s="466"/>
      <c r="J100" s="466"/>
      <c r="K100" s="466"/>
      <c r="L100" s="466"/>
      <c r="M100" s="466"/>
      <c r="N100" s="466"/>
    </row>
    <row r="101" spans="1:17" x14ac:dyDescent="0.2">
      <c r="A101" s="147"/>
    </row>
    <row r="102" spans="1:17" ht="12.75" x14ac:dyDescent="0.2">
      <c r="A102" s="474" t="s">
        <v>629</v>
      </c>
      <c r="B102" s="474"/>
      <c r="C102" s="474"/>
      <c r="D102" s="474"/>
      <c r="E102" s="474"/>
      <c r="F102" s="474"/>
      <c r="G102" s="474"/>
      <c r="H102" s="475"/>
      <c r="I102" s="475"/>
      <c r="J102" s="475"/>
      <c r="K102" s="475"/>
      <c r="L102" s="335"/>
      <c r="M102" s="335"/>
    </row>
    <row r="103" spans="1:17" x14ac:dyDescent="0.2">
      <c r="A103" s="3" t="s">
        <v>349</v>
      </c>
    </row>
    <row r="104" spans="1:17" x14ac:dyDescent="0.2">
      <c r="A104" s="3"/>
    </row>
    <row r="105" spans="1:17" ht="11.25" customHeight="1" x14ac:dyDescent="0.2">
      <c r="A105" s="465" t="s">
        <v>572</v>
      </c>
      <c r="B105" s="465"/>
      <c r="C105" s="465"/>
      <c r="D105" s="465"/>
      <c r="E105" s="465"/>
      <c r="F105" s="465"/>
      <c r="G105" s="465"/>
      <c r="H105" s="465"/>
      <c r="I105" s="465"/>
      <c r="J105" s="465"/>
      <c r="K105" s="465"/>
      <c r="L105" s="465"/>
    </row>
  </sheetData>
  <mergeCells count="16">
    <mergeCell ref="A99:H99"/>
    <mergeCell ref="A100:N100"/>
    <mergeCell ref="A102:K102"/>
    <mergeCell ref="A105:L105"/>
    <mergeCell ref="A93:L93"/>
    <mergeCell ref="A94:Q94"/>
    <mergeCell ref="A95:G95"/>
    <mergeCell ref="A96:F96"/>
    <mergeCell ref="A97:F97"/>
    <mergeCell ref="A98:E98"/>
    <mergeCell ref="A1:G1"/>
    <mergeCell ref="A2:B2"/>
    <mergeCell ref="A88:F88"/>
    <mergeCell ref="A90:Q90"/>
    <mergeCell ref="A91:N91"/>
    <mergeCell ref="A92:G92"/>
  </mergeCells>
  <pageMargins left="0.74803149606299213" right="0.74803149606299213" top="0.98425196850393704" bottom="0.98425196850393704" header="0.51181102362204722" footer="0.51181102362204722"/>
  <pageSetup paperSize="9" scale="60" fitToHeight="0" orientation="landscape"/>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CF694-405D-43DC-A9F4-3C25B0C45B7F}">
  <sheetPr>
    <tabColor indexed="26"/>
  </sheetPr>
  <dimension ref="A1:H102"/>
  <sheetViews>
    <sheetView showGridLines="0" zoomScaleNormal="100" workbookViewId="0">
      <selection sqref="A1:E1"/>
    </sheetView>
  </sheetViews>
  <sheetFormatPr defaultRowHeight="11.25" x14ac:dyDescent="0.2"/>
  <cols>
    <col min="1" max="1" width="30.28515625" style="283" customWidth="1"/>
    <col min="2" max="2" width="15.7109375" style="283" customWidth="1"/>
    <col min="3" max="5" width="15.7109375" style="294" customWidth="1"/>
    <col min="6" max="256" width="11.42578125" style="294" customWidth="1"/>
    <col min="257" max="16384" width="9.140625" style="294"/>
  </cols>
  <sheetData>
    <row r="1" spans="1:6" ht="13.5" customHeight="1" x14ac:dyDescent="0.2">
      <c r="A1" s="460" t="s">
        <v>630</v>
      </c>
      <c r="B1" s="460"/>
      <c r="C1" s="460"/>
      <c r="D1" s="460"/>
      <c r="E1" s="460"/>
      <c r="F1" s="323"/>
    </row>
    <row r="2" spans="1:6" ht="13.5" customHeight="1" x14ac:dyDescent="0.2">
      <c r="A2" s="461" t="s">
        <v>592</v>
      </c>
      <c r="B2" s="461"/>
    </row>
    <row r="3" spans="1:6" ht="12.75" customHeight="1" x14ac:dyDescent="0.2">
      <c r="A3" s="1" t="s">
        <v>9</v>
      </c>
      <c r="B3" s="294"/>
    </row>
    <row r="4" spans="1:6" ht="11.25" customHeight="1" x14ac:dyDescent="0.2">
      <c r="A4" s="324"/>
      <c r="B4" s="292"/>
      <c r="C4" s="292"/>
      <c r="D4" s="321"/>
      <c r="E4" s="321" t="s">
        <v>593</v>
      </c>
      <c r="F4" s="311"/>
    </row>
    <row r="5" spans="1:6" s="330" customFormat="1" ht="22.5" x14ac:dyDescent="0.2">
      <c r="A5" s="327"/>
      <c r="B5" s="166" t="s">
        <v>631</v>
      </c>
      <c r="C5" s="166" t="s">
        <v>632</v>
      </c>
      <c r="D5" s="164" t="s">
        <v>633</v>
      </c>
      <c r="E5" s="166" t="s">
        <v>594</v>
      </c>
    </row>
    <row r="6" spans="1:6" ht="11.25" customHeight="1" x14ac:dyDescent="0.2">
      <c r="A6" s="294"/>
    </row>
    <row r="7" spans="1:6" ht="11.25" customHeight="1" x14ac:dyDescent="0.2">
      <c r="A7" s="283" t="s">
        <v>497</v>
      </c>
      <c r="B7" s="336">
        <v>100</v>
      </c>
      <c r="C7" s="336">
        <v>100</v>
      </c>
      <c r="D7" s="336">
        <v>100</v>
      </c>
      <c r="E7" s="336">
        <v>100</v>
      </c>
    </row>
    <row r="8" spans="1:6" ht="11.25" customHeight="1" x14ac:dyDescent="0.2">
      <c r="B8" s="337"/>
      <c r="C8" s="338"/>
      <c r="D8" s="338"/>
      <c r="E8" s="338"/>
    </row>
    <row r="9" spans="1:6" ht="11.25" customHeight="1" x14ac:dyDescent="0.2">
      <c r="A9" s="283" t="s">
        <v>498</v>
      </c>
      <c r="B9" s="336">
        <v>92</v>
      </c>
      <c r="C9" s="336">
        <v>86</v>
      </c>
      <c r="D9" s="336">
        <v>88</v>
      </c>
      <c r="E9" s="336">
        <v>92</v>
      </c>
    </row>
    <row r="10" spans="1:6" ht="11.25" customHeight="1" x14ac:dyDescent="0.2">
      <c r="A10" s="283" t="s">
        <v>499</v>
      </c>
      <c r="B10" s="336">
        <v>79</v>
      </c>
      <c r="C10" s="336">
        <v>83</v>
      </c>
      <c r="D10" s="336">
        <v>77</v>
      </c>
      <c r="E10" s="336">
        <v>79</v>
      </c>
    </row>
    <row r="11" spans="1:6" ht="11.25" customHeight="1" x14ac:dyDescent="0.2">
      <c r="A11" s="283" t="s">
        <v>500</v>
      </c>
      <c r="B11" s="336">
        <v>75</v>
      </c>
      <c r="C11" s="336">
        <v>77</v>
      </c>
      <c r="D11" s="336">
        <v>68</v>
      </c>
      <c r="E11" s="336">
        <v>75</v>
      </c>
    </row>
    <row r="12" spans="1:6" s="332" customFormat="1" ht="11.25" customHeight="1" x14ac:dyDescent="0.2">
      <c r="A12" s="298"/>
      <c r="B12" s="339"/>
      <c r="C12" s="339"/>
      <c r="D12" s="339"/>
      <c r="E12" s="339"/>
    </row>
    <row r="13" spans="1:6" ht="11.25" customHeight="1" x14ac:dyDescent="0.2">
      <c r="A13" s="283" t="s">
        <v>579</v>
      </c>
      <c r="B13" s="336">
        <v>93</v>
      </c>
      <c r="C13" s="336">
        <v>90</v>
      </c>
      <c r="D13" s="336">
        <v>88</v>
      </c>
      <c r="E13" s="336">
        <v>93</v>
      </c>
    </row>
    <row r="14" spans="1:6" ht="11.25" customHeight="1" x14ac:dyDescent="0.2">
      <c r="A14" s="301" t="s">
        <v>7</v>
      </c>
      <c r="B14" s="336">
        <v>25</v>
      </c>
      <c r="C14" s="336">
        <v>1</v>
      </c>
      <c r="D14" s="336">
        <v>34</v>
      </c>
      <c r="E14" s="336">
        <v>25</v>
      </c>
      <c r="F14"/>
    </row>
    <row r="15" spans="1:6" ht="11.25" customHeight="1" x14ac:dyDescent="0.2">
      <c r="A15" s="301" t="s">
        <v>580</v>
      </c>
      <c r="B15" s="336">
        <v>68</v>
      </c>
      <c r="C15" s="336">
        <v>89</v>
      </c>
      <c r="D15" s="336">
        <v>54</v>
      </c>
      <c r="E15" s="336">
        <v>68</v>
      </c>
      <c r="F15"/>
    </row>
    <row r="16" spans="1:6" ht="11.25" customHeight="1" x14ac:dyDescent="0.2">
      <c r="A16" s="301"/>
      <c r="B16" s="337"/>
      <c r="C16" s="338"/>
      <c r="D16" s="338"/>
      <c r="E16" s="338"/>
    </row>
    <row r="17" spans="1:6" ht="11.25" customHeight="1" x14ac:dyDescent="0.2">
      <c r="A17" s="283" t="s">
        <v>8</v>
      </c>
      <c r="B17" s="336">
        <v>99</v>
      </c>
      <c r="C17" s="336">
        <v>95</v>
      </c>
      <c r="D17" s="336">
        <v>99</v>
      </c>
      <c r="E17" s="336">
        <v>98</v>
      </c>
      <c r="F17"/>
    </row>
    <row r="18" spans="1:6" ht="11.25" customHeight="1" x14ac:dyDescent="0.2">
      <c r="B18" s="337"/>
      <c r="C18" s="338"/>
      <c r="D18" s="338"/>
      <c r="E18" s="338"/>
    </row>
    <row r="19" spans="1:6" ht="11.25" customHeight="1" x14ac:dyDescent="0.2">
      <c r="A19" s="283" t="s">
        <v>503</v>
      </c>
      <c r="B19" s="336">
        <v>80</v>
      </c>
      <c r="C19" s="336">
        <v>88</v>
      </c>
      <c r="D19" s="336">
        <v>77</v>
      </c>
      <c r="E19" s="336">
        <v>80</v>
      </c>
    </row>
    <row r="20" spans="1:6" ht="11.25" customHeight="1" x14ac:dyDescent="0.2">
      <c r="A20" s="283" t="s">
        <v>504</v>
      </c>
      <c r="B20" s="336">
        <v>55</v>
      </c>
      <c r="C20" s="336">
        <v>21</v>
      </c>
      <c r="D20" s="336">
        <v>60</v>
      </c>
      <c r="E20" s="336">
        <v>54</v>
      </c>
      <c r="F20"/>
    </row>
    <row r="21" spans="1:6" ht="11.25" customHeight="1" x14ac:dyDescent="0.2">
      <c r="A21" s="283" t="s">
        <v>505</v>
      </c>
      <c r="B21" s="336">
        <v>43</v>
      </c>
      <c r="C21" s="336">
        <v>20</v>
      </c>
      <c r="D21" s="336">
        <v>46</v>
      </c>
      <c r="E21" s="336">
        <v>42</v>
      </c>
      <c r="F21"/>
    </row>
    <row r="22" spans="1:6" ht="11.25" customHeight="1" x14ac:dyDescent="0.2">
      <c r="A22" s="283" t="s">
        <v>506</v>
      </c>
      <c r="B22" s="336">
        <v>2</v>
      </c>
      <c r="C22" s="336">
        <v>0</v>
      </c>
      <c r="D22" s="336">
        <v>3</v>
      </c>
      <c r="E22" s="336">
        <v>2</v>
      </c>
      <c r="F22"/>
    </row>
    <row r="23" spans="1:6" ht="11.25" customHeight="1" x14ac:dyDescent="0.2">
      <c r="A23" s="283" t="s">
        <v>507</v>
      </c>
      <c r="B23" s="336">
        <v>23</v>
      </c>
      <c r="C23" s="336">
        <v>64</v>
      </c>
      <c r="D23" s="336">
        <v>15</v>
      </c>
      <c r="E23" s="336">
        <v>25</v>
      </c>
      <c r="F23"/>
    </row>
    <row r="24" spans="1:6" ht="11.25" customHeight="1" x14ac:dyDescent="0.2">
      <c r="A24" s="283" t="s">
        <v>508</v>
      </c>
      <c r="B24" s="336">
        <v>23</v>
      </c>
      <c r="C24" s="336">
        <v>65</v>
      </c>
      <c r="D24" s="336">
        <v>15</v>
      </c>
      <c r="E24" s="336">
        <v>25</v>
      </c>
      <c r="F24"/>
    </row>
    <row r="25" spans="1:6" ht="11.25" customHeight="1" x14ac:dyDescent="0.2">
      <c r="A25" s="283" t="s">
        <v>509</v>
      </c>
      <c r="B25" s="336">
        <v>24</v>
      </c>
      <c r="C25" s="336">
        <v>66</v>
      </c>
      <c r="D25" s="336">
        <v>15</v>
      </c>
      <c r="E25" s="336">
        <v>25</v>
      </c>
      <c r="F25"/>
    </row>
    <row r="26" spans="1:6" ht="11.25" customHeight="1" x14ac:dyDescent="0.2">
      <c r="A26" s="283" t="s">
        <v>581</v>
      </c>
      <c r="B26" s="336">
        <v>1</v>
      </c>
      <c r="C26" s="336">
        <v>3</v>
      </c>
      <c r="D26" s="336">
        <v>1</v>
      </c>
      <c r="E26" s="336">
        <v>1</v>
      </c>
      <c r="F26"/>
    </row>
    <row r="27" spans="1:6" ht="11.25" customHeight="1" x14ac:dyDescent="0.2">
      <c r="B27" s="336"/>
      <c r="C27" s="336"/>
      <c r="D27" s="336"/>
      <c r="E27" s="336"/>
    </row>
    <row r="28" spans="1:6" ht="11.25" customHeight="1" x14ac:dyDescent="0.2">
      <c r="A28" s="283" t="s">
        <v>511</v>
      </c>
      <c r="B28" s="336">
        <v>33</v>
      </c>
      <c r="C28" s="336">
        <v>37</v>
      </c>
      <c r="D28" s="336">
        <v>32</v>
      </c>
      <c r="E28" s="336">
        <v>33</v>
      </c>
    </row>
    <row r="29" spans="1:6" ht="11.25" customHeight="1" x14ac:dyDescent="0.2">
      <c r="A29" s="283" t="s">
        <v>512</v>
      </c>
      <c r="B29" s="336">
        <v>1</v>
      </c>
      <c r="C29" s="336">
        <v>3</v>
      </c>
      <c r="D29" s="336">
        <v>1</v>
      </c>
      <c r="E29" s="336">
        <v>1</v>
      </c>
      <c r="F29"/>
    </row>
    <row r="30" spans="1:6" ht="11.25" customHeight="1" x14ac:dyDescent="0.2">
      <c r="A30" s="283" t="s">
        <v>513</v>
      </c>
      <c r="B30" s="336">
        <v>8</v>
      </c>
      <c r="C30" s="336">
        <v>7</v>
      </c>
      <c r="D30" s="336">
        <v>8</v>
      </c>
      <c r="E30" s="336">
        <v>8</v>
      </c>
      <c r="F30"/>
    </row>
    <row r="31" spans="1:6" ht="11.25" customHeight="1" x14ac:dyDescent="0.2">
      <c r="A31" s="283" t="s">
        <v>514</v>
      </c>
      <c r="B31" s="336">
        <v>6</v>
      </c>
      <c r="C31" s="336">
        <v>7</v>
      </c>
      <c r="D31" s="336">
        <v>6</v>
      </c>
      <c r="E31" s="336">
        <v>6</v>
      </c>
      <c r="F31"/>
    </row>
    <row r="32" spans="1:6" ht="11.25" customHeight="1" x14ac:dyDescent="0.2">
      <c r="A32" s="283" t="s">
        <v>515</v>
      </c>
      <c r="B32" s="336">
        <v>8</v>
      </c>
      <c r="C32" s="336">
        <v>9</v>
      </c>
      <c r="D32" s="336">
        <v>8</v>
      </c>
      <c r="E32" s="336">
        <v>8</v>
      </c>
      <c r="F32"/>
    </row>
    <row r="33" spans="1:6" ht="12" customHeight="1" x14ac:dyDescent="0.2">
      <c r="A33" s="283" t="s">
        <v>516</v>
      </c>
      <c r="B33" s="336">
        <v>1</v>
      </c>
      <c r="C33" s="336">
        <v>1</v>
      </c>
      <c r="D33" s="336">
        <v>1</v>
      </c>
      <c r="E33" s="336">
        <v>1</v>
      </c>
      <c r="F33"/>
    </row>
    <row r="34" spans="1:6" ht="12" customHeight="1" x14ac:dyDescent="0.2">
      <c r="A34" s="283" t="s">
        <v>517</v>
      </c>
      <c r="B34" s="336">
        <v>5</v>
      </c>
      <c r="C34" s="336">
        <v>5</v>
      </c>
      <c r="D34" s="336">
        <v>4</v>
      </c>
      <c r="E34" s="336">
        <v>5</v>
      </c>
      <c r="F34"/>
    </row>
    <row r="35" spans="1:6" ht="11.25" customHeight="1" x14ac:dyDescent="0.2">
      <c r="A35" s="283" t="s">
        <v>582</v>
      </c>
      <c r="B35" s="336">
        <v>6</v>
      </c>
      <c r="C35" s="336">
        <v>6</v>
      </c>
      <c r="D35" s="336">
        <v>5</v>
      </c>
      <c r="E35" s="336">
        <v>6</v>
      </c>
      <c r="F35"/>
    </row>
    <row r="36" spans="1:6" ht="11.25" customHeight="1" x14ac:dyDescent="0.2">
      <c r="A36" s="302" t="s">
        <v>519</v>
      </c>
      <c r="B36" s="336">
        <v>0</v>
      </c>
      <c r="C36" s="336">
        <v>0</v>
      </c>
      <c r="D36" s="336">
        <v>0</v>
      </c>
      <c r="E36" s="336">
        <v>0</v>
      </c>
      <c r="F36"/>
    </row>
    <row r="37" spans="1:6" ht="11.25" customHeight="1" x14ac:dyDescent="0.2">
      <c r="A37" s="283" t="s">
        <v>583</v>
      </c>
      <c r="B37" s="336">
        <v>9</v>
      </c>
      <c r="C37" s="336">
        <v>24</v>
      </c>
      <c r="D37" s="336">
        <v>9</v>
      </c>
      <c r="E37" s="336">
        <v>9</v>
      </c>
      <c r="F37"/>
    </row>
    <row r="38" spans="1:6" ht="11.25" customHeight="1" x14ac:dyDescent="0.2">
      <c r="A38" s="283" t="s">
        <v>521</v>
      </c>
      <c r="B38" s="336">
        <v>11</v>
      </c>
      <c r="C38" s="336">
        <v>19</v>
      </c>
      <c r="D38" s="336">
        <v>6</v>
      </c>
      <c r="E38" s="336">
        <v>11</v>
      </c>
      <c r="F38"/>
    </row>
    <row r="39" spans="1:6" ht="11.25" customHeight="1" x14ac:dyDescent="0.2">
      <c r="A39" s="303" t="s">
        <v>522</v>
      </c>
      <c r="B39" s="336">
        <v>1</v>
      </c>
      <c r="C39" s="336">
        <v>0</v>
      </c>
      <c r="D39" s="336">
        <v>0</v>
      </c>
      <c r="E39" s="336">
        <v>1</v>
      </c>
      <c r="F39"/>
    </row>
    <row r="40" spans="1:6" ht="11.25" customHeight="1" x14ac:dyDescent="0.2">
      <c r="A40" s="283" t="s">
        <v>523</v>
      </c>
      <c r="B40" s="336">
        <v>4</v>
      </c>
      <c r="C40" s="336">
        <v>1</v>
      </c>
      <c r="D40" s="336">
        <v>5</v>
      </c>
      <c r="E40" s="336">
        <v>4</v>
      </c>
      <c r="F40"/>
    </row>
    <row r="41" spans="1:6" ht="11.25" customHeight="1" x14ac:dyDescent="0.2">
      <c r="B41" s="337"/>
      <c r="C41" s="338"/>
      <c r="D41" s="338"/>
      <c r="E41" s="338"/>
    </row>
    <row r="42" spans="1:6" ht="11.25" customHeight="1" x14ac:dyDescent="0.2">
      <c r="A42" s="283" t="s">
        <v>524</v>
      </c>
      <c r="B42" s="336">
        <v>31</v>
      </c>
      <c r="C42" s="336">
        <v>52</v>
      </c>
      <c r="D42" s="336">
        <v>30</v>
      </c>
      <c r="E42" s="336">
        <v>32</v>
      </c>
      <c r="F42"/>
    </row>
    <row r="43" spans="1:6" ht="11.25" customHeight="1" x14ac:dyDescent="0.2">
      <c r="A43" s="283" t="s">
        <v>525</v>
      </c>
      <c r="B43" s="336">
        <v>38</v>
      </c>
      <c r="C43" s="336">
        <v>56</v>
      </c>
      <c r="D43" s="336">
        <v>32</v>
      </c>
      <c r="E43" s="336">
        <v>38</v>
      </c>
      <c r="F43"/>
    </row>
    <row r="44" spans="1:6" ht="11.25" customHeight="1" x14ac:dyDescent="0.2">
      <c r="A44" s="283" t="s">
        <v>526</v>
      </c>
      <c r="B44" s="336">
        <v>2</v>
      </c>
      <c r="C44" s="336">
        <v>0</v>
      </c>
      <c r="D44" s="336">
        <v>3</v>
      </c>
      <c r="E44" s="336">
        <v>2</v>
      </c>
      <c r="F44"/>
    </row>
    <row r="45" spans="1:6" ht="11.25" customHeight="1" x14ac:dyDescent="0.2">
      <c r="A45" s="283" t="s">
        <v>527</v>
      </c>
      <c r="B45" s="336">
        <v>1</v>
      </c>
      <c r="C45" s="336">
        <v>4</v>
      </c>
      <c r="D45" s="336">
        <v>0</v>
      </c>
      <c r="E45" s="336">
        <v>1</v>
      </c>
      <c r="F45"/>
    </row>
    <row r="46" spans="1:6" ht="11.25" customHeight="1" x14ac:dyDescent="0.2">
      <c r="A46" s="283" t="s">
        <v>528</v>
      </c>
      <c r="B46" s="336">
        <v>7</v>
      </c>
      <c r="C46" s="336">
        <v>5</v>
      </c>
      <c r="D46" s="336">
        <v>7</v>
      </c>
      <c r="E46" s="336">
        <v>7</v>
      </c>
      <c r="F46"/>
    </row>
    <row r="47" spans="1:6" ht="11.25" customHeight="1" x14ac:dyDescent="0.2">
      <c r="B47" s="337"/>
      <c r="C47" s="338"/>
      <c r="D47" s="338"/>
      <c r="E47" s="338"/>
    </row>
    <row r="48" spans="1:6" ht="11.25" customHeight="1" x14ac:dyDescent="0.2">
      <c r="A48" s="283" t="s">
        <v>529</v>
      </c>
      <c r="B48" s="336">
        <v>47</v>
      </c>
      <c r="C48" s="336">
        <v>90</v>
      </c>
      <c r="D48" s="336">
        <v>36</v>
      </c>
      <c r="E48" s="336">
        <v>48</v>
      </c>
    </row>
    <row r="49" spans="1:6" ht="11.25" customHeight="1" x14ac:dyDescent="0.2">
      <c r="A49" s="304" t="s">
        <v>530</v>
      </c>
      <c r="B49" s="336">
        <v>0</v>
      </c>
      <c r="C49" s="336">
        <v>0</v>
      </c>
      <c r="D49" s="336">
        <v>0</v>
      </c>
      <c r="E49" s="336">
        <v>0</v>
      </c>
      <c r="F49"/>
    </row>
    <row r="50" spans="1:6" ht="11.25" customHeight="1" x14ac:dyDescent="0.2">
      <c r="A50" s="304" t="s">
        <v>531</v>
      </c>
      <c r="B50" s="336">
        <v>0</v>
      </c>
      <c r="C50" s="336">
        <v>2</v>
      </c>
      <c r="D50" s="336">
        <v>0</v>
      </c>
      <c r="E50" s="336">
        <v>0</v>
      </c>
      <c r="F50"/>
    </row>
    <row r="51" spans="1:6" ht="11.25" customHeight="1" x14ac:dyDescent="0.2">
      <c r="A51" s="283" t="s">
        <v>532</v>
      </c>
      <c r="B51" s="336">
        <v>25</v>
      </c>
      <c r="C51" s="336">
        <v>45</v>
      </c>
      <c r="D51" s="336">
        <v>22</v>
      </c>
      <c r="E51" s="336">
        <v>26</v>
      </c>
      <c r="F51"/>
    </row>
    <row r="52" spans="1:6" ht="11.25" customHeight="1" x14ac:dyDescent="0.2">
      <c r="A52" s="283" t="s">
        <v>533</v>
      </c>
      <c r="B52" s="336">
        <v>9</v>
      </c>
      <c r="C52" s="336">
        <v>29</v>
      </c>
      <c r="D52" s="336">
        <v>3</v>
      </c>
      <c r="E52" s="336">
        <v>10</v>
      </c>
      <c r="F52"/>
    </row>
    <row r="53" spans="1:6" ht="11.25" customHeight="1" x14ac:dyDescent="0.2">
      <c r="A53" s="283" t="s">
        <v>534</v>
      </c>
      <c r="B53" s="336">
        <v>1</v>
      </c>
      <c r="C53" s="336">
        <v>2</v>
      </c>
      <c r="D53" s="336">
        <v>0</v>
      </c>
      <c r="E53" s="336">
        <v>1</v>
      </c>
      <c r="F53"/>
    </row>
    <row r="54" spans="1:6" ht="11.25" customHeight="1" x14ac:dyDescent="0.2">
      <c r="A54" s="304" t="s">
        <v>535</v>
      </c>
      <c r="B54" s="336">
        <v>1</v>
      </c>
      <c r="C54" s="336">
        <v>0</v>
      </c>
      <c r="D54" s="336">
        <v>1</v>
      </c>
      <c r="E54" s="336">
        <v>1</v>
      </c>
      <c r="F54"/>
    </row>
    <row r="55" spans="1:6" ht="11.25" customHeight="1" x14ac:dyDescent="0.2">
      <c r="A55" s="283" t="s">
        <v>536</v>
      </c>
      <c r="B55" s="336">
        <v>12</v>
      </c>
      <c r="C55" s="336">
        <v>26</v>
      </c>
      <c r="D55" s="336">
        <v>11</v>
      </c>
      <c r="E55" s="336">
        <v>13</v>
      </c>
      <c r="F55"/>
    </row>
    <row r="56" spans="1:6" ht="11.25" customHeight="1" x14ac:dyDescent="0.2">
      <c r="A56" s="304" t="s">
        <v>537</v>
      </c>
      <c r="B56" s="336">
        <v>1</v>
      </c>
      <c r="C56" s="336">
        <v>0</v>
      </c>
      <c r="D56" s="336">
        <v>0</v>
      </c>
      <c r="E56" s="336">
        <v>1</v>
      </c>
      <c r="F56"/>
    </row>
    <row r="57" spans="1:6" ht="11.25" customHeight="1" x14ac:dyDescent="0.2">
      <c r="A57" s="283" t="s">
        <v>538</v>
      </c>
      <c r="B57" s="336">
        <v>1</v>
      </c>
      <c r="C57" s="336">
        <v>2</v>
      </c>
      <c r="D57" s="336">
        <v>1</v>
      </c>
      <c r="E57" s="336">
        <v>1</v>
      </c>
      <c r="F57"/>
    </row>
    <row r="58" spans="1:6" ht="11.25" customHeight="1" x14ac:dyDescent="0.2">
      <c r="B58" s="337"/>
      <c r="C58" s="338"/>
      <c r="D58" s="338"/>
      <c r="E58" s="338"/>
    </row>
    <row r="59" spans="1:6" ht="11.25" customHeight="1" x14ac:dyDescent="0.2">
      <c r="A59" s="283" t="s">
        <v>539</v>
      </c>
      <c r="B59" s="336">
        <v>1</v>
      </c>
      <c r="C59" s="336">
        <v>8</v>
      </c>
      <c r="D59" s="336">
        <v>0</v>
      </c>
      <c r="E59" s="336">
        <v>1</v>
      </c>
    </row>
    <row r="60" spans="1:6" ht="11.25" customHeight="1" x14ac:dyDescent="0.2">
      <c r="A60" s="3" t="s">
        <v>540</v>
      </c>
      <c r="B60" s="336">
        <v>0</v>
      </c>
      <c r="C60" s="336">
        <v>2</v>
      </c>
      <c r="D60" s="336">
        <v>0</v>
      </c>
      <c r="E60" s="336">
        <v>0</v>
      </c>
      <c r="F60"/>
    </row>
    <row r="61" spans="1:6" ht="11.25" customHeight="1" x14ac:dyDescent="0.2">
      <c r="A61" s="3" t="s">
        <v>541</v>
      </c>
      <c r="B61" s="336">
        <v>0</v>
      </c>
      <c r="C61" s="336">
        <v>0</v>
      </c>
      <c r="D61" s="336">
        <v>0</v>
      </c>
      <c r="E61" s="336">
        <v>0</v>
      </c>
      <c r="F61"/>
    </row>
    <row r="62" spans="1:6" ht="11.25" customHeight="1" x14ac:dyDescent="0.2">
      <c r="A62" s="283" t="s">
        <v>542</v>
      </c>
      <c r="B62" s="336">
        <v>0</v>
      </c>
      <c r="C62" s="336">
        <v>6</v>
      </c>
      <c r="D62" s="336">
        <v>0</v>
      </c>
      <c r="E62" s="336">
        <v>1</v>
      </c>
      <c r="F62"/>
    </row>
    <row r="63" spans="1:6" ht="11.25" customHeight="1" x14ac:dyDescent="0.2">
      <c r="A63" s="283" t="s">
        <v>543</v>
      </c>
      <c r="B63" s="336">
        <v>0</v>
      </c>
      <c r="C63" s="336">
        <v>0</v>
      </c>
      <c r="D63" s="336">
        <v>0</v>
      </c>
      <c r="E63" s="336">
        <v>0</v>
      </c>
      <c r="F63"/>
    </row>
    <row r="64" spans="1:6" ht="11.25" customHeight="1" x14ac:dyDescent="0.2">
      <c r="B64" s="337"/>
      <c r="C64" s="338"/>
      <c r="D64" s="338"/>
      <c r="E64" s="338"/>
    </row>
    <row r="65" spans="1:6" ht="11.25" customHeight="1" x14ac:dyDescent="0.2">
      <c r="A65" s="302" t="s">
        <v>544</v>
      </c>
      <c r="B65" s="336">
        <v>0</v>
      </c>
      <c r="C65" s="336" t="s">
        <v>612</v>
      </c>
      <c r="D65" s="336">
        <v>0</v>
      </c>
      <c r="E65" s="336">
        <v>0</v>
      </c>
      <c r="F65"/>
    </row>
    <row r="66" spans="1:6" ht="11.25" customHeight="1" x14ac:dyDescent="0.2">
      <c r="A66" s="305" t="s">
        <v>545</v>
      </c>
      <c r="B66" s="340" t="s">
        <v>196</v>
      </c>
      <c r="C66" s="340" t="s">
        <v>196</v>
      </c>
      <c r="D66" s="340" t="s">
        <v>196</v>
      </c>
      <c r="E66" s="340" t="s">
        <v>196</v>
      </c>
    </row>
    <row r="67" spans="1:6" ht="11.25" customHeight="1" x14ac:dyDescent="0.2">
      <c r="A67" s="283" t="s">
        <v>546</v>
      </c>
      <c r="B67" s="336">
        <v>25</v>
      </c>
      <c r="C67" s="336">
        <v>26</v>
      </c>
      <c r="D67" s="336">
        <v>27</v>
      </c>
      <c r="E67" s="336">
        <v>25</v>
      </c>
      <c r="F67"/>
    </row>
    <row r="68" spans="1:6" ht="11.25" customHeight="1" x14ac:dyDescent="0.2">
      <c r="A68" s="283" t="s">
        <v>547</v>
      </c>
      <c r="B68" s="336">
        <v>1</v>
      </c>
      <c r="C68" s="336">
        <v>1</v>
      </c>
      <c r="D68" s="336">
        <v>3</v>
      </c>
      <c r="E68" s="336">
        <v>2</v>
      </c>
      <c r="F68"/>
    </row>
    <row r="69" spans="1:6" ht="11.25" customHeight="1" x14ac:dyDescent="0.2">
      <c r="A69" s="305" t="s">
        <v>548</v>
      </c>
      <c r="B69" s="336">
        <v>0</v>
      </c>
      <c r="C69" s="336">
        <v>0</v>
      </c>
      <c r="D69" s="336">
        <v>0</v>
      </c>
      <c r="E69" s="336">
        <v>0</v>
      </c>
      <c r="F69"/>
    </row>
    <row r="70" spans="1:6" ht="11.25" customHeight="1" x14ac:dyDescent="0.2">
      <c r="A70" s="283" t="s">
        <v>549</v>
      </c>
      <c r="B70" s="336">
        <v>11</v>
      </c>
      <c r="C70" s="336">
        <v>14</v>
      </c>
      <c r="D70" s="336">
        <v>10</v>
      </c>
      <c r="E70" s="336">
        <v>11</v>
      </c>
      <c r="F70"/>
    </row>
    <row r="71" spans="1:6" ht="11.25" customHeight="1" x14ac:dyDescent="0.2">
      <c r="A71" s="283" t="s">
        <v>550</v>
      </c>
      <c r="B71" s="336">
        <v>71</v>
      </c>
      <c r="C71" s="336">
        <v>89</v>
      </c>
      <c r="D71" s="336">
        <v>60</v>
      </c>
      <c r="E71" s="336">
        <v>71</v>
      </c>
      <c r="F71"/>
    </row>
    <row r="72" spans="1:6" ht="11.25" customHeight="1" x14ac:dyDescent="0.2">
      <c r="A72" s="139" t="s">
        <v>551</v>
      </c>
      <c r="B72" s="336">
        <v>0</v>
      </c>
      <c r="C72" s="336">
        <v>0</v>
      </c>
      <c r="D72" s="336">
        <v>0</v>
      </c>
      <c r="E72" s="336">
        <v>0</v>
      </c>
      <c r="F72"/>
    </row>
    <row r="73" spans="1:6" ht="11.25" customHeight="1" x14ac:dyDescent="0.2">
      <c r="A73" s="139" t="s">
        <v>552</v>
      </c>
      <c r="B73" s="336">
        <v>1</v>
      </c>
      <c r="C73" s="336">
        <v>1</v>
      </c>
      <c r="D73" s="336">
        <v>0</v>
      </c>
      <c r="E73" s="336">
        <v>1</v>
      </c>
      <c r="F73"/>
    </row>
    <row r="74" spans="1:6" ht="11.25" customHeight="1" x14ac:dyDescent="0.2">
      <c r="A74" s="302" t="s">
        <v>553</v>
      </c>
      <c r="B74" s="336">
        <v>1</v>
      </c>
      <c r="C74" s="336">
        <v>1</v>
      </c>
      <c r="D74" s="336">
        <v>1</v>
      </c>
      <c r="E74" s="336">
        <v>1</v>
      </c>
      <c r="F74"/>
    </row>
    <row r="75" spans="1:6" ht="11.25" customHeight="1" x14ac:dyDescent="0.2">
      <c r="A75" s="305" t="s">
        <v>554</v>
      </c>
      <c r="B75" s="336">
        <v>0</v>
      </c>
      <c r="C75" s="336">
        <v>0</v>
      </c>
      <c r="D75" s="336">
        <v>0</v>
      </c>
      <c r="E75" s="336">
        <v>0</v>
      </c>
      <c r="F75"/>
    </row>
    <row r="76" spans="1:6" ht="11.25" customHeight="1" x14ac:dyDescent="0.2">
      <c r="A76" s="305" t="s">
        <v>555</v>
      </c>
      <c r="B76" s="336">
        <v>0</v>
      </c>
      <c r="C76" s="336" t="s">
        <v>612</v>
      </c>
      <c r="D76" s="336">
        <v>1</v>
      </c>
      <c r="E76" s="336">
        <v>0</v>
      </c>
      <c r="F76"/>
    </row>
    <row r="77" spans="1:6" ht="11.25" customHeight="1" x14ac:dyDescent="0.2">
      <c r="A77" s="305" t="s">
        <v>556</v>
      </c>
      <c r="B77" s="336">
        <v>0</v>
      </c>
      <c r="C77" s="336">
        <v>0</v>
      </c>
      <c r="D77" s="336">
        <v>0</v>
      </c>
      <c r="E77" s="336">
        <v>0</v>
      </c>
      <c r="F77"/>
    </row>
    <row r="78" spans="1:6" ht="11.25" customHeight="1" x14ac:dyDescent="0.2">
      <c r="A78" s="283" t="s">
        <v>557</v>
      </c>
      <c r="B78" s="336">
        <v>9</v>
      </c>
      <c r="C78" s="336">
        <v>3</v>
      </c>
      <c r="D78" s="336">
        <v>10</v>
      </c>
      <c r="E78" s="336">
        <v>9</v>
      </c>
      <c r="F78"/>
    </row>
    <row r="79" spans="1:6" ht="11.25" customHeight="1" x14ac:dyDescent="0.2">
      <c r="A79" s="305" t="s">
        <v>558</v>
      </c>
      <c r="B79" s="340" t="s">
        <v>196</v>
      </c>
      <c r="C79" s="340" t="s">
        <v>196</v>
      </c>
      <c r="D79" s="340" t="s">
        <v>196</v>
      </c>
      <c r="E79" s="340" t="s">
        <v>196</v>
      </c>
    </row>
    <row r="80" spans="1:6" ht="11.25" customHeight="1" x14ac:dyDescent="0.2">
      <c r="A80" s="283" t="s">
        <v>559</v>
      </c>
      <c r="B80" s="336">
        <v>6</v>
      </c>
      <c r="C80" s="336">
        <v>12</v>
      </c>
      <c r="D80" s="336">
        <v>4</v>
      </c>
      <c r="E80" s="336">
        <v>6</v>
      </c>
      <c r="F80"/>
    </row>
    <row r="81" spans="1:6" ht="11.25" customHeight="1" x14ac:dyDescent="0.2">
      <c r="A81" s="302" t="s">
        <v>560</v>
      </c>
      <c r="B81" s="336">
        <v>1</v>
      </c>
      <c r="C81" s="336">
        <v>1</v>
      </c>
      <c r="D81" s="336">
        <v>1</v>
      </c>
      <c r="E81" s="336">
        <v>1</v>
      </c>
      <c r="F81"/>
    </row>
    <row r="82" spans="1:6" ht="11.25" customHeight="1" x14ac:dyDescent="0.2">
      <c r="A82" s="283" t="s">
        <v>561</v>
      </c>
      <c r="B82" s="336">
        <v>17</v>
      </c>
      <c r="C82" s="336">
        <v>19</v>
      </c>
      <c r="D82" s="336">
        <v>14</v>
      </c>
      <c r="E82" s="336">
        <v>17</v>
      </c>
      <c r="F82"/>
    </row>
    <row r="83" spans="1:6" ht="11.25" customHeight="1" x14ac:dyDescent="0.2">
      <c r="A83" s="283" t="s">
        <v>562</v>
      </c>
      <c r="B83" s="336">
        <v>38</v>
      </c>
      <c r="C83" s="336">
        <v>46</v>
      </c>
      <c r="D83" s="336">
        <v>32</v>
      </c>
      <c r="E83" s="336">
        <v>38</v>
      </c>
      <c r="F83"/>
    </row>
    <row r="84" spans="1:6" ht="11.25" customHeight="1" x14ac:dyDescent="0.2">
      <c r="A84" s="283" t="s">
        <v>563</v>
      </c>
      <c r="B84" s="336">
        <v>7</v>
      </c>
      <c r="C84" s="336">
        <v>13</v>
      </c>
      <c r="D84" s="336">
        <v>12</v>
      </c>
      <c r="E84" s="336">
        <v>8</v>
      </c>
      <c r="F84"/>
    </row>
    <row r="85" spans="1:6" ht="11.25" customHeight="1" x14ac:dyDescent="0.2">
      <c r="A85" s="283" t="s">
        <v>564</v>
      </c>
      <c r="B85" s="336">
        <v>6</v>
      </c>
      <c r="C85" s="336">
        <v>2</v>
      </c>
      <c r="D85" s="336">
        <v>7</v>
      </c>
      <c r="E85" s="336">
        <v>6</v>
      </c>
      <c r="F85"/>
    </row>
    <row r="86" spans="1:6" ht="11.25" customHeight="1" x14ac:dyDescent="0.2">
      <c r="A86" s="292"/>
      <c r="B86" s="292"/>
      <c r="C86" s="292"/>
      <c r="D86" s="292"/>
      <c r="E86" s="292"/>
      <c r="F86" s="292"/>
    </row>
    <row r="87" spans="1:6" ht="11.25" customHeight="1" x14ac:dyDescent="0.2">
      <c r="A87" s="341"/>
      <c r="B87" s="309"/>
      <c r="C87" s="341"/>
      <c r="D87" s="341"/>
      <c r="E87" s="341"/>
      <c r="F87" s="140" t="s">
        <v>393</v>
      </c>
    </row>
    <row r="88" spans="1:6" ht="11.25" customHeight="1" x14ac:dyDescent="0.2">
      <c r="A88" s="478" t="s">
        <v>616</v>
      </c>
      <c r="B88" s="478"/>
      <c r="C88" s="478"/>
      <c r="D88" s="478"/>
      <c r="E88" s="478"/>
      <c r="F88" s="478"/>
    </row>
    <row r="89" spans="1:6" s="343" customFormat="1" x14ac:dyDescent="0.2">
      <c r="A89" s="276" t="s">
        <v>617</v>
      </c>
      <c r="B89" s="294"/>
      <c r="C89" s="294"/>
      <c r="D89" s="294"/>
      <c r="E89" s="294"/>
      <c r="F89" s="294"/>
    </row>
    <row r="90" spans="1:6" s="139" customFormat="1" ht="33.75" customHeight="1" x14ac:dyDescent="0.2">
      <c r="A90" s="479" t="s">
        <v>618</v>
      </c>
      <c r="B90" s="479"/>
      <c r="C90" s="479"/>
      <c r="D90" s="479"/>
      <c r="E90" s="479"/>
      <c r="F90" s="169"/>
    </row>
    <row r="91" spans="1:6" x14ac:dyDescent="0.2">
      <c r="A91" s="466" t="s">
        <v>586</v>
      </c>
      <c r="B91" s="466"/>
      <c r="C91" s="466"/>
      <c r="D91" s="466"/>
      <c r="E91" s="466"/>
      <c r="F91" s="466"/>
    </row>
    <row r="92" spans="1:6" ht="11.25" customHeight="1" x14ac:dyDescent="0.2">
      <c r="A92" s="478" t="s">
        <v>634</v>
      </c>
      <c r="B92" s="480"/>
      <c r="C92" s="480"/>
      <c r="D92" s="480"/>
      <c r="E92" s="170"/>
      <c r="F92" s="169"/>
    </row>
    <row r="93" spans="1:6" x14ac:dyDescent="0.2">
      <c r="A93" s="477" t="s">
        <v>588</v>
      </c>
      <c r="B93" s="477"/>
      <c r="C93" s="477"/>
      <c r="D93" s="477"/>
      <c r="E93" s="477"/>
      <c r="F93" s="477"/>
    </row>
    <row r="94" spans="1:6" ht="11.25" customHeight="1" x14ac:dyDescent="0.2">
      <c r="A94" s="478" t="s">
        <v>589</v>
      </c>
      <c r="B94" s="478"/>
      <c r="C94" s="478"/>
      <c r="D94" s="478"/>
      <c r="E94" s="478"/>
      <c r="F94" s="478"/>
    </row>
    <row r="95" spans="1:6" x14ac:dyDescent="0.2">
      <c r="A95" s="478" t="s">
        <v>590</v>
      </c>
      <c r="B95" s="478"/>
      <c r="C95" s="478"/>
      <c r="D95" s="478"/>
      <c r="E95" s="478"/>
      <c r="F95" s="478"/>
    </row>
    <row r="96" spans="1:6" x14ac:dyDescent="0.2">
      <c r="A96" s="342"/>
      <c r="B96" s="342"/>
      <c r="C96" s="342"/>
      <c r="D96" s="342"/>
      <c r="E96" s="342"/>
      <c r="F96" s="342"/>
    </row>
    <row r="97" spans="1:8" x14ac:dyDescent="0.2">
      <c r="A97" s="3" t="s">
        <v>349</v>
      </c>
      <c r="B97" s="344"/>
      <c r="C97" s="345"/>
      <c r="D97" s="345"/>
      <c r="E97" s="345"/>
      <c r="F97" s="345"/>
    </row>
    <row r="98" spans="1:8" x14ac:dyDescent="0.2">
      <c r="A98" s="3"/>
      <c r="B98" s="344"/>
      <c r="C98" s="345"/>
      <c r="D98" s="345"/>
      <c r="E98" s="345"/>
      <c r="F98" s="345"/>
    </row>
    <row r="99" spans="1:8" ht="22.5" customHeight="1" x14ac:dyDescent="0.2">
      <c r="A99" s="465" t="s">
        <v>572</v>
      </c>
      <c r="B99" s="465"/>
      <c r="C99" s="465"/>
      <c r="D99" s="465"/>
      <c r="E99" s="465"/>
      <c r="F99" s="465"/>
      <c r="G99" s="346"/>
      <c r="H99" s="346"/>
    </row>
    <row r="100" spans="1:8" x14ac:dyDescent="0.2">
      <c r="A100" s="294"/>
      <c r="B100" s="294"/>
    </row>
    <row r="101" spans="1:8" x14ac:dyDescent="0.2">
      <c r="A101" s="294"/>
      <c r="B101" s="294"/>
    </row>
    <row r="102" spans="1:8" x14ac:dyDescent="0.2">
      <c r="A102" s="294"/>
      <c r="B102" s="294"/>
    </row>
  </sheetData>
  <mergeCells count="10">
    <mergeCell ref="A93:F93"/>
    <mergeCell ref="A94:F94"/>
    <mergeCell ref="A95:F95"/>
    <mergeCell ref="A99:F99"/>
    <mergeCell ref="A1:E1"/>
    <mergeCell ref="A2:B2"/>
    <mergeCell ref="A88:F88"/>
    <mergeCell ref="A90:E90"/>
    <mergeCell ref="A91:F91"/>
    <mergeCell ref="A92:D92"/>
  </mergeCells>
  <pageMargins left="0.75" right="0.75" top="1" bottom="1" header="0.5" footer="0.5"/>
  <pageSetup paperSize="9" scale="74"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E8F1C-0563-4C16-8219-C088FBF0DFA5}">
  <sheetPr>
    <tabColor indexed="26"/>
    <pageSetUpPr fitToPage="1"/>
  </sheetPr>
  <dimension ref="A1:AF115"/>
  <sheetViews>
    <sheetView showGridLines="0" zoomScaleNormal="100" workbookViewId="0">
      <selection sqref="A1:M1"/>
    </sheetView>
  </sheetViews>
  <sheetFormatPr defaultRowHeight="11.25" x14ac:dyDescent="0.2"/>
  <cols>
    <col min="1" max="1" width="30.140625" style="347" customWidth="1"/>
    <col min="2" max="11" width="6.7109375" style="347" customWidth="1"/>
    <col min="12" max="12" width="2.28515625" style="347" customWidth="1"/>
    <col min="13" max="13" width="8.85546875" style="368" customWidth="1"/>
    <col min="14" max="256" width="11.42578125" style="347" customWidth="1"/>
    <col min="257" max="16384" width="9.140625" style="347"/>
  </cols>
  <sheetData>
    <row r="1" spans="1:32" ht="13.5" customHeight="1" x14ac:dyDescent="0.2">
      <c r="A1" s="481" t="s">
        <v>635</v>
      </c>
      <c r="B1" s="481"/>
      <c r="C1" s="481"/>
      <c r="D1" s="481"/>
      <c r="E1" s="481"/>
      <c r="F1" s="481"/>
      <c r="G1" s="481"/>
      <c r="H1" s="481"/>
      <c r="I1" s="481"/>
      <c r="J1" s="481"/>
      <c r="K1" s="481"/>
      <c r="L1" s="481"/>
      <c r="M1" s="481"/>
    </row>
    <row r="2" spans="1:32" ht="13.5" customHeight="1" x14ac:dyDescent="0.2">
      <c r="A2" s="461" t="s">
        <v>394</v>
      </c>
      <c r="B2" s="461"/>
      <c r="C2" s="348"/>
      <c r="D2" s="348"/>
      <c r="E2" s="348"/>
      <c r="F2" s="348"/>
      <c r="G2" s="348"/>
      <c r="H2" s="348"/>
      <c r="I2" s="348"/>
      <c r="J2" s="348"/>
      <c r="K2" s="348"/>
      <c r="L2" s="348"/>
      <c r="M2" s="348"/>
    </row>
    <row r="3" spans="1:32" ht="12.75" customHeight="1" x14ac:dyDescent="0.2">
      <c r="A3" s="1" t="s">
        <v>9</v>
      </c>
      <c r="B3" s="349"/>
      <c r="C3" s="348"/>
      <c r="D3" s="348"/>
      <c r="E3" s="348"/>
      <c r="F3" s="348"/>
      <c r="G3" s="348"/>
      <c r="H3" s="348"/>
      <c r="I3" s="348"/>
      <c r="J3" s="348"/>
      <c r="K3" s="348"/>
      <c r="L3" s="348"/>
      <c r="M3" s="348"/>
    </row>
    <row r="4" spans="1:32" s="354" customFormat="1" ht="11.25" customHeight="1" x14ac:dyDescent="0.2">
      <c r="A4" s="350"/>
      <c r="B4" s="351"/>
      <c r="C4" s="352"/>
      <c r="D4" s="352"/>
      <c r="E4" s="352"/>
      <c r="F4" s="352"/>
      <c r="G4" s="352"/>
      <c r="H4" s="352"/>
      <c r="I4" s="352"/>
      <c r="J4" s="352"/>
      <c r="K4" s="352"/>
      <c r="L4" s="352"/>
      <c r="M4" s="353" t="s">
        <v>636</v>
      </c>
    </row>
    <row r="5" spans="1:32" s="358" customFormat="1" ht="11.25" customHeight="1" x14ac:dyDescent="0.2">
      <c r="A5" s="355"/>
      <c r="B5" s="482" t="s">
        <v>637</v>
      </c>
      <c r="C5" s="482"/>
      <c r="D5" s="482"/>
      <c r="E5" s="482"/>
      <c r="F5" s="482"/>
      <c r="G5" s="482"/>
      <c r="H5" s="482"/>
      <c r="I5" s="482"/>
      <c r="J5" s="482"/>
      <c r="K5" s="482"/>
      <c r="L5" s="356"/>
      <c r="M5" s="357" t="s">
        <v>496</v>
      </c>
    </row>
    <row r="6" spans="1:32" ht="11.25" customHeight="1" x14ac:dyDescent="0.2">
      <c r="A6" s="359" t="s">
        <v>638</v>
      </c>
      <c r="B6" s="360" t="s">
        <v>639</v>
      </c>
      <c r="C6" s="360" t="s">
        <v>640</v>
      </c>
      <c r="D6" s="360" t="s">
        <v>641</v>
      </c>
      <c r="E6" s="360" t="s">
        <v>642</v>
      </c>
      <c r="F6" s="360" t="s">
        <v>643</v>
      </c>
      <c r="G6" s="360" t="s">
        <v>644</v>
      </c>
      <c r="H6" s="360" t="s">
        <v>645</v>
      </c>
      <c r="I6" s="360" t="s">
        <v>646</v>
      </c>
      <c r="J6" s="360" t="s">
        <v>647</v>
      </c>
      <c r="K6" s="360" t="s">
        <v>648</v>
      </c>
      <c r="L6" s="361"/>
      <c r="M6" s="362" t="s">
        <v>649</v>
      </c>
    </row>
    <row r="7" spans="1:32" ht="11.25" customHeight="1" x14ac:dyDescent="0.2">
      <c r="A7" s="363"/>
      <c r="B7" s="364"/>
      <c r="C7" s="364"/>
      <c r="D7" s="364"/>
      <c r="E7" s="364"/>
      <c r="F7" s="364"/>
      <c r="G7" s="364"/>
      <c r="H7" s="364"/>
      <c r="I7" s="364"/>
      <c r="J7" s="364"/>
      <c r="K7" s="364"/>
      <c r="L7" s="365"/>
      <c r="M7" s="366"/>
    </row>
    <row r="8" spans="1:32" ht="11.25" customHeight="1" x14ac:dyDescent="0.2">
      <c r="A8" s="283" t="s">
        <v>650</v>
      </c>
      <c r="B8" s="367">
        <v>22.3</v>
      </c>
      <c r="C8" s="367">
        <v>71.599999999999994</v>
      </c>
      <c r="D8" s="367">
        <v>127.7</v>
      </c>
      <c r="E8" s="367">
        <v>167.7</v>
      </c>
      <c r="F8" s="367">
        <v>91.3</v>
      </c>
      <c r="G8" s="367">
        <v>42.9</v>
      </c>
      <c r="H8" s="367">
        <v>18.100000000000001</v>
      </c>
      <c r="I8" s="367">
        <v>5.9</v>
      </c>
      <c r="J8" s="367">
        <v>2.8</v>
      </c>
      <c r="K8" s="367">
        <v>0.5</v>
      </c>
      <c r="L8" s="367"/>
      <c r="M8" s="367">
        <v>550.79999999999995</v>
      </c>
      <c r="P8" s="368"/>
      <c r="Q8" s="368"/>
      <c r="R8" s="368"/>
      <c r="S8" s="368"/>
      <c r="T8" s="368"/>
      <c r="U8" s="368"/>
      <c r="V8" s="368"/>
      <c r="W8" s="368"/>
      <c r="X8" s="368"/>
      <c r="Y8" s="368"/>
      <c r="Z8" s="368"/>
      <c r="AA8" s="368"/>
      <c r="AB8" s="368"/>
      <c r="AC8" s="368"/>
      <c r="AD8" s="368"/>
      <c r="AE8" s="368"/>
      <c r="AF8" s="368"/>
    </row>
    <row r="9" spans="1:32" ht="11.25" customHeight="1" x14ac:dyDescent="0.2">
      <c r="A9" s="301" t="s">
        <v>7</v>
      </c>
      <c r="B9" s="367">
        <v>0.6</v>
      </c>
      <c r="C9" s="367">
        <v>2.9</v>
      </c>
      <c r="D9" s="367">
        <v>10.9</v>
      </c>
      <c r="E9" s="367">
        <v>40.9</v>
      </c>
      <c r="F9" s="367">
        <v>43.1</v>
      </c>
      <c r="G9" s="367">
        <v>28.2</v>
      </c>
      <c r="H9" s="367">
        <v>13.3</v>
      </c>
      <c r="I9" s="367">
        <v>4.4000000000000004</v>
      </c>
      <c r="J9" s="367">
        <v>2.1</v>
      </c>
      <c r="K9" s="367">
        <v>0.3</v>
      </c>
      <c r="L9" s="369"/>
      <c r="M9" s="367">
        <v>146.6</v>
      </c>
      <c r="O9" s="368"/>
      <c r="P9" s="368"/>
      <c r="Q9" s="368"/>
      <c r="R9" s="368"/>
      <c r="S9" s="368"/>
      <c r="T9" s="368"/>
      <c r="U9" s="368"/>
      <c r="V9" s="368"/>
      <c r="W9" s="368"/>
      <c r="X9" s="368"/>
      <c r="Y9" s="368"/>
      <c r="Z9" s="368"/>
      <c r="AA9" s="368"/>
      <c r="AB9" s="368"/>
      <c r="AC9" s="368"/>
      <c r="AD9" s="368"/>
      <c r="AE9" s="368"/>
      <c r="AF9" s="368"/>
    </row>
    <row r="10" spans="1:32" ht="11.25" customHeight="1" x14ac:dyDescent="0.2">
      <c r="A10" s="301" t="s">
        <v>651</v>
      </c>
      <c r="B10" s="367">
        <v>21.7</v>
      </c>
      <c r="C10" s="367">
        <v>68.7</v>
      </c>
      <c r="D10" s="367">
        <v>116.7</v>
      </c>
      <c r="E10" s="367">
        <v>126.9</v>
      </c>
      <c r="F10" s="367">
        <v>48.2</v>
      </c>
      <c r="G10" s="367">
        <v>14.6</v>
      </c>
      <c r="H10" s="367">
        <v>4.9000000000000004</v>
      </c>
      <c r="I10" s="367">
        <v>1.5</v>
      </c>
      <c r="J10" s="367">
        <v>0.7</v>
      </c>
      <c r="K10" s="367">
        <v>0.2</v>
      </c>
      <c r="L10" s="369"/>
      <c r="M10" s="367">
        <v>404.2</v>
      </c>
      <c r="O10" s="368"/>
      <c r="P10" s="368"/>
      <c r="Q10" s="368"/>
      <c r="R10" s="368"/>
      <c r="S10" s="368"/>
      <c r="T10" s="368"/>
      <c r="U10" s="368"/>
      <c r="V10" s="368"/>
      <c r="W10" s="368"/>
      <c r="X10" s="368"/>
      <c r="Y10" s="368"/>
      <c r="Z10" s="368"/>
      <c r="AA10" s="368"/>
      <c r="AB10" s="368"/>
      <c r="AC10" s="368"/>
      <c r="AD10" s="368"/>
      <c r="AE10" s="368"/>
      <c r="AF10" s="368"/>
    </row>
    <row r="11" spans="1:32" ht="11.25" customHeight="1" x14ac:dyDescent="0.2">
      <c r="A11" s="283" t="s">
        <v>8</v>
      </c>
      <c r="B11" s="367">
        <v>41.7</v>
      </c>
      <c r="C11" s="367">
        <v>77</v>
      </c>
      <c r="D11" s="367">
        <v>119.8</v>
      </c>
      <c r="E11" s="367">
        <v>200.2</v>
      </c>
      <c r="F11" s="367">
        <v>62.6</v>
      </c>
      <c r="G11" s="367">
        <v>38.6</v>
      </c>
      <c r="H11" s="367">
        <v>31.1</v>
      </c>
      <c r="I11" s="367">
        <v>21.1</v>
      </c>
      <c r="J11" s="367">
        <v>7.5</v>
      </c>
      <c r="K11" s="367">
        <v>3.5</v>
      </c>
      <c r="L11" s="369"/>
      <c r="M11" s="367">
        <v>603.20000000000005</v>
      </c>
      <c r="O11" s="368"/>
      <c r="P11" s="368"/>
      <c r="Q11" s="368"/>
      <c r="R11" s="368"/>
      <c r="S11" s="368"/>
      <c r="T11" s="368"/>
      <c r="U11" s="368"/>
      <c r="V11" s="368"/>
      <c r="W11" s="368"/>
      <c r="X11" s="368"/>
      <c r="Y11" s="368"/>
    </row>
    <row r="12" spans="1:32" ht="11.25" customHeight="1" x14ac:dyDescent="0.2">
      <c r="A12" s="283"/>
      <c r="B12" s="369"/>
      <c r="C12" s="369"/>
      <c r="D12" s="369"/>
      <c r="E12" s="369"/>
      <c r="F12" s="369"/>
      <c r="G12" s="369"/>
      <c r="H12" s="369"/>
      <c r="I12" s="369"/>
      <c r="J12" s="369"/>
      <c r="K12" s="369"/>
      <c r="L12" s="369"/>
      <c r="M12" s="367"/>
      <c r="O12" s="368"/>
      <c r="P12" s="368"/>
      <c r="Q12" s="368"/>
      <c r="R12" s="368"/>
      <c r="S12" s="368"/>
      <c r="T12" s="368"/>
      <c r="U12" s="368"/>
      <c r="V12" s="368"/>
      <c r="W12" s="368"/>
      <c r="X12" s="368"/>
      <c r="Y12" s="368"/>
    </row>
    <row r="13" spans="1:32" ht="11.25" customHeight="1" x14ac:dyDescent="0.2">
      <c r="A13" s="283" t="s">
        <v>504</v>
      </c>
      <c r="B13" s="367">
        <v>4</v>
      </c>
      <c r="C13" s="367">
        <v>21</v>
      </c>
      <c r="D13" s="367">
        <v>57.9</v>
      </c>
      <c r="E13" s="367">
        <v>110.6</v>
      </c>
      <c r="F13" s="367">
        <v>62.2</v>
      </c>
      <c r="G13" s="367">
        <v>35.6</v>
      </c>
      <c r="H13" s="367">
        <v>18.3</v>
      </c>
      <c r="I13" s="367">
        <v>7.6</v>
      </c>
      <c r="J13" s="367">
        <v>3.3</v>
      </c>
      <c r="K13" s="367">
        <v>1.5</v>
      </c>
      <c r="L13" s="369"/>
      <c r="M13" s="367">
        <v>322</v>
      </c>
      <c r="O13" s="368"/>
      <c r="P13" s="368"/>
      <c r="Q13" s="368"/>
      <c r="R13" s="368"/>
      <c r="S13" s="368"/>
      <c r="T13" s="368"/>
      <c r="U13" s="368"/>
      <c r="V13" s="368"/>
      <c r="W13" s="368"/>
      <c r="X13" s="368"/>
      <c r="Y13" s="368"/>
    </row>
    <row r="14" spans="1:32" ht="11.25" customHeight="1" x14ac:dyDescent="0.2">
      <c r="A14" s="283" t="s">
        <v>505</v>
      </c>
      <c r="B14" s="367">
        <v>6.2</v>
      </c>
      <c r="C14" s="367">
        <v>22.5</v>
      </c>
      <c r="D14" s="367">
        <v>50.9</v>
      </c>
      <c r="E14" s="367">
        <v>82.5</v>
      </c>
      <c r="F14" s="367">
        <v>50.3</v>
      </c>
      <c r="G14" s="367">
        <v>21.2</v>
      </c>
      <c r="H14" s="367">
        <v>9.3000000000000007</v>
      </c>
      <c r="I14" s="367">
        <v>3.5</v>
      </c>
      <c r="J14" s="367">
        <v>1.7</v>
      </c>
      <c r="K14" s="367">
        <v>0.5</v>
      </c>
      <c r="L14" s="369"/>
      <c r="M14" s="367">
        <v>248.5</v>
      </c>
      <c r="O14" s="368"/>
      <c r="P14" s="368"/>
      <c r="Q14" s="368"/>
      <c r="R14" s="368"/>
      <c r="S14" s="368"/>
      <c r="T14" s="368"/>
      <c r="U14" s="368"/>
      <c r="V14" s="368"/>
      <c r="W14" s="368"/>
      <c r="X14" s="368"/>
      <c r="Y14" s="368"/>
    </row>
    <row r="15" spans="1:32" ht="11.25" customHeight="1" x14ac:dyDescent="0.2">
      <c r="A15" s="305" t="s">
        <v>506</v>
      </c>
      <c r="B15" s="367">
        <v>0</v>
      </c>
      <c r="C15" s="367">
        <v>0.2</v>
      </c>
      <c r="D15" s="367">
        <v>0.9</v>
      </c>
      <c r="E15" s="367">
        <v>2.8</v>
      </c>
      <c r="F15" s="367">
        <v>3.5</v>
      </c>
      <c r="G15" s="367">
        <v>2.5</v>
      </c>
      <c r="H15" s="367">
        <v>1.2</v>
      </c>
      <c r="I15" s="367">
        <v>0.5</v>
      </c>
      <c r="J15" s="367">
        <v>0.3</v>
      </c>
      <c r="K15" s="367">
        <v>0.1</v>
      </c>
      <c r="L15" s="369"/>
      <c r="M15" s="367">
        <v>11.8</v>
      </c>
      <c r="O15" s="368"/>
      <c r="P15" s="368"/>
      <c r="Q15" s="368"/>
      <c r="R15" s="368"/>
      <c r="S15" s="368"/>
      <c r="T15" s="368"/>
      <c r="U15" s="368"/>
      <c r="V15" s="368"/>
      <c r="W15" s="368"/>
      <c r="X15" s="368"/>
      <c r="Y15" s="368"/>
    </row>
    <row r="16" spans="1:32" ht="11.25" customHeight="1" x14ac:dyDescent="0.2">
      <c r="A16" s="283" t="s">
        <v>507</v>
      </c>
      <c r="B16" s="367">
        <v>24.3</v>
      </c>
      <c r="C16" s="367">
        <v>38.4</v>
      </c>
      <c r="D16" s="367">
        <v>41.8</v>
      </c>
      <c r="E16" s="367">
        <v>32</v>
      </c>
      <c r="F16" s="367">
        <v>10.5</v>
      </c>
      <c r="G16" s="367">
        <v>1.8</v>
      </c>
      <c r="H16" s="367">
        <v>0.4</v>
      </c>
      <c r="I16" s="367">
        <v>0.1</v>
      </c>
      <c r="J16" s="367">
        <v>0</v>
      </c>
      <c r="K16" s="367">
        <v>0</v>
      </c>
      <c r="L16" s="369"/>
      <c r="M16" s="367">
        <v>149.4</v>
      </c>
      <c r="O16" s="368"/>
      <c r="P16" s="368"/>
      <c r="Q16" s="368"/>
      <c r="R16" s="368"/>
      <c r="S16" s="368"/>
      <c r="T16" s="368"/>
      <c r="U16" s="368"/>
      <c r="V16" s="368"/>
      <c r="W16" s="368"/>
      <c r="X16" s="368"/>
      <c r="Y16" s="368"/>
    </row>
    <row r="17" spans="1:25" ht="11.25" customHeight="1" x14ac:dyDescent="0.2">
      <c r="A17" s="283" t="s">
        <v>508</v>
      </c>
      <c r="B17" s="367">
        <v>25.9</v>
      </c>
      <c r="C17" s="367">
        <v>39.299999999999997</v>
      </c>
      <c r="D17" s="367">
        <v>40.799999999999997</v>
      </c>
      <c r="E17" s="367">
        <v>31.1</v>
      </c>
      <c r="F17" s="367">
        <v>10.9</v>
      </c>
      <c r="G17" s="367">
        <v>2.1</v>
      </c>
      <c r="H17" s="367">
        <v>0.5</v>
      </c>
      <c r="I17" s="367">
        <v>0.1</v>
      </c>
      <c r="J17" s="367">
        <v>0.1</v>
      </c>
      <c r="K17" s="367">
        <v>0</v>
      </c>
      <c r="L17" s="369"/>
      <c r="M17" s="367">
        <v>150.80000000000001</v>
      </c>
      <c r="O17" s="368"/>
      <c r="P17" s="368"/>
      <c r="Q17" s="368"/>
      <c r="R17" s="368"/>
      <c r="S17" s="368"/>
      <c r="T17" s="368"/>
      <c r="U17" s="368"/>
      <c r="V17" s="368"/>
      <c r="W17" s="368"/>
      <c r="X17" s="368"/>
      <c r="Y17" s="368"/>
    </row>
    <row r="18" spans="1:25" ht="11.25" customHeight="1" x14ac:dyDescent="0.2">
      <c r="A18" s="283" t="s">
        <v>509</v>
      </c>
      <c r="B18" s="367">
        <v>23.5</v>
      </c>
      <c r="C18" s="367">
        <v>41.5</v>
      </c>
      <c r="D18" s="367">
        <v>43.4</v>
      </c>
      <c r="E18" s="367">
        <v>31.2</v>
      </c>
      <c r="F18" s="367">
        <v>10</v>
      </c>
      <c r="G18" s="367">
        <v>1.9</v>
      </c>
      <c r="H18" s="367">
        <v>0.5</v>
      </c>
      <c r="I18" s="367">
        <v>0.2</v>
      </c>
      <c r="J18" s="367">
        <v>0.2</v>
      </c>
      <c r="K18" s="367">
        <v>0.1</v>
      </c>
      <c r="L18" s="369"/>
      <c r="M18" s="367">
        <v>152.4</v>
      </c>
      <c r="O18" s="368"/>
      <c r="P18" s="368"/>
      <c r="Q18" s="368"/>
      <c r="R18" s="368"/>
      <c r="S18" s="368"/>
      <c r="T18" s="368"/>
      <c r="U18" s="368"/>
      <c r="V18" s="368"/>
      <c r="W18" s="368"/>
      <c r="X18" s="368"/>
      <c r="Y18" s="368"/>
    </row>
    <row r="19" spans="1:25" ht="11.25" customHeight="1" x14ac:dyDescent="0.2">
      <c r="A19" s="283" t="s">
        <v>652</v>
      </c>
      <c r="B19" s="367">
        <v>0.5</v>
      </c>
      <c r="C19" s="367">
        <v>0.9</v>
      </c>
      <c r="D19" s="367">
        <v>1.1000000000000001</v>
      </c>
      <c r="E19" s="367">
        <v>1.2</v>
      </c>
      <c r="F19" s="367">
        <v>0.9</v>
      </c>
      <c r="G19" s="367">
        <v>0.6</v>
      </c>
      <c r="H19" s="367">
        <v>0.4</v>
      </c>
      <c r="I19" s="367">
        <v>0.2</v>
      </c>
      <c r="J19" s="367">
        <v>0.1</v>
      </c>
      <c r="K19" s="367">
        <v>0</v>
      </c>
      <c r="L19" s="369"/>
      <c r="M19" s="367">
        <v>6</v>
      </c>
      <c r="O19" s="368"/>
      <c r="P19" s="368"/>
      <c r="Q19" s="368"/>
      <c r="R19" s="368"/>
      <c r="S19" s="368"/>
      <c r="T19" s="368"/>
      <c r="U19" s="368"/>
      <c r="V19" s="368"/>
      <c r="W19" s="368"/>
      <c r="X19" s="368"/>
      <c r="Y19" s="368"/>
    </row>
    <row r="20" spans="1:25" ht="11.25" customHeight="1" x14ac:dyDescent="0.2">
      <c r="A20" s="305"/>
      <c r="B20" s="369"/>
      <c r="C20" s="369"/>
      <c r="D20" s="369"/>
      <c r="E20" s="369"/>
      <c r="F20" s="369"/>
      <c r="G20" s="369"/>
      <c r="H20" s="369"/>
      <c r="I20" s="369"/>
      <c r="J20" s="369"/>
      <c r="K20" s="369"/>
      <c r="L20" s="369"/>
      <c r="M20" s="367"/>
      <c r="O20" s="368"/>
      <c r="P20" s="368"/>
      <c r="Q20" s="368"/>
      <c r="R20" s="368"/>
      <c r="S20" s="368"/>
      <c r="T20" s="368"/>
      <c r="U20" s="368"/>
      <c r="V20" s="368"/>
      <c r="W20" s="368"/>
      <c r="X20" s="368"/>
      <c r="Y20" s="368"/>
    </row>
    <row r="21" spans="1:25" ht="11.25" customHeight="1" x14ac:dyDescent="0.2">
      <c r="A21" s="283" t="s">
        <v>512</v>
      </c>
      <c r="B21" s="367">
        <v>0.8</v>
      </c>
      <c r="C21" s="367">
        <v>1.2</v>
      </c>
      <c r="D21" s="367">
        <v>1.8</v>
      </c>
      <c r="E21" s="367">
        <v>1.7</v>
      </c>
      <c r="F21" s="367">
        <v>1.3</v>
      </c>
      <c r="G21" s="367">
        <v>0.8</v>
      </c>
      <c r="H21" s="367">
        <v>0.5</v>
      </c>
      <c r="I21" s="367">
        <v>0.3</v>
      </c>
      <c r="J21" s="367">
        <v>0.2</v>
      </c>
      <c r="K21" s="367">
        <v>0</v>
      </c>
      <c r="L21" s="369"/>
      <c r="M21" s="367">
        <v>8.5</v>
      </c>
      <c r="O21" s="368"/>
      <c r="P21" s="368"/>
      <c r="Q21" s="368"/>
      <c r="R21" s="368"/>
      <c r="S21" s="368"/>
      <c r="T21" s="368"/>
      <c r="U21" s="368"/>
      <c r="V21" s="368"/>
      <c r="W21" s="368"/>
      <c r="X21" s="368"/>
      <c r="Y21" s="368"/>
    </row>
    <row r="22" spans="1:25" ht="11.25" customHeight="1" x14ac:dyDescent="0.2">
      <c r="A22" s="283" t="s">
        <v>513</v>
      </c>
      <c r="B22" s="367">
        <v>2.4</v>
      </c>
      <c r="C22" s="367">
        <v>5.5</v>
      </c>
      <c r="D22" s="367">
        <v>8.9</v>
      </c>
      <c r="E22" s="367">
        <v>10.4</v>
      </c>
      <c r="F22" s="367">
        <v>7.8</v>
      </c>
      <c r="G22" s="367">
        <v>4.5999999999999996</v>
      </c>
      <c r="H22" s="367">
        <v>2.2999999999999998</v>
      </c>
      <c r="I22" s="367">
        <v>1</v>
      </c>
      <c r="J22" s="367">
        <v>0.4</v>
      </c>
      <c r="K22" s="367">
        <v>0.1</v>
      </c>
      <c r="L22" s="369"/>
      <c r="M22" s="367">
        <v>43.4</v>
      </c>
      <c r="O22" s="368"/>
      <c r="P22" s="368"/>
      <c r="Q22" s="368"/>
      <c r="R22" s="368"/>
      <c r="S22" s="368"/>
      <c r="T22" s="368"/>
      <c r="U22" s="368"/>
      <c r="V22" s="368"/>
      <c r="W22" s="368"/>
      <c r="X22" s="368"/>
      <c r="Y22" s="368"/>
    </row>
    <row r="23" spans="1:25" ht="11.25" customHeight="1" x14ac:dyDescent="0.2">
      <c r="A23" s="283" t="s">
        <v>514</v>
      </c>
      <c r="B23" s="367">
        <v>1.9</v>
      </c>
      <c r="C23" s="367">
        <v>4.5</v>
      </c>
      <c r="D23" s="367">
        <v>6.9</v>
      </c>
      <c r="E23" s="367">
        <v>8</v>
      </c>
      <c r="F23" s="367">
        <v>6.3</v>
      </c>
      <c r="G23" s="367">
        <v>3.9</v>
      </c>
      <c r="H23" s="367">
        <v>2.4</v>
      </c>
      <c r="I23" s="367">
        <v>1.3</v>
      </c>
      <c r="J23" s="367">
        <v>0.9</v>
      </c>
      <c r="K23" s="367">
        <v>0.1</v>
      </c>
      <c r="L23" s="369"/>
      <c r="M23" s="367">
        <v>36.200000000000003</v>
      </c>
      <c r="O23" s="368"/>
      <c r="P23" s="368"/>
      <c r="Q23" s="368"/>
      <c r="R23" s="368"/>
      <c r="S23" s="368"/>
      <c r="T23" s="368"/>
      <c r="U23" s="368"/>
      <c r="V23" s="368"/>
      <c r="W23" s="368"/>
      <c r="X23" s="368"/>
      <c r="Y23" s="368"/>
    </row>
    <row r="24" spans="1:25" ht="12" customHeight="1" x14ac:dyDescent="0.2">
      <c r="A24" s="283" t="s">
        <v>515</v>
      </c>
      <c r="B24" s="367">
        <v>2.2999999999999998</v>
      </c>
      <c r="C24" s="367">
        <v>5.7</v>
      </c>
      <c r="D24" s="367">
        <v>10.199999999999999</v>
      </c>
      <c r="E24" s="367">
        <v>12.5</v>
      </c>
      <c r="F24" s="367">
        <v>9.6999999999999993</v>
      </c>
      <c r="G24" s="367">
        <v>6</v>
      </c>
      <c r="H24" s="367">
        <v>3.4</v>
      </c>
      <c r="I24" s="367">
        <v>1.7</v>
      </c>
      <c r="J24" s="367">
        <v>0.8</v>
      </c>
      <c r="K24" s="367">
        <v>0.1</v>
      </c>
      <c r="L24" s="369"/>
      <c r="M24" s="367">
        <v>52.4</v>
      </c>
      <c r="O24" s="368"/>
      <c r="P24" s="368"/>
      <c r="Q24" s="368"/>
      <c r="R24" s="368"/>
      <c r="S24" s="368"/>
      <c r="T24" s="368"/>
      <c r="U24" s="368"/>
      <c r="V24" s="368"/>
      <c r="W24" s="368"/>
      <c r="X24" s="368"/>
      <c r="Y24" s="368"/>
    </row>
    <row r="25" spans="1:25" ht="12" customHeight="1" x14ac:dyDescent="0.2">
      <c r="A25" s="283" t="s">
        <v>516</v>
      </c>
      <c r="B25" s="367">
        <v>0.2</v>
      </c>
      <c r="C25" s="367">
        <v>0.5</v>
      </c>
      <c r="D25" s="367">
        <v>0.7</v>
      </c>
      <c r="E25" s="367">
        <v>0.8</v>
      </c>
      <c r="F25" s="367">
        <v>0.6</v>
      </c>
      <c r="G25" s="367">
        <v>0.3</v>
      </c>
      <c r="H25" s="367">
        <v>0.1</v>
      </c>
      <c r="I25" s="367">
        <v>0.1</v>
      </c>
      <c r="J25" s="367">
        <v>0.1</v>
      </c>
      <c r="K25" s="367" t="s">
        <v>612</v>
      </c>
      <c r="L25" s="369"/>
      <c r="M25" s="367">
        <v>3.5</v>
      </c>
      <c r="O25" s="368"/>
      <c r="P25" s="368"/>
      <c r="Q25" s="368"/>
      <c r="R25" s="368"/>
      <c r="S25" s="368"/>
      <c r="T25" s="368"/>
      <c r="U25" s="368"/>
      <c r="V25" s="368"/>
      <c r="W25" s="368"/>
      <c r="X25" s="368"/>
      <c r="Y25" s="368"/>
    </row>
    <row r="26" spans="1:25" ht="11.25" customHeight="1" x14ac:dyDescent="0.2">
      <c r="A26" s="283" t="s">
        <v>517</v>
      </c>
      <c r="B26" s="367">
        <v>2.8</v>
      </c>
      <c r="C26" s="367">
        <v>5.0999999999999996</v>
      </c>
      <c r="D26" s="367">
        <v>6.6</v>
      </c>
      <c r="E26" s="367">
        <v>6.1</v>
      </c>
      <c r="F26" s="367">
        <v>3.6</v>
      </c>
      <c r="G26" s="367">
        <v>1.9</v>
      </c>
      <c r="H26" s="367">
        <v>1</v>
      </c>
      <c r="I26" s="367">
        <v>0.5</v>
      </c>
      <c r="J26" s="367">
        <v>0.2</v>
      </c>
      <c r="K26" s="367">
        <v>0.1</v>
      </c>
      <c r="L26" s="369"/>
      <c r="M26" s="367">
        <v>27.8</v>
      </c>
      <c r="O26" s="368"/>
      <c r="P26" s="368"/>
      <c r="Q26" s="368"/>
      <c r="R26" s="368"/>
      <c r="S26" s="368"/>
      <c r="T26" s="368"/>
      <c r="U26" s="368"/>
      <c r="V26" s="368"/>
      <c r="W26" s="368"/>
      <c r="X26" s="368"/>
      <c r="Y26" s="368"/>
    </row>
    <row r="27" spans="1:25" s="354" customFormat="1" ht="11.25" customHeight="1" x14ac:dyDescent="0.2">
      <c r="A27" s="283" t="s">
        <v>582</v>
      </c>
      <c r="B27" s="367">
        <v>1.6</v>
      </c>
      <c r="C27" s="367">
        <v>3.7</v>
      </c>
      <c r="D27" s="367">
        <v>6.6</v>
      </c>
      <c r="E27" s="367">
        <v>8.1999999999999993</v>
      </c>
      <c r="F27" s="367">
        <v>6</v>
      </c>
      <c r="G27" s="367">
        <v>3.7</v>
      </c>
      <c r="H27" s="367">
        <v>2.2000000000000002</v>
      </c>
      <c r="I27" s="367">
        <v>1.1000000000000001</v>
      </c>
      <c r="J27" s="367">
        <v>0.6</v>
      </c>
      <c r="K27" s="367">
        <v>0.1</v>
      </c>
      <c r="L27" s="369"/>
      <c r="M27" s="367">
        <v>33.799999999999997</v>
      </c>
      <c r="O27" s="368"/>
      <c r="P27" s="368"/>
      <c r="Q27" s="368"/>
      <c r="R27" s="368"/>
      <c r="S27" s="368"/>
      <c r="T27" s="368"/>
      <c r="U27" s="368"/>
      <c r="V27" s="368"/>
      <c r="W27" s="368"/>
      <c r="X27" s="368"/>
      <c r="Y27" s="368"/>
    </row>
    <row r="28" spans="1:25" ht="11.25" customHeight="1" x14ac:dyDescent="0.2">
      <c r="A28" s="302" t="s">
        <v>519</v>
      </c>
      <c r="B28" s="367">
        <v>0</v>
      </c>
      <c r="C28" s="367">
        <v>0.1</v>
      </c>
      <c r="D28" s="367">
        <v>0.3</v>
      </c>
      <c r="E28" s="367">
        <v>0.5</v>
      </c>
      <c r="F28" s="367">
        <v>0.5</v>
      </c>
      <c r="G28" s="367">
        <v>0.4</v>
      </c>
      <c r="H28" s="367">
        <v>0.2</v>
      </c>
      <c r="I28" s="367">
        <v>0.1</v>
      </c>
      <c r="J28" s="367">
        <v>0</v>
      </c>
      <c r="K28" s="367">
        <v>0</v>
      </c>
      <c r="L28" s="369"/>
      <c r="M28" s="367">
        <v>2.1</v>
      </c>
      <c r="O28" s="368"/>
      <c r="P28" s="368"/>
      <c r="Q28" s="368"/>
      <c r="R28" s="368"/>
      <c r="S28" s="368"/>
      <c r="T28" s="368"/>
      <c r="U28" s="368"/>
      <c r="V28" s="368"/>
      <c r="W28" s="368"/>
      <c r="X28" s="368"/>
      <c r="Y28" s="368"/>
    </row>
    <row r="29" spans="1:25" ht="11.25" customHeight="1" x14ac:dyDescent="0.2">
      <c r="A29" s="283" t="s">
        <v>583</v>
      </c>
      <c r="B29" s="367">
        <v>4.2</v>
      </c>
      <c r="C29" s="367">
        <v>10.9</v>
      </c>
      <c r="D29" s="367">
        <v>14.2</v>
      </c>
      <c r="E29" s="367">
        <v>12.8</v>
      </c>
      <c r="F29" s="367">
        <v>6.7</v>
      </c>
      <c r="G29" s="367">
        <v>3.7</v>
      </c>
      <c r="H29" s="367">
        <v>2.5</v>
      </c>
      <c r="I29" s="367">
        <v>1.6</v>
      </c>
      <c r="J29" s="367">
        <v>0.9</v>
      </c>
      <c r="K29" s="367">
        <v>0.2</v>
      </c>
      <c r="L29" s="369"/>
      <c r="M29" s="367">
        <v>57.7</v>
      </c>
      <c r="O29" s="368"/>
      <c r="P29" s="368"/>
      <c r="Q29" s="368"/>
      <c r="R29" s="368"/>
      <c r="S29" s="368"/>
      <c r="T29" s="368"/>
      <c r="U29" s="368"/>
      <c r="V29" s="368"/>
      <c r="W29" s="368"/>
      <c r="X29" s="368"/>
      <c r="Y29" s="368"/>
    </row>
    <row r="30" spans="1:25" ht="11.25" customHeight="1" x14ac:dyDescent="0.2">
      <c r="A30" s="283" t="s">
        <v>521</v>
      </c>
      <c r="B30" s="367">
        <v>2.4</v>
      </c>
      <c r="C30" s="367">
        <v>9.9</v>
      </c>
      <c r="D30" s="367">
        <v>16.100000000000001</v>
      </c>
      <c r="E30" s="367">
        <v>15.3</v>
      </c>
      <c r="F30" s="367">
        <v>9.8000000000000007</v>
      </c>
      <c r="G30" s="367">
        <v>5.5</v>
      </c>
      <c r="H30" s="367">
        <v>3.1</v>
      </c>
      <c r="I30" s="367">
        <v>1.6</v>
      </c>
      <c r="J30" s="367">
        <v>0.7</v>
      </c>
      <c r="K30" s="367">
        <v>0.1</v>
      </c>
      <c r="L30" s="369"/>
      <c r="M30" s="367">
        <v>64.400000000000006</v>
      </c>
      <c r="O30" s="368"/>
      <c r="P30" s="368"/>
      <c r="Q30" s="368"/>
      <c r="R30" s="368"/>
      <c r="S30" s="368"/>
      <c r="T30" s="368"/>
      <c r="U30" s="368"/>
      <c r="V30" s="368"/>
      <c r="W30" s="368"/>
      <c r="X30" s="368"/>
      <c r="Y30" s="368"/>
    </row>
    <row r="31" spans="1:25" ht="11.25" customHeight="1" x14ac:dyDescent="0.2">
      <c r="A31" s="303" t="s">
        <v>522</v>
      </c>
      <c r="B31" s="367">
        <v>0.1</v>
      </c>
      <c r="C31" s="367">
        <v>0.6</v>
      </c>
      <c r="D31" s="367">
        <v>1.1000000000000001</v>
      </c>
      <c r="E31" s="367">
        <v>1.1000000000000001</v>
      </c>
      <c r="F31" s="367">
        <v>0.8</v>
      </c>
      <c r="G31" s="367">
        <v>0.4</v>
      </c>
      <c r="H31" s="367">
        <v>0.3</v>
      </c>
      <c r="I31" s="367">
        <v>0.2</v>
      </c>
      <c r="J31" s="367">
        <v>0.2</v>
      </c>
      <c r="K31" s="367">
        <v>0</v>
      </c>
      <c r="L31" s="369"/>
      <c r="M31" s="367">
        <v>4.7</v>
      </c>
      <c r="O31" s="368"/>
      <c r="P31" s="368"/>
      <c r="Q31" s="368"/>
      <c r="R31" s="368"/>
      <c r="S31" s="368"/>
      <c r="T31" s="368"/>
      <c r="U31" s="368"/>
      <c r="V31" s="368"/>
      <c r="W31" s="368"/>
      <c r="X31" s="368"/>
      <c r="Y31" s="368"/>
    </row>
    <row r="32" spans="1:25" ht="11.25" customHeight="1" x14ac:dyDescent="0.2">
      <c r="A32" s="283" t="s">
        <v>523</v>
      </c>
      <c r="B32" s="367">
        <v>0.7</v>
      </c>
      <c r="C32" s="367">
        <v>2.8</v>
      </c>
      <c r="D32" s="367">
        <v>5.2</v>
      </c>
      <c r="E32" s="367">
        <v>6.3</v>
      </c>
      <c r="F32" s="367">
        <v>5.2</v>
      </c>
      <c r="G32" s="367">
        <v>3.2</v>
      </c>
      <c r="H32" s="367">
        <v>1.8</v>
      </c>
      <c r="I32" s="367">
        <v>0.7</v>
      </c>
      <c r="J32" s="367">
        <v>0.4</v>
      </c>
      <c r="K32" s="367">
        <v>0.1</v>
      </c>
      <c r="L32" s="369"/>
      <c r="M32" s="367">
        <v>26.2</v>
      </c>
      <c r="O32" s="368"/>
      <c r="P32" s="368"/>
      <c r="Q32" s="368"/>
      <c r="R32" s="368"/>
      <c r="S32" s="368"/>
      <c r="T32" s="368"/>
      <c r="U32" s="368"/>
      <c r="V32" s="368"/>
      <c r="W32" s="368"/>
      <c r="X32" s="368"/>
      <c r="Y32" s="368"/>
    </row>
    <row r="33" spans="1:25" ht="11.25" customHeight="1" x14ac:dyDescent="0.2">
      <c r="A33" s="283"/>
      <c r="B33" s="369"/>
      <c r="C33" s="369"/>
      <c r="D33" s="369"/>
      <c r="E33" s="369"/>
      <c r="F33" s="369"/>
      <c r="G33" s="369"/>
      <c r="H33" s="369"/>
      <c r="I33" s="369"/>
      <c r="J33" s="369"/>
      <c r="K33" s="369"/>
      <c r="L33" s="369"/>
      <c r="M33" s="367"/>
      <c r="O33" s="368"/>
      <c r="P33" s="368"/>
      <c r="Q33" s="368"/>
      <c r="R33" s="368"/>
      <c r="S33" s="368"/>
      <c r="T33" s="368"/>
      <c r="U33" s="368"/>
      <c r="V33" s="368"/>
      <c r="W33" s="368"/>
      <c r="X33" s="368"/>
      <c r="Y33" s="368"/>
    </row>
    <row r="34" spans="1:25" ht="11.25" customHeight="1" x14ac:dyDescent="0.2">
      <c r="A34" s="283" t="s">
        <v>524</v>
      </c>
      <c r="B34" s="367">
        <v>19.899999999999999</v>
      </c>
      <c r="C34" s="367">
        <v>35.299999999999997</v>
      </c>
      <c r="D34" s="367">
        <v>40.799999999999997</v>
      </c>
      <c r="E34" s="367">
        <v>43.4</v>
      </c>
      <c r="F34" s="367">
        <v>29.7</v>
      </c>
      <c r="G34" s="367">
        <v>16.5</v>
      </c>
      <c r="H34" s="367">
        <v>8.8000000000000007</v>
      </c>
      <c r="I34" s="367">
        <v>4.2</v>
      </c>
      <c r="J34" s="367">
        <v>1.6</v>
      </c>
      <c r="K34" s="367">
        <v>0.1</v>
      </c>
      <c r="L34" s="369"/>
      <c r="M34" s="367">
        <v>200.2</v>
      </c>
      <c r="O34" s="368"/>
      <c r="P34" s="368"/>
      <c r="Q34" s="368"/>
      <c r="R34" s="368"/>
      <c r="S34" s="368"/>
      <c r="T34" s="368"/>
      <c r="U34" s="368"/>
      <c r="V34" s="368"/>
      <c r="W34" s="368"/>
      <c r="X34" s="368"/>
      <c r="Y34" s="368"/>
    </row>
    <row r="35" spans="1:25" ht="11.25" customHeight="1" x14ac:dyDescent="0.2">
      <c r="A35" s="283" t="s">
        <v>525</v>
      </c>
      <c r="B35" s="367">
        <v>24.2</v>
      </c>
      <c r="C35" s="367">
        <v>43.8</v>
      </c>
      <c r="D35" s="367">
        <v>49.6</v>
      </c>
      <c r="E35" s="367">
        <v>45.1</v>
      </c>
      <c r="F35" s="367">
        <v>31.1</v>
      </c>
      <c r="G35" s="367">
        <v>18.8</v>
      </c>
      <c r="H35" s="367">
        <v>11.5</v>
      </c>
      <c r="I35" s="367">
        <v>6.6</v>
      </c>
      <c r="J35" s="367">
        <v>3.7</v>
      </c>
      <c r="K35" s="367">
        <v>0.2</v>
      </c>
      <c r="L35" s="369"/>
      <c r="M35" s="367">
        <v>234.7</v>
      </c>
      <c r="O35" s="368"/>
      <c r="P35" s="368"/>
      <c r="Q35" s="368"/>
      <c r="R35" s="368"/>
      <c r="S35" s="368"/>
      <c r="T35" s="368"/>
      <c r="U35" s="368"/>
      <c r="V35" s="368"/>
      <c r="W35" s="368"/>
      <c r="X35" s="368"/>
      <c r="Y35" s="368"/>
    </row>
    <row r="36" spans="1:25" ht="11.25" customHeight="1" x14ac:dyDescent="0.2">
      <c r="A36" s="283" t="s">
        <v>526</v>
      </c>
      <c r="B36" s="367">
        <v>0.2</v>
      </c>
      <c r="C36" s="367">
        <v>0.8</v>
      </c>
      <c r="D36" s="367">
        <v>1.9</v>
      </c>
      <c r="E36" s="367">
        <v>2.7</v>
      </c>
      <c r="F36" s="367">
        <v>2.4</v>
      </c>
      <c r="G36" s="367">
        <v>1.9</v>
      </c>
      <c r="H36" s="367">
        <v>1.3</v>
      </c>
      <c r="I36" s="367">
        <v>0.8</v>
      </c>
      <c r="J36" s="367">
        <v>0.5</v>
      </c>
      <c r="K36" s="367">
        <v>0</v>
      </c>
      <c r="L36" s="369"/>
      <c r="M36" s="367">
        <v>12.4</v>
      </c>
      <c r="O36" s="368"/>
      <c r="P36" s="368"/>
      <c r="Q36" s="368"/>
      <c r="R36" s="368"/>
      <c r="S36" s="368"/>
      <c r="T36" s="368"/>
      <c r="U36" s="368"/>
      <c r="V36" s="368"/>
      <c r="W36" s="368"/>
      <c r="X36" s="368"/>
      <c r="Y36" s="368"/>
    </row>
    <row r="37" spans="1:25" s="354" customFormat="1" ht="11.25" customHeight="1" x14ac:dyDescent="0.2">
      <c r="A37" s="283" t="s">
        <v>527</v>
      </c>
      <c r="B37" s="367">
        <v>0.3</v>
      </c>
      <c r="C37" s="367">
        <v>1</v>
      </c>
      <c r="D37" s="367">
        <v>1.2</v>
      </c>
      <c r="E37" s="367">
        <v>0.9</v>
      </c>
      <c r="F37" s="367">
        <v>0.4</v>
      </c>
      <c r="G37" s="367">
        <v>0.2</v>
      </c>
      <c r="H37" s="367">
        <v>0.1</v>
      </c>
      <c r="I37" s="367">
        <v>0.1</v>
      </c>
      <c r="J37" s="367">
        <v>0</v>
      </c>
      <c r="K37" s="367">
        <v>0</v>
      </c>
      <c r="L37" s="369"/>
      <c r="M37" s="367">
        <v>4.3</v>
      </c>
      <c r="O37" s="368"/>
      <c r="P37" s="368"/>
      <c r="Q37" s="368"/>
      <c r="R37" s="368"/>
      <c r="S37" s="368"/>
      <c r="T37" s="368"/>
      <c r="U37" s="368"/>
      <c r="V37" s="368"/>
      <c r="W37" s="368"/>
      <c r="X37" s="368"/>
      <c r="Y37" s="368"/>
    </row>
    <row r="38" spans="1:25" ht="11.25" customHeight="1" x14ac:dyDescent="0.2">
      <c r="A38" s="283" t="s">
        <v>528</v>
      </c>
      <c r="B38" s="367">
        <v>1.5</v>
      </c>
      <c r="C38" s="367">
        <v>6.1</v>
      </c>
      <c r="D38" s="367">
        <v>10.4</v>
      </c>
      <c r="E38" s="367">
        <v>10.5</v>
      </c>
      <c r="F38" s="367">
        <v>6.8</v>
      </c>
      <c r="G38" s="367">
        <v>4.0999999999999996</v>
      </c>
      <c r="H38" s="367">
        <v>2.5</v>
      </c>
      <c r="I38" s="367">
        <v>1.4</v>
      </c>
      <c r="J38" s="367">
        <v>0.7</v>
      </c>
      <c r="K38" s="367">
        <v>0.1</v>
      </c>
      <c r="L38" s="369"/>
      <c r="M38" s="367">
        <v>44.1</v>
      </c>
      <c r="O38" s="368"/>
      <c r="P38" s="368"/>
      <c r="Q38" s="368"/>
      <c r="R38" s="368"/>
      <c r="S38" s="368"/>
      <c r="T38" s="368"/>
      <c r="U38" s="368"/>
      <c r="V38" s="368"/>
      <c r="W38" s="368"/>
      <c r="X38" s="368"/>
      <c r="Y38" s="368"/>
    </row>
    <row r="39" spans="1:25" ht="11.25" customHeight="1" x14ac:dyDescent="0.2">
      <c r="A39" s="283"/>
      <c r="B39" s="369"/>
      <c r="C39" s="369"/>
      <c r="D39" s="369"/>
      <c r="E39" s="369"/>
      <c r="F39" s="369"/>
      <c r="G39" s="369"/>
      <c r="H39" s="369"/>
      <c r="I39" s="369"/>
      <c r="J39" s="369"/>
      <c r="K39" s="369"/>
      <c r="L39" s="369"/>
      <c r="M39" s="367"/>
      <c r="O39" s="368"/>
      <c r="P39" s="368"/>
      <c r="Q39" s="368"/>
      <c r="R39" s="368"/>
      <c r="S39" s="368"/>
      <c r="T39" s="368"/>
      <c r="U39" s="368"/>
      <c r="V39" s="368"/>
      <c r="W39" s="368"/>
      <c r="X39" s="368"/>
      <c r="Y39" s="368"/>
    </row>
    <row r="40" spans="1:25" ht="11.25" customHeight="1" x14ac:dyDescent="0.2">
      <c r="A40" s="283" t="s">
        <v>529</v>
      </c>
      <c r="B40" s="369"/>
      <c r="C40" s="369"/>
      <c r="D40" s="369"/>
      <c r="E40" s="369"/>
      <c r="F40" s="369"/>
      <c r="G40" s="369"/>
      <c r="H40" s="369"/>
      <c r="I40" s="369"/>
      <c r="J40" s="369"/>
      <c r="K40" s="369"/>
      <c r="L40" s="369"/>
      <c r="M40" s="367"/>
      <c r="O40" s="368"/>
      <c r="P40" s="368"/>
      <c r="Q40" s="368"/>
      <c r="R40" s="368"/>
      <c r="S40" s="368"/>
      <c r="T40" s="368"/>
      <c r="U40" s="368"/>
      <c r="V40" s="368"/>
      <c r="W40" s="368"/>
      <c r="X40" s="368"/>
      <c r="Y40" s="368"/>
    </row>
    <row r="41" spans="1:25" ht="11.25" customHeight="1" x14ac:dyDescent="0.2">
      <c r="A41" s="304" t="s">
        <v>530</v>
      </c>
      <c r="B41" s="369">
        <v>0.7</v>
      </c>
      <c r="C41" s="369">
        <v>0.6</v>
      </c>
      <c r="D41" s="369">
        <v>0.4</v>
      </c>
      <c r="E41" s="369">
        <v>0.3</v>
      </c>
      <c r="F41" s="369">
        <v>0.2</v>
      </c>
      <c r="G41" s="369">
        <v>0.1</v>
      </c>
      <c r="H41" s="369">
        <v>0.1</v>
      </c>
      <c r="I41" s="369">
        <v>0.1</v>
      </c>
      <c r="J41" s="369">
        <v>0.1</v>
      </c>
      <c r="K41" s="369">
        <v>0</v>
      </c>
      <c r="L41" s="369"/>
      <c r="M41" s="367">
        <v>2.6</v>
      </c>
      <c r="O41" s="368"/>
      <c r="P41" s="368"/>
      <c r="Q41" s="368"/>
      <c r="R41" s="368"/>
      <c r="S41" s="368"/>
      <c r="T41" s="368"/>
      <c r="U41" s="368"/>
      <c r="V41" s="368"/>
      <c r="W41" s="368"/>
      <c r="X41" s="368"/>
      <c r="Y41" s="368"/>
    </row>
    <row r="42" spans="1:25" ht="11.25" customHeight="1" x14ac:dyDescent="0.2">
      <c r="A42" s="304" t="s">
        <v>531</v>
      </c>
      <c r="B42" s="369">
        <v>1.5</v>
      </c>
      <c r="C42" s="369">
        <v>0.4</v>
      </c>
      <c r="D42" s="369">
        <v>0.3</v>
      </c>
      <c r="E42" s="369">
        <v>0.1</v>
      </c>
      <c r="F42" s="369">
        <v>0.1</v>
      </c>
      <c r="G42" s="369">
        <v>0</v>
      </c>
      <c r="H42" s="369">
        <v>0</v>
      </c>
      <c r="I42" s="369" t="s">
        <v>612</v>
      </c>
      <c r="J42" s="369">
        <v>0</v>
      </c>
      <c r="K42" s="369">
        <v>0</v>
      </c>
      <c r="L42" s="369"/>
      <c r="M42" s="367">
        <v>2.2999999999999998</v>
      </c>
      <c r="O42" s="368"/>
      <c r="P42" s="368"/>
      <c r="Q42" s="368"/>
      <c r="R42" s="368"/>
      <c r="S42" s="368"/>
      <c r="T42" s="368"/>
      <c r="U42" s="368"/>
      <c r="V42" s="368"/>
      <c r="W42" s="368"/>
      <c r="X42" s="368"/>
      <c r="Y42" s="368"/>
    </row>
    <row r="43" spans="1:25" ht="11.25" customHeight="1" x14ac:dyDescent="0.2">
      <c r="A43" s="283" t="s">
        <v>532</v>
      </c>
      <c r="B43" s="369">
        <v>15.7</v>
      </c>
      <c r="C43" s="369">
        <v>23.5</v>
      </c>
      <c r="D43" s="369">
        <v>32.1</v>
      </c>
      <c r="E43" s="369">
        <v>42.2</v>
      </c>
      <c r="F43" s="369">
        <v>29.4</v>
      </c>
      <c r="G43" s="369">
        <v>11.9</v>
      </c>
      <c r="H43" s="369">
        <v>4.8</v>
      </c>
      <c r="I43" s="369">
        <v>1.6</v>
      </c>
      <c r="J43" s="369">
        <v>0.5</v>
      </c>
      <c r="K43" s="369">
        <v>0.2</v>
      </c>
      <c r="L43" s="369"/>
      <c r="M43" s="367">
        <v>161.80000000000001</v>
      </c>
      <c r="O43" s="368"/>
      <c r="P43" s="368"/>
      <c r="Q43" s="368"/>
      <c r="R43" s="368"/>
      <c r="S43" s="368"/>
      <c r="T43" s="368"/>
      <c r="U43" s="368"/>
      <c r="V43" s="368"/>
      <c r="W43" s="368"/>
      <c r="X43" s="368"/>
      <c r="Y43" s="368"/>
    </row>
    <row r="44" spans="1:25" ht="11.25" customHeight="1" x14ac:dyDescent="0.2">
      <c r="A44" s="283" t="s">
        <v>533</v>
      </c>
      <c r="B44" s="369">
        <v>5.4</v>
      </c>
      <c r="C44" s="369">
        <v>9</v>
      </c>
      <c r="D44" s="369">
        <v>14.1</v>
      </c>
      <c r="E44" s="369">
        <v>16.8</v>
      </c>
      <c r="F44" s="369">
        <v>9.6999999999999993</v>
      </c>
      <c r="G44" s="369">
        <v>3.6</v>
      </c>
      <c r="H44" s="369">
        <v>1.3</v>
      </c>
      <c r="I44" s="369">
        <v>0.4</v>
      </c>
      <c r="J44" s="369">
        <v>0.1</v>
      </c>
      <c r="K44" s="369">
        <v>0</v>
      </c>
      <c r="L44" s="369"/>
      <c r="M44" s="367">
        <v>60.3</v>
      </c>
      <c r="O44" s="368"/>
      <c r="P44" s="368"/>
      <c r="Q44" s="368"/>
      <c r="R44" s="368"/>
      <c r="S44" s="368"/>
      <c r="T44" s="368"/>
      <c r="U44" s="368"/>
      <c r="V44" s="368"/>
      <c r="W44" s="368"/>
      <c r="X44" s="368"/>
      <c r="Y44" s="368"/>
    </row>
    <row r="45" spans="1:25" ht="11.25" customHeight="1" x14ac:dyDescent="0.2">
      <c r="A45" s="283" t="s">
        <v>534</v>
      </c>
      <c r="B45" s="369">
        <v>1.6</v>
      </c>
      <c r="C45" s="369">
        <v>0.8</v>
      </c>
      <c r="D45" s="369">
        <v>0.7</v>
      </c>
      <c r="E45" s="369">
        <v>0.6</v>
      </c>
      <c r="F45" s="369">
        <v>0.3</v>
      </c>
      <c r="G45" s="369">
        <v>0.1</v>
      </c>
      <c r="H45" s="369">
        <v>0</v>
      </c>
      <c r="I45" s="369">
        <v>0</v>
      </c>
      <c r="J45" s="369">
        <v>0</v>
      </c>
      <c r="K45" s="369">
        <v>0</v>
      </c>
      <c r="L45" s="369"/>
      <c r="M45" s="367">
        <v>4.0999999999999996</v>
      </c>
      <c r="O45" s="368"/>
      <c r="P45" s="368"/>
      <c r="Q45" s="368"/>
      <c r="R45" s="368"/>
      <c r="S45" s="368"/>
      <c r="T45" s="368"/>
      <c r="U45" s="368"/>
      <c r="V45" s="368"/>
      <c r="W45" s="368"/>
      <c r="X45" s="368"/>
      <c r="Y45" s="368"/>
    </row>
    <row r="46" spans="1:25" ht="11.25" customHeight="1" x14ac:dyDescent="0.2">
      <c r="A46" s="304" t="s">
        <v>535</v>
      </c>
      <c r="B46" s="367">
        <v>0.9</v>
      </c>
      <c r="C46" s="367">
        <v>1.2</v>
      </c>
      <c r="D46" s="367">
        <v>0.5</v>
      </c>
      <c r="E46" s="367">
        <v>0.2</v>
      </c>
      <c r="F46" s="367">
        <v>0.1</v>
      </c>
      <c r="G46" s="367">
        <v>0</v>
      </c>
      <c r="H46" s="367">
        <v>0</v>
      </c>
      <c r="I46" s="367">
        <v>0</v>
      </c>
      <c r="J46" s="367">
        <v>0</v>
      </c>
      <c r="K46" s="367">
        <v>0</v>
      </c>
      <c r="L46" s="369"/>
      <c r="M46" s="367">
        <v>2.9</v>
      </c>
      <c r="O46" s="368"/>
      <c r="P46" s="368"/>
      <c r="Q46" s="368"/>
      <c r="R46" s="368"/>
      <c r="S46" s="368"/>
      <c r="T46" s="368"/>
      <c r="U46" s="368"/>
      <c r="V46" s="368"/>
      <c r="W46" s="368"/>
      <c r="X46" s="368"/>
      <c r="Y46" s="368"/>
    </row>
    <row r="47" spans="1:25" ht="11.25" customHeight="1" x14ac:dyDescent="0.2">
      <c r="A47" s="283" t="s">
        <v>536</v>
      </c>
      <c r="B47" s="367">
        <v>10.4</v>
      </c>
      <c r="C47" s="367">
        <v>13.6</v>
      </c>
      <c r="D47" s="367">
        <v>16.100000000000001</v>
      </c>
      <c r="E47" s="367">
        <v>19.3</v>
      </c>
      <c r="F47" s="367">
        <v>13.2</v>
      </c>
      <c r="G47" s="367">
        <v>5.8</v>
      </c>
      <c r="H47" s="367">
        <v>2.5</v>
      </c>
      <c r="I47" s="367">
        <v>1.1000000000000001</v>
      </c>
      <c r="J47" s="367">
        <v>0.5</v>
      </c>
      <c r="K47" s="367">
        <v>0.1</v>
      </c>
      <c r="L47" s="369"/>
      <c r="M47" s="367">
        <v>82.7</v>
      </c>
      <c r="O47" s="368"/>
      <c r="P47" s="368"/>
      <c r="Q47" s="368"/>
      <c r="R47" s="368"/>
      <c r="S47" s="368"/>
      <c r="T47" s="368"/>
      <c r="U47" s="368"/>
      <c r="V47" s="368"/>
      <c r="W47" s="368"/>
      <c r="X47" s="368"/>
      <c r="Y47" s="368"/>
    </row>
    <row r="48" spans="1:25" ht="11.25" customHeight="1" x14ac:dyDescent="0.2">
      <c r="A48" s="304" t="s">
        <v>537</v>
      </c>
      <c r="B48" s="367">
        <v>0.4</v>
      </c>
      <c r="C48" s="367">
        <v>0.9</v>
      </c>
      <c r="D48" s="367">
        <v>0.9</v>
      </c>
      <c r="E48" s="367">
        <v>0.8</v>
      </c>
      <c r="F48" s="367">
        <v>0.5</v>
      </c>
      <c r="G48" s="367">
        <v>0.3</v>
      </c>
      <c r="H48" s="367">
        <v>0.1</v>
      </c>
      <c r="I48" s="367">
        <v>0</v>
      </c>
      <c r="J48" s="367">
        <v>0</v>
      </c>
      <c r="K48" s="367">
        <v>0</v>
      </c>
      <c r="L48" s="369"/>
      <c r="M48" s="367">
        <v>4.0999999999999996</v>
      </c>
      <c r="O48" s="368"/>
      <c r="P48" s="368"/>
      <c r="Q48" s="368"/>
      <c r="R48" s="368"/>
      <c r="S48" s="368"/>
      <c r="T48" s="368"/>
      <c r="U48" s="368"/>
      <c r="V48" s="368"/>
      <c r="W48" s="368"/>
      <c r="X48" s="368"/>
      <c r="Y48" s="368"/>
    </row>
    <row r="49" spans="1:25" ht="11.25" customHeight="1" x14ac:dyDescent="0.2">
      <c r="A49" s="283" t="s">
        <v>538</v>
      </c>
      <c r="B49" s="367">
        <v>3</v>
      </c>
      <c r="C49" s="367">
        <v>2.5</v>
      </c>
      <c r="D49" s="367">
        <v>1.8</v>
      </c>
      <c r="E49" s="367">
        <v>1.1000000000000001</v>
      </c>
      <c r="F49" s="367">
        <v>0.5</v>
      </c>
      <c r="G49" s="367">
        <v>0.2</v>
      </c>
      <c r="H49" s="367">
        <v>0.1</v>
      </c>
      <c r="I49" s="367">
        <v>0.1</v>
      </c>
      <c r="J49" s="367">
        <v>0</v>
      </c>
      <c r="K49" s="367">
        <v>0.1</v>
      </c>
      <c r="L49" s="369"/>
      <c r="M49" s="367">
        <v>9.3000000000000007</v>
      </c>
      <c r="O49" s="368"/>
      <c r="P49" s="368"/>
      <c r="Q49" s="368"/>
      <c r="R49" s="368"/>
      <c r="S49" s="368"/>
      <c r="T49" s="368"/>
      <c r="U49" s="368"/>
      <c r="V49" s="368"/>
      <c r="W49" s="368"/>
      <c r="X49" s="368"/>
      <c r="Y49" s="368"/>
    </row>
    <row r="50" spans="1:25" ht="11.25" customHeight="1" x14ac:dyDescent="0.2">
      <c r="A50" s="283"/>
      <c r="B50" s="369"/>
      <c r="C50" s="369"/>
      <c r="D50" s="369"/>
      <c r="E50" s="369"/>
      <c r="F50" s="369"/>
      <c r="G50" s="369"/>
      <c r="H50" s="369"/>
      <c r="I50" s="369"/>
      <c r="J50" s="369"/>
      <c r="K50" s="369"/>
      <c r="L50" s="369"/>
      <c r="M50" s="367"/>
      <c r="O50" s="368"/>
      <c r="P50" s="368"/>
      <c r="Q50" s="368"/>
      <c r="R50" s="368"/>
      <c r="S50" s="368"/>
      <c r="T50" s="368"/>
      <c r="U50" s="368"/>
      <c r="V50" s="368"/>
      <c r="W50" s="368"/>
      <c r="X50" s="368"/>
      <c r="Y50" s="368"/>
    </row>
    <row r="51" spans="1:25" ht="11.25" customHeight="1" x14ac:dyDescent="0.2">
      <c r="A51" s="283" t="s">
        <v>539</v>
      </c>
      <c r="B51" s="369"/>
      <c r="C51" s="369"/>
      <c r="D51" s="369"/>
      <c r="E51" s="369"/>
      <c r="F51" s="369"/>
      <c r="G51" s="369"/>
      <c r="H51" s="369"/>
      <c r="I51" s="369"/>
      <c r="J51" s="369"/>
      <c r="K51" s="369"/>
      <c r="L51" s="369"/>
      <c r="M51" s="367"/>
      <c r="O51" s="368"/>
      <c r="P51" s="368"/>
      <c r="Q51" s="368"/>
      <c r="R51" s="368"/>
      <c r="S51" s="368"/>
      <c r="T51" s="368"/>
      <c r="U51" s="368"/>
      <c r="V51" s="368"/>
      <c r="W51" s="368"/>
      <c r="X51" s="368"/>
      <c r="Y51" s="368"/>
    </row>
    <row r="52" spans="1:25" ht="11.25" customHeight="1" x14ac:dyDescent="0.2">
      <c r="A52" s="3" t="s">
        <v>540</v>
      </c>
      <c r="B52" s="369">
        <v>0.5</v>
      </c>
      <c r="C52" s="369">
        <v>1</v>
      </c>
      <c r="D52" s="369">
        <v>1</v>
      </c>
      <c r="E52" s="369">
        <v>0.7</v>
      </c>
      <c r="F52" s="369">
        <v>0.4</v>
      </c>
      <c r="G52" s="369">
        <v>0.2</v>
      </c>
      <c r="H52" s="369">
        <v>0.1</v>
      </c>
      <c r="I52" s="369">
        <v>0</v>
      </c>
      <c r="J52" s="369">
        <v>0</v>
      </c>
      <c r="K52" s="369">
        <v>0</v>
      </c>
      <c r="L52" s="369"/>
      <c r="M52" s="367">
        <v>3.9</v>
      </c>
      <c r="O52" s="368"/>
      <c r="P52" s="368"/>
      <c r="Q52" s="368"/>
      <c r="R52" s="368"/>
      <c r="S52" s="368"/>
      <c r="T52" s="368"/>
      <c r="U52" s="368"/>
      <c r="V52" s="368"/>
      <c r="W52" s="368"/>
      <c r="X52" s="368"/>
      <c r="Y52" s="368"/>
    </row>
    <row r="53" spans="1:25" ht="11.25" customHeight="1" x14ac:dyDescent="0.2">
      <c r="A53" s="3" t="s">
        <v>541</v>
      </c>
      <c r="B53" s="369">
        <v>0.7</v>
      </c>
      <c r="C53" s="369">
        <v>0.3</v>
      </c>
      <c r="D53" s="369">
        <v>0.1</v>
      </c>
      <c r="E53" s="369">
        <v>0</v>
      </c>
      <c r="F53" s="369">
        <v>0</v>
      </c>
      <c r="G53" s="369">
        <v>0</v>
      </c>
      <c r="H53" s="369">
        <v>0</v>
      </c>
      <c r="I53" s="369" t="s">
        <v>612</v>
      </c>
      <c r="J53" s="369" t="s">
        <v>612</v>
      </c>
      <c r="K53" s="369">
        <v>0</v>
      </c>
      <c r="L53" s="369"/>
      <c r="M53" s="367">
        <v>1.1000000000000001</v>
      </c>
      <c r="O53" s="368"/>
      <c r="P53" s="368"/>
      <c r="Q53" s="368"/>
      <c r="R53" s="368"/>
      <c r="S53" s="368"/>
      <c r="T53" s="368"/>
      <c r="U53" s="368"/>
      <c r="V53" s="368"/>
      <c r="W53" s="368"/>
      <c r="X53" s="368"/>
      <c r="Y53" s="368"/>
    </row>
    <row r="54" spans="1:25" ht="11.25" customHeight="1" x14ac:dyDescent="0.2">
      <c r="A54" s="283" t="s">
        <v>542</v>
      </c>
      <c r="B54" s="369">
        <v>4</v>
      </c>
      <c r="C54" s="369">
        <v>2.5</v>
      </c>
      <c r="D54" s="369">
        <v>1.2</v>
      </c>
      <c r="E54" s="369">
        <v>0.6</v>
      </c>
      <c r="F54" s="369">
        <v>0.3</v>
      </c>
      <c r="G54" s="369">
        <v>0.2</v>
      </c>
      <c r="H54" s="369">
        <v>0.1</v>
      </c>
      <c r="I54" s="369">
        <v>0</v>
      </c>
      <c r="J54" s="369">
        <v>0</v>
      </c>
      <c r="K54" s="369">
        <v>0</v>
      </c>
      <c r="L54" s="369"/>
      <c r="M54" s="367">
        <v>9</v>
      </c>
      <c r="O54" s="368"/>
      <c r="P54" s="368"/>
      <c r="Q54" s="368"/>
      <c r="R54" s="368"/>
      <c r="S54" s="368"/>
      <c r="T54" s="368"/>
      <c r="U54" s="368"/>
      <c r="V54" s="368"/>
      <c r="W54" s="368"/>
      <c r="X54" s="368"/>
      <c r="Y54" s="368"/>
    </row>
    <row r="55" spans="1:25" ht="11.25" customHeight="1" x14ac:dyDescent="0.2">
      <c r="A55" s="283" t="s">
        <v>543</v>
      </c>
      <c r="B55" s="369">
        <v>0.2</v>
      </c>
      <c r="C55" s="369">
        <v>0.3</v>
      </c>
      <c r="D55" s="369">
        <v>0.3</v>
      </c>
      <c r="E55" s="369">
        <v>0.2</v>
      </c>
      <c r="F55" s="369">
        <v>0.1</v>
      </c>
      <c r="G55" s="369">
        <v>0.1</v>
      </c>
      <c r="H55" s="369">
        <v>0.1</v>
      </c>
      <c r="I55" s="369">
        <v>0</v>
      </c>
      <c r="J55" s="369">
        <v>0</v>
      </c>
      <c r="K55" s="369">
        <v>0</v>
      </c>
      <c r="L55" s="369"/>
      <c r="M55" s="367">
        <v>1.3</v>
      </c>
      <c r="O55" s="368"/>
      <c r="P55" s="368"/>
      <c r="Q55" s="368"/>
      <c r="R55" s="368"/>
      <c r="S55" s="368"/>
      <c r="T55" s="368"/>
      <c r="U55" s="368"/>
      <c r="V55" s="368"/>
      <c r="W55" s="368"/>
      <c r="X55" s="368"/>
      <c r="Y55" s="368"/>
    </row>
    <row r="56" spans="1:25" ht="11.25" customHeight="1" x14ac:dyDescent="0.2">
      <c r="A56" s="283"/>
      <c r="B56" s="369"/>
      <c r="C56" s="369"/>
      <c r="D56" s="369"/>
      <c r="E56" s="369"/>
      <c r="F56" s="369"/>
      <c r="G56" s="369"/>
      <c r="H56" s="369"/>
      <c r="I56" s="369"/>
      <c r="J56" s="369"/>
      <c r="K56" s="369"/>
      <c r="L56" s="369"/>
      <c r="M56" s="367"/>
      <c r="O56" s="368"/>
      <c r="P56" s="368"/>
      <c r="Q56" s="368"/>
      <c r="R56" s="368"/>
      <c r="S56" s="368"/>
      <c r="T56" s="368"/>
      <c r="U56" s="368"/>
      <c r="V56" s="368"/>
      <c r="W56" s="368"/>
      <c r="X56" s="368"/>
      <c r="Y56" s="368"/>
    </row>
    <row r="57" spans="1:25" ht="11.25" customHeight="1" x14ac:dyDescent="0.2">
      <c r="A57" s="302" t="s">
        <v>544</v>
      </c>
      <c r="B57" s="370">
        <v>0.1</v>
      </c>
      <c r="C57" s="367">
        <v>0.1</v>
      </c>
      <c r="D57" s="367">
        <v>0.3</v>
      </c>
      <c r="E57" s="367">
        <v>0.3</v>
      </c>
      <c r="F57" s="367">
        <v>0.1</v>
      </c>
      <c r="G57" s="367">
        <v>0.1</v>
      </c>
      <c r="H57" s="367">
        <v>0</v>
      </c>
      <c r="I57" s="367">
        <v>0</v>
      </c>
      <c r="J57" s="367">
        <v>0</v>
      </c>
      <c r="K57" s="367">
        <v>0</v>
      </c>
      <c r="L57" s="369"/>
      <c r="M57" s="367">
        <v>1.1000000000000001</v>
      </c>
      <c r="O57" s="368"/>
      <c r="P57" s="368"/>
      <c r="Q57" s="368"/>
      <c r="R57" s="368"/>
      <c r="S57" s="368"/>
      <c r="T57" s="368"/>
      <c r="U57" s="368"/>
      <c r="V57" s="368"/>
      <c r="W57" s="368"/>
      <c r="X57" s="368"/>
      <c r="Y57" s="368"/>
    </row>
    <row r="58" spans="1:25" ht="11.25" customHeight="1" x14ac:dyDescent="0.2">
      <c r="A58" s="305" t="s">
        <v>545</v>
      </c>
      <c r="B58" s="371" t="s">
        <v>196</v>
      </c>
      <c r="C58" s="306" t="s">
        <v>196</v>
      </c>
      <c r="D58" s="306" t="s">
        <v>196</v>
      </c>
      <c r="E58" s="306" t="s">
        <v>196</v>
      </c>
      <c r="F58" s="306" t="s">
        <v>196</v>
      </c>
      <c r="G58" s="306" t="s">
        <v>196</v>
      </c>
      <c r="H58" s="306" t="s">
        <v>196</v>
      </c>
      <c r="I58" s="306" t="s">
        <v>196</v>
      </c>
      <c r="J58" s="306" t="s">
        <v>196</v>
      </c>
      <c r="K58" s="306" t="s">
        <v>196</v>
      </c>
      <c r="L58" s="306"/>
      <c r="M58" s="306" t="s">
        <v>196</v>
      </c>
      <c r="O58" s="368"/>
      <c r="P58" s="368"/>
      <c r="Q58" s="368"/>
      <c r="R58" s="368"/>
      <c r="S58" s="368"/>
      <c r="T58" s="368"/>
      <c r="U58" s="368"/>
      <c r="V58" s="368"/>
      <c r="W58" s="368"/>
      <c r="X58" s="368"/>
      <c r="Y58" s="368"/>
    </row>
    <row r="59" spans="1:25" ht="11.25" customHeight="1" x14ac:dyDescent="0.2">
      <c r="A59" s="283" t="s">
        <v>546</v>
      </c>
      <c r="B59" s="297">
        <v>16.3</v>
      </c>
      <c r="C59" s="367">
        <v>22.8</v>
      </c>
      <c r="D59" s="367">
        <v>39.6</v>
      </c>
      <c r="E59" s="367">
        <v>47.5</v>
      </c>
      <c r="F59" s="367">
        <v>19.8</v>
      </c>
      <c r="G59" s="367">
        <v>9.8000000000000007</v>
      </c>
      <c r="H59" s="367">
        <v>5.2</v>
      </c>
      <c r="I59" s="367">
        <v>2</v>
      </c>
      <c r="J59" s="367">
        <v>0.8</v>
      </c>
      <c r="K59" s="367">
        <v>0.9</v>
      </c>
      <c r="L59" s="369"/>
      <c r="M59" s="367">
        <v>164.5</v>
      </c>
      <c r="O59" s="368"/>
      <c r="P59" s="368"/>
      <c r="Q59" s="368"/>
      <c r="R59" s="368"/>
      <c r="S59" s="368"/>
      <c r="T59" s="368"/>
      <c r="U59" s="368"/>
      <c r="V59" s="368"/>
      <c r="W59" s="368"/>
      <c r="X59" s="368"/>
      <c r="Y59" s="368"/>
    </row>
    <row r="60" spans="1:25" ht="11.25" customHeight="1" x14ac:dyDescent="0.2">
      <c r="A60" s="283" t="s">
        <v>547</v>
      </c>
      <c r="B60" s="297">
        <v>0.4</v>
      </c>
      <c r="C60" s="367">
        <v>1.1000000000000001</v>
      </c>
      <c r="D60" s="367">
        <v>1.9</v>
      </c>
      <c r="E60" s="367">
        <v>2</v>
      </c>
      <c r="F60" s="367">
        <v>1.5</v>
      </c>
      <c r="G60" s="367">
        <v>1</v>
      </c>
      <c r="H60" s="367">
        <v>0.5</v>
      </c>
      <c r="I60" s="367">
        <v>0.3</v>
      </c>
      <c r="J60" s="367">
        <v>0.2</v>
      </c>
      <c r="K60" s="367">
        <v>0.1</v>
      </c>
      <c r="L60" s="369"/>
      <c r="M60" s="367">
        <v>9.1</v>
      </c>
      <c r="O60" s="368"/>
      <c r="P60" s="368"/>
      <c r="Q60" s="368"/>
      <c r="R60" s="368"/>
      <c r="S60" s="368"/>
      <c r="T60" s="368"/>
      <c r="U60" s="368"/>
      <c r="V60" s="368"/>
      <c r="W60" s="368"/>
      <c r="X60" s="368"/>
      <c r="Y60" s="368"/>
    </row>
    <row r="61" spans="1:25" ht="11.25" customHeight="1" x14ac:dyDescent="0.2">
      <c r="A61" s="305" t="s">
        <v>548</v>
      </c>
      <c r="B61" s="371">
        <v>0</v>
      </c>
      <c r="C61" s="367" t="s">
        <v>612</v>
      </c>
      <c r="D61" s="367">
        <v>0</v>
      </c>
      <c r="E61" s="367">
        <v>0</v>
      </c>
      <c r="F61" s="367">
        <v>0</v>
      </c>
      <c r="G61" s="367" t="s">
        <v>612</v>
      </c>
      <c r="H61" s="367" t="s">
        <v>612</v>
      </c>
      <c r="I61" s="367" t="s">
        <v>612</v>
      </c>
      <c r="J61" s="367" t="s">
        <v>612</v>
      </c>
      <c r="K61" s="367">
        <v>0</v>
      </c>
      <c r="L61" s="369"/>
      <c r="M61" s="367">
        <v>0</v>
      </c>
      <c r="O61" s="368"/>
      <c r="P61" s="368"/>
      <c r="Q61" s="368"/>
      <c r="R61" s="368"/>
      <c r="S61" s="368"/>
      <c r="T61" s="368"/>
      <c r="U61" s="368"/>
      <c r="V61" s="368"/>
      <c r="W61" s="368"/>
      <c r="X61" s="368"/>
      <c r="Y61" s="368"/>
    </row>
    <row r="62" spans="1:25" s="368" customFormat="1" ht="11.25" customHeight="1" x14ac:dyDescent="0.2">
      <c r="A62" s="283" t="s">
        <v>549</v>
      </c>
      <c r="B62" s="297">
        <v>3.6</v>
      </c>
      <c r="C62" s="367">
        <v>12.2</v>
      </c>
      <c r="D62" s="367">
        <v>18</v>
      </c>
      <c r="E62" s="367">
        <v>17.2</v>
      </c>
      <c r="F62" s="367">
        <v>10.4</v>
      </c>
      <c r="G62" s="367">
        <v>4.9000000000000004</v>
      </c>
      <c r="H62" s="367">
        <v>2.1</v>
      </c>
      <c r="I62" s="367">
        <v>0.9</v>
      </c>
      <c r="J62" s="367">
        <v>0.4</v>
      </c>
      <c r="K62" s="367">
        <v>0.1</v>
      </c>
      <c r="L62" s="369"/>
      <c r="M62" s="367">
        <v>69.8</v>
      </c>
    </row>
    <row r="63" spans="1:25" ht="11.25" customHeight="1" x14ac:dyDescent="0.2">
      <c r="A63" s="283" t="s">
        <v>550</v>
      </c>
      <c r="B63" s="297">
        <v>24</v>
      </c>
      <c r="C63" s="367">
        <v>74.400000000000006</v>
      </c>
      <c r="D63" s="367">
        <v>122.8</v>
      </c>
      <c r="E63" s="367">
        <v>106.3</v>
      </c>
      <c r="F63" s="367">
        <v>56.9</v>
      </c>
      <c r="G63" s="367">
        <v>21.7</v>
      </c>
      <c r="H63" s="367">
        <v>8.5</v>
      </c>
      <c r="I63" s="367">
        <v>3.6</v>
      </c>
      <c r="J63" s="367">
        <v>3.1</v>
      </c>
      <c r="K63" s="367">
        <v>0.4</v>
      </c>
      <c r="L63" s="369"/>
      <c r="M63" s="367">
        <v>421.8</v>
      </c>
      <c r="O63" s="368"/>
      <c r="P63" s="368"/>
      <c r="Q63" s="368"/>
      <c r="R63" s="368"/>
      <c r="S63" s="368"/>
      <c r="T63" s="368"/>
      <c r="U63" s="368"/>
      <c r="V63" s="368"/>
      <c r="W63" s="368"/>
      <c r="X63" s="368"/>
      <c r="Y63" s="368"/>
    </row>
    <row r="64" spans="1:25" ht="11.25" customHeight="1" x14ac:dyDescent="0.2">
      <c r="A64" s="139" t="s">
        <v>551</v>
      </c>
      <c r="B64" s="372" t="s">
        <v>612</v>
      </c>
      <c r="C64" s="367">
        <v>0</v>
      </c>
      <c r="D64" s="367">
        <v>0.3</v>
      </c>
      <c r="E64" s="367">
        <v>0.6</v>
      </c>
      <c r="F64" s="367">
        <v>0.6</v>
      </c>
      <c r="G64" s="367">
        <v>0.3</v>
      </c>
      <c r="H64" s="367">
        <v>0.1</v>
      </c>
      <c r="I64" s="367">
        <v>0.1</v>
      </c>
      <c r="J64" s="367">
        <v>0</v>
      </c>
      <c r="K64" s="367">
        <v>0</v>
      </c>
      <c r="L64" s="369"/>
      <c r="M64" s="367">
        <v>2.1</v>
      </c>
      <c r="O64" s="368"/>
      <c r="P64" s="368"/>
      <c r="Q64" s="368"/>
      <c r="R64" s="368"/>
      <c r="S64" s="368"/>
      <c r="T64" s="368"/>
      <c r="U64" s="368"/>
      <c r="V64" s="368"/>
      <c r="W64" s="368"/>
      <c r="X64" s="368"/>
      <c r="Y64" s="368"/>
    </row>
    <row r="65" spans="1:25" ht="11.25" customHeight="1" x14ac:dyDescent="0.2">
      <c r="A65" s="139" t="s">
        <v>552</v>
      </c>
      <c r="B65" s="372">
        <v>0.2</v>
      </c>
      <c r="C65" s="367">
        <v>0.4</v>
      </c>
      <c r="D65" s="367">
        <v>0.7</v>
      </c>
      <c r="E65" s="367">
        <v>1</v>
      </c>
      <c r="F65" s="367">
        <v>1</v>
      </c>
      <c r="G65" s="367">
        <v>0.6</v>
      </c>
      <c r="H65" s="367">
        <v>0.3</v>
      </c>
      <c r="I65" s="367">
        <v>0.2</v>
      </c>
      <c r="J65" s="367">
        <v>0.3</v>
      </c>
      <c r="K65" s="367">
        <v>0.1</v>
      </c>
      <c r="L65" s="369"/>
      <c r="M65" s="367">
        <v>4.9000000000000004</v>
      </c>
      <c r="O65" s="368"/>
      <c r="P65" s="368"/>
      <c r="Q65" s="368"/>
      <c r="R65" s="368"/>
      <c r="S65" s="368"/>
      <c r="T65" s="368"/>
      <c r="U65" s="368"/>
      <c r="V65" s="368"/>
      <c r="W65" s="368"/>
      <c r="X65" s="368"/>
      <c r="Y65" s="368"/>
    </row>
    <row r="66" spans="1:25" ht="11.25" customHeight="1" x14ac:dyDescent="0.2">
      <c r="A66" s="302" t="s">
        <v>553</v>
      </c>
      <c r="B66" s="370">
        <v>0.1</v>
      </c>
      <c r="C66" s="367">
        <v>0.6</v>
      </c>
      <c r="D66" s="367">
        <v>1.5</v>
      </c>
      <c r="E66" s="367">
        <v>2</v>
      </c>
      <c r="F66" s="367">
        <v>1.5</v>
      </c>
      <c r="G66" s="367">
        <v>0.9</v>
      </c>
      <c r="H66" s="367">
        <v>0.6</v>
      </c>
      <c r="I66" s="367">
        <v>0.4</v>
      </c>
      <c r="J66" s="367">
        <v>0.2</v>
      </c>
      <c r="K66" s="367">
        <v>0</v>
      </c>
      <c r="L66" s="369"/>
      <c r="M66" s="367">
        <v>7.8</v>
      </c>
      <c r="O66" s="368"/>
      <c r="P66" s="368"/>
      <c r="Q66" s="368"/>
      <c r="R66" s="368"/>
      <c r="S66" s="368"/>
      <c r="T66" s="368"/>
      <c r="U66" s="368"/>
      <c r="V66" s="368"/>
      <c r="W66" s="368"/>
      <c r="X66" s="368"/>
      <c r="Y66" s="368"/>
    </row>
    <row r="67" spans="1:25" ht="11.25" customHeight="1" x14ac:dyDescent="0.2">
      <c r="A67" s="305" t="s">
        <v>554</v>
      </c>
      <c r="B67" s="371">
        <v>0.1</v>
      </c>
      <c r="C67" s="367">
        <v>0.2</v>
      </c>
      <c r="D67" s="367">
        <v>0.4</v>
      </c>
      <c r="E67" s="367">
        <v>0.5</v>
      </c>
      <c r="F67" s="367">
        <v>0.4</v>
      </c>
      <c r="G67" s="367">
        <v>0.3</v>
      </c>
      <c r="H67" s="367">
        <v>0.1</v>
      </c>
      <c r="I67" s="367">
        <v>0</v>
      </c>
      <c r="J67" s="367">
        <v>0</v>
      </c>
      <c r="K67" s="367">
        <v>0</v>
      </c>
      <c r="L67" s="369"/>
      <c r="M67" s="367">
        <v>2</v>
      </c>
      <c r="O67" s="368"/>
      <c r="P67" s="368"/>
      <c r="Q67" s="368"/>
      <c r="R67" s="368"/>
      <c r="S67" s="368"/>
      <c r="T67" s="368"/>
      <c r="U67" s="368"/>
      <c r="V67" s="368"/>
      <c r="W67" s="368"/>
      <c r="X67" s="368"/>
      <c r="Y67" s="368"/>
    </row>
    <row r="68" spans="1:25" ht="11.25" customHeight="1" x14ac:dyDescent="0.2">
      <c r="A68" s="305" t="s">
        <v>555</v>
      </c>
      <c r="B68" s="371">
        <v>0</v>
      </c>
      <c r="C68" s="367">
        <v>0.1</v>
      </c>
      <c r="D68" s="367">
        <v>0.4</v>
      </c>
      <c r="E68" s="367">
        <v>0.5</v>
      </c>
      <c r="F68" s="367">
        <v>0.5</v>
      </c>
      <c r="G68" s="367">
        <v>0.3</v>
      </c>
      <c r="H68" s="367">
        <v>0.3</v>
      </c>
      <c r="I68" s="367">
        <v>0.2</v>
      </c>
      <c r="J68" s="367">
        <v>0.2</v>
      </c>
      <c r="K68" s="367">
        <v>0</v>
      </c>
      <c r="L68" s="369"/>
      <c r="M68" s="367">
        <v>2.5</v>
      </c>
      <c r="O68" s="368"/>
      <c r="P68" s="368"/>
      <c r="Q68" s="368"/>
      <c r="R68" s="368"/>
      <c r="S68" s="368"/>
      <c r="T68" s="368"/>
      <c r="U68" s="368"/>
      <c r="V68" s="368"/>
      <c r="W68" s="368"/>
      <c r="X68" s="368"/>
      <c r="Y68" s="368"/>
    </row>
    <row r="69" spans="1:25" ht="11.25" customHeight="1" x14ac:dyDescent="0.2">
      <c r="A69" s="305" t="s">
        <v>556</v>
      </c>
      <c r="B69" s="371">
        <v>0</v>
      </c>
      <c r="C69" s="367">
        <v>0</v>
      </c>
      <c r="D69" s="367">
        <v>0</v>
      </c>
      <c r="E69" s="367">
        <v>0</v>
      </c>
      <c r="F69" s="367">
        <v>0</v>
      </c>
      <c r="G69" s="367">
        <v>0</v>
      </c>
      <c r="H69" s="367">
        <v>0</v>
      </c>
      <c r="I69" s="367">
        <v>0</v>
      </c>
      <c r="J69" s="367">
        <v>0</v>
      </c>
      <c r="K69" s="367">
        <v>0</v>
      </c>
      <c r="L69" s="369"/>
      <c r="M69" s="367">
        <v>0.1</v>
      </c>
      <c r="O69" s="368"/>
      <c r="P69" s="368"/>
      <c r="Q69" s="368"/>
      <c r="R69" s="368"/>
      <c r="S69" s="368"/>
      <c r="T69" s="368"/>
      <c r="U69" s="368"/>
      <c r="V69" s="368"/>
      <c r="W69" s="368"/>
      <c r="X69" s="368"/>
      <c r="Y69" s="368"/>
    </row>
    <row r="70" spans="1:25" ht="11.25" customHeight="1" x14ac:dyDescent="0.2">
      <c r="A70" s="283" t="s">
        <v>557</v>
      </c>
      <c r="B70" s="297">
        <v>1.6</v>
      </c>
      <c r="C70" s="367">
        <v>6.2</v>
      </c>
      <c r="D70" s="367">
        <v>11.4</v>
      </c>
      <c r="E70" s="367">
        <v>12.8</v>
      </c>
      <c r="F70" s="367">
        <v>8.3000000000000007</v>
      </c>
      <c r="G70" s="367">
        <v>4.3</v>
      </c>
      <c r="H70" s="367">
        <v>2.2000000000000002</v>
      </c>
      <c r="I70" s="367">
        <v>1.1000000000000001</v>
      </c>
      <c r="J70" s="367">
        <v>0.6</v>
      </c>
      <c r="K70" s="367">
        <v>0.1</v>
      </c>
      <c r="L70" s="369"/>
      <c r="M70" s="367">
        <v>48.7</v>
      </c>
      <c r="O70" s="368"/>
      <c r="P70" s="368"/>
      <c r="Q70" s="368"/>
      <c r="R70" s="368"/>
      <c r="S70" s="368"/>
      <c r="T70" s="368"/>
      <c r="U70" s="368"/>
      <c r="V70" s="368"/>
      <c r="W70" s="368"/>
      <c r="X70" s="368"/>
      <c r="Y70" s="368"/>
    </row>
    <row r="71" spans="1:25" ht="11.25" customHeight="1" x14ac:dyDescent="0.2">
      <c r="A71" s="305" t="s">
        <v>558</v>
      </c>
      <c r="B71" s="371" t="s">
        <v>196</v>
      </c>
      <c r="C71" s="367" t="s">
        <v>196</v>
      </c>
      <c r="D71" s="367" t="s">
        <v>196</v>
      </c>
      <c r="E71" s="367" t="s">
        <v>196</v>
      </c>
      <c r="F71" s="367" t="s">
        <v>196</v>
      </c>
      <c r="G71" s="367" t="s">
        <v>196</v>
      </c>
      <c r="H71" s="367" t="s">
        <v>196</v>
      </c>
      <c r="I71" s="367" t="s">
        <v>196</v>
      </c>
      <c r="J71" s="367" t="s">
        <v>196</v>
      </c>
      <c r="K71" s="367" t="s">
        <v>196</v>
      </c>
      <c r="L71" s="369"/>
      <c r="M71" s="367" t="s">
        <v>196</v>
      </c>
      <c r="O71" s="368"/>
      <c r="P71" s="368"/>
      <c r="Q71" s="368"/>
      <c r="R71" s="368"/>
      <c r="S71" s="368"/>
      <c r="T71" s="368"/>
      <c r="U71" s="368"/>
      <c r="V71" s="368"/>
      <c r="W71" s="368"/>
      <c r="X71" s="368"/>
      <c r="Y71" s="368"/>
    </row>
    <row r="72" spans="1:25" ht="11.25" customHeight="1" x14ac:dyDescent="0.2">
      <c r="A72" s="283" t="s">
        <v>559</v>
      </c>
      <c r="B72" s="297">
        <v>3.7</v>
      </c>
      <c r="C72" s="306">
        <v>9.5</v>
      </c>
      <c r="D72" s="306">
        <v>10.5</v>
      </c>
      <c r="E72" s="306">
        <v>7.8</v>
      </c>
      <c r="F72" s="306">
        <v>4.9000000000000004</v>
      </c>
      <c r="G72" s="306">
        <v>2.6</v>
      </c>
      <c r="H72" s="306">
        <v>1.2</v>
      </c>
      <c r="I72" s="306">
        <v>0.6</v>
      </c>
      <c r="J72" s="306">
        <v>0.3</v>
      </c>
      <c r="K72" s="306">
        <v>0.1</v>
      </c>
      <c r="L72" s="306"/>
      <c r="M72" s="306">
        <v>41.3</v>
      </c>
      <c r="O72" s="368"/>
      <c r="P72" s="368"/>
      <c r="Q72" s="368"/>
      <c r="R72" s="368"/>
      <c r="S72" s="368"/>
      <c r="T72" s="368"/>
      <c r="U72" s="368"/>
      <c r="V72" s="368"/>
      <c r="W72" s="368"/>
      <c r="X72" s="368"/>
      <c r="Y72" s="368"/>
    </row>
    <row r="73" spans="1:25" ht="11.25" customHeight="1" x14ac:dyDescent="0.2">
      <c r="A73" s="302" t="s">
        <v>560</v>
      </c>
      <c r="B73" s="370">
        <v>0.2</v>
      </c>
      <c r="C73" s="367">
        <v>0.3</v>
      </c>
      <c r="D73" s="367">
        <v>0.6</v>
      </c>
      <c r="E73" s="367">
        <v>0.8</v>
      </c>
      <c r="F73" s="367">
        <v>0.6</v>
      </c>
      <c r="G73" s="367">
        <v>0.3</v>
      </c>
      <c r="H73" s="367">
        <v>0.2</v>
      </c>
      <c r="I73" s="367">
        <v>0.1</v>
      </c>
      <c r="J73" s="367">
        <v>0</v>
      </c>
      <c r="K73" s="367">
        <v>0</v>
      </c>
      <c r="L73" s="369"/>
      <c r="M73" s="367">
        <v>3.1</v>
      </c>
      <c r="O73" s="368"/>
      <c r="P73" s="368"/>
      <c r="Q73" s="368"/>
      <c r="R73" s="368"/>
      <c r="S73" s="368"/>
      <c r="T73" s="368"/>
      <c r="U73" s="368"/>
      <c r="V73" s="368"/>
      <c r="W73" s="368"/>
      <c r="X73" s="368"/>
      <c r="Y73" s="368"/>
    </row>
    <row r="74" spans="1:25" ht="11.25" customHeight="1" x14ac:dyDescent="0.2">
      <c r="A74" s="283" t="s">
        <v>561</v>
      </c>
      <c r="B74" s="297">
        <v>3.7</v>
      </c>
      <c r="C74" s="367">
        <v>17.100000000000001</v>
      </c>
      <c r="D74" s="367">
        <v>25.9</v>
      </c>
      <c r="E74" s="367">
        <v>26.2</v>
      </c>
      <c r="F74" s="367">
        <v>17.600000000000001</v>
      </c>
      <c r="G74" s="367">
        <v>8.9</v>
      </c>
      <c r="H74" s="367">
        <v>2.8</v>
      </c>
      <c r="I74" s="367">
        <v>0.6</v>
      </c>
      <c r="J74" s="367">
        <v>0.2</v>
      </c>
      <c r="K74" s="367">
        <v>0.1</v>
      </c>
      <c r="L74" s="369"/>
      <c r="M74" s="367">
        <v>103.1</v>
      </c>
      <c r="O74" s="368"/>
      <c r="P74" s="368"/>
      <c r="Q74" s="368"/>
      <c r="R74" s="368"/>
      <c r="S74" s="368"/>
      <c r="T74" s="368"/>
      <c r="U74" s="368"/>
      <c r="V74" s="368"/>
      <c r="W74" s="368"/>
      <c r="X74" s="368"/>
      <c r="Y74" s="368"/>
    </row>
    <row r="75" spans="1:25" ht="11.25" customHeight="1" x14ac:dyDescent="0.2">
      <c r="A75" s="283" t="s">
        <v>562</v>
      </c>
      <c r="B75" s="297">
        <v>26.5</v>
      </c>
      <c r="C75" s="367">
        <v>45.6</v>
      </c>
      <c r="D75" s="367">
        <v>52.8</v>
      </c>
      <c r="E75" s="367">
        <v>43.7</v>
      </c>
      <c r="F75" s="367">
        <v>24.8</v>
      </c>
      <c r="G75" s="367">
        <v>15.7</v>
      </c>
      <c r="H75" s="367">
        <v>9.8000000000000007</v>
      </c>
      <c r="I75" s="367">
        <v>6</v>
      </c>
      <c r="J75" s="367">
        <v>3.5</v>
      </c>
      <c r="K75" s="367">
        <v>0.5</v>
      </c>
      <c r="L75" s="369"/>
      <c r="M75" s="367">
        <v>229</v>
      </c>
      <c r="O75" s="368"/>
      <c r="P75" s="368"/>
      <c r="Q75" s="368"/>
      <c r="R75" s="368"/>
      <c r="S75" s="368"/>
      <c r="T75" s="368"/>
      <c r="U75" s="368"/>
      <c r="V75" s="368"/>
      <c r="W75" s="368"/>
      <c r="X75" s="368"/>
      <c r="Y75" s="368"/>
    </row>
    <row r="76" spans="1:25" ht="11.25" customHeight="1" x14ac:dyDescent="0.2">
      <c r="A76" s="283" t="s">
        <v>563</v>
      </c>
      <c r="B76" s="297">
        <v>2.4</v>
      </c>
      <c r="C76" s="367">
        <v>8.5</v>
      </c>
      <c r="D76" s="367">
        <v>12.1</v>
      </c>
      <c r="E76" s="367">
        <v>11.6</v>
      </c>
      <c r="F76" s="367">
        <v>5.6</v>
      </c>
      <c r="G76" s="367">
        <v>2</v>
      </c>
      <c r="H76" s="367">
        <v>0.8</v>
      </c>
      <c r="I76" s="367">
        <v>0.4</v>
      </c>
      <c r="J76" s="367">
        <v>0.7</v>
      </c>
      <c r="K76" s="367">
        <v>0.2</v>
      </c>
      <c r="L76" s="369"/>
      <c r="M76" s="367">
        <v>44.5</v>
      </c>
      <c r="O76" s="368"/>
      <c r="P76" s="368"/>
      <c r="Q76" s="368"/>
      <c r="R76" s="368"/>
      <c r="S76" s="368"/>
      <c r="T76" s="368"/>
      <c r="U76" s="368"/>
      <c r="V76" s="368"/>
      <c r="W76" s="368"/>
      <c r="X76" s="368"/>
      <c r="Y76" s="368"/>
    </row>
    <row r="77" spans="1:25" ht="11.25" customHeight="1" x14ac:dyDescent="0.2">
      <c r="A77" s="283" t="s">
        <v>564</v>
      </c>
      <c r="B77" s="297">
        <v>0.8</v>
      </c>
      <c r="C77" s="367">
        <v>3.7</v>
      </c>
      <c r="D77" s="367">
        <v>7.2</v>
      </c>
      <c r="E77" s="367">
        <v>8.8000000000000007</v>
      </c>
      <c r="F77" s="367">
        <v>6.5</v>
      </c>
      <c r="G77" s="367">
        <v>3.6</v>
      </c>
      <c r="H77" s="367">
        <v>1.7</v>
      </c>
      <c r="I77" s="367">
        <v>0.6</v>
      </c>
      <c r="J77" s="367">
        <v>0.4</v>
      </c>
      <c r="K77" s="367">
        <v>0.1</v>
      </c>
      <c r="L77" s="369"/>
      <c r="M77" s="367">
        <v>33.299999999999997</v>
      </c>
      <c r="O77" s="368"/>
      <c r="P77" s="368"/>
      <c r="Q77" s="368"/>
      <c r="R77" s="368"/>
      <c r="S77" s="368"/>
      <c r="T77" s="368"/>
      <c r="U77" s="368"/>
      <c r="V77" s="368"/>
      <c r="W77" s="368"/>
      <c r="X77" s="368"/>
      <c r="Y77" s="368"/>
    </row>
    <row r="78" spans="1:25" ht="11.25" customHeight="1" x14ac:dyDescent="0.2">
      <c r="A78" s="373"/>
      <c r="B78" s="369"/>
      <c r="C78" s="369"/>
      <c r="D78" s="369"/>
      <c r="E78" s="369"/>
      <c r="F78" s="369"/>
      <c r="G78" s="369"/>
      <c r="H78" s="369"/>
      <c r="I78" s="369"/>
      <c r="J78" s="369"/>
      <c r="K78" s="369"/>
      <c r="L78" s="369"/>
      <c r="M78" s="367"/>
      <c r="O78" s="368"/>
      <c r="P78" s="368"/>
      <c r="Q78" s="368"/>
      <c r="R78" s="368"/>
      <c r="S78" s="368"/>
      <c r="T78" s="368"/>
      <c r="U78" s="368"/>
      <c r="V78" s="368"/>
      <c r="W78" s="368"/>
      <c r="X78" s="368"/>
      <c r="Y78" s="368"/>
    </row>
    <row r="79" spans="1:25" ht="11.25" customHeight="1" x14ac:dyDescent="0.2">
      <c r="A79" s="374" t="s">
        <v>653</v>
      </c>
      <c r="B79" s="367">
        <v>342.4</v>
      </c>
      <c r="C79" s="367">
        <v>709.5</v>
      </c>
      <c r="D79" s="367">
        <v>1042.3</v>
      </c>
      <c r="E79" s="367">
        <v>1218.3</v>
      </c>
      <c r="F79" s="367">
        <v>646.6</v>
      </c>
      <c r="G79" s="367">
        <v>323</v>
      </c>
      <c r="H79" s="367">
        <v>169.5</v>
      </c>
      <c r="I79" s="367">
        <v>83</v>
      </c>
      <c r="J79" s="367">
        <v>40.200000000000003</v>
      </c>
      <c r="K79" s="367">
        <v>10.7</v>
      </c>
      <c r="L79" s="369"/>
      <c r="M79" s="367">
        <v>4585.6000000000004</v>
      </c>
      <c r="O79" s="368"/>
      <c r="P79" s="368"/>
      <c r="Q79" s="368"/>
      <c r="R79" s="368"/>
      <c r="S79" s="368"/>
      <c r="T79" s="368"/>
      <c r="U79" s="368"/>
      <c r="V79" s="368"/>
      <c r="W79" s="368"/>
      <c r="X79" s="368"/>
      <c r="Y79" s="368"/>
    </row>
    <row r="80" spans="1:25" ht="11.25" customHeight="1" x14ac:dyDescent="0.2">
      <c r="A80" s="375"/>
      <c r="B80" s="376"/>
      <c r="C80" s="376"/>
      <c r="D80" s="376"/>
      <c r="E80" s="376"/>
      <c r="F80" s="376"/>
      <c r="G80" s="376"/>
      <c r="H80" s="376"/>
      <c r="I80" s="376"/>
      <c r="J80" s="376"/>
      <c r="K80" s="376"/>
      <c r="L80" s="377"/>
      <c r="M80" s="377"/>
      <c r="O80" s="368"/>
      <c r="P80" s="368"/>
      <c r="Q80" s="368"/>
      <c r="R80" s="368"/>
      <c r="S80" s="368"/>
      <c r="T80" s="368"/>
      <c r="U80" s="368"/>
      <c r="V80" s="368"/>
      <c r="W80" s="368"/>
      <c r="X80" s="368"/>
      <c r="Y80" s="368"/>
    </row>
    <row r="81" spans="1:25" ht="11.25" customHeight="1" x14ac:dyDescent="0.2">
      <c r="A81" s="378"/>
      <c r="B81" s="379"/>
      <c r="C81" s="379"/>
      <c r="D81" s="379"/>
      <c r="E81" s="379"/>
      <c r="F81" s="379"/>
      <c r="G81" s="379"/>
      <c r="H81" s="379"/>
      <c r="I81" s="379"/>
      <c r="J81" s="379"/>
      <c r="K81" s="379"/>
      <c r="L81" s="380"/>
      <c r="M81" s="140" t="s">
        <v>393</v>
      </c>
      <c r="O81" s="368"/>
      <c r="P81" s="368"/>
      <c r="Q81" s="368"/>
      <c r="R81" s="368"/>
      <c r="S81" s="368"/>
      <c r="T81" s="368"/>
      <c r="U81" s="368"/>
      <c r="V81" s="368"/>
      <c r="W81" s="368"/>
      <c r="X81" s="368"/>
      <c r="Y81" s="368"/>
    </row>
    <row r="82" spans="1:25" ht="22.5" customHeight="1" x14ac:dyDescent="0.2">
      <c r="A82" s="483" t="s">
        <v>654</v>
      </c>
      <c r="B82" s="483"/>
      <c r="C82" s="483"/>
      <c r="D82" s="483"/>
      <c r="E82" s="483"/>
      <c r="F82" s="483"/>
      <c r="G82" s="483"/>
      <c r="H82" s="483"/>
      <c r="I82" s="483"/>
      <c r="J82" s="483"/>
      <c r="K82" s="483"/>
      <c r="L82" s="483"/>
      <c r="M82" s="483"/>
      <c r="O82" s="368"/>
      <c r="P82" s="368"/>
      <c r="Q82" s="368"/>
      <c r="R82" s="368"/>
      <c r="S82" s="368"/>
      <c r="T82" s="368"/>
      <c r="U82" s="368"/>
      <c r="V82" s="368"/>
      <c r="W82" s="368"/>
      <c r="X82" s="368"/>
      <c r="Y82" s="368"/>
    </row>
    <row r="83" spans="1:25" ht="23.25" customHeight="1" x14ac:dyDescent="0.2">
      <c r="A83" s="484" t="s">
        <v>655</v>
      </c>
      <c r="B83" s="484"/>
      <c r="C83" s="484"/>
      <c r="D83" s="484"/>
      <c r="E83" s="484"/>
      <c r="F83" s="484"/>
      <c r="G83" s="484"/>
      <c r="H83" s="484"/>
      <c r="I83" s="484"/>
      <c r="J83" s="484"/>
      <c r="K83" s="484"/>
      <c r="L83" s="484"/>
      <c r="M83" s="484"/>
      <c r="O83" s="368"/>
      <c r="P83" s="368"/>
      <c r="Q83" s="368"/>
      <c r="R83" s="368"/>
      <c r="S83" s="368"/>
      <c r="T83" s="368"/>
      <c r="U83" s="368"/>
      <c r="V83" s="368"/>
      <c r="W83" s="368"/>
      <c r="X83" s="368"/>
      <c r="Y83" s="368"/>
    </row>
    <row r="84" spans="1:25" ht="11.25" customHeight="1" x14ac:dyDescent="0.2">
      <c r="A84" s="478" t="s">
        <v>656</v>
      </c>
      <c r="B84" s="478"/>
      <c r="C84" s="478"/>
      <c r="D84" s="480"/>
      <c r="E84" s="381"/>
      <c r="F84" s="381"/>
      <c r="G84" s="381"/>
      <c r="H84" s="381"/>
      <c r="I84" s="381"/>
      <c r="J84" s="381"/>
      <c r="K84" s="381"/>
      <c r="L84" s="381"/>
      <c r="M84" s="382"/>
      <c r="O84" s="368"/>
      <c r="P84" s="368"/>
      <c r="Q84" s="368"/>
      <c r="R84" s="368"/>
      <c r="S84" s="368"/>
      <c r="T84" s="368"/>
      <c r="U84" s="368"/>
      <c r="V84" s="368"/>
      <c r="W84" s="368"/>
      <c r="X84" s="368"/>
      <c r="Y84" s="368"/>
    </row>
    <row r="85" spans="1:25" ht="11.25" customHeight="1" x14ac:dyDescent="0.2">
      <c r="A85" s="478" t="s">
        <v>657</v>
      </c>
      <c r="B85" s="478"/>
      <c r="C85" s="478"/>
      <c r="D85" s="478"/>
      <c r="E85" s="480"/>
      <c r="F85" s="381"/>
      <c r="G85" s="381"/>
      <c r="H85" s="381"/>
      <c r="I85" s="381"/>
      <c r="J85" s="381"/>
      <c r="K85" s="381"/>
      <c r="L85" s="381"/>
      <c r="M85" s="382"/>
      <c r="O85" s="368"/>
      <c r="P85" s="368"/>
      <c r="Q85" s="368"/>
      <c r="R85" s="368"/>
      <c r="S85" s="368"/>
      <c r="T85" s="368"/>
      <c r="U85" s="368"/>
      <c r="V85" s="368"/>
      <c r="W85" s="368"/>
      <c r="X85" s="368"/>
      <c r="Y85" s="368"/>
    </row>
    <row r="86" spans="1:25" ht="11.25" customHeight="1" x14ac:dyDescent="0.2">
      <c r="A86" s="478" t="s">
        <v>658</v>
      </c>
      <c r="B86" s="478"/>
      <c r="C86" s="478"/>
      <c r="D86" s="478"/>
      <c r="E86" s="478"/>
      <c r="F86" s="478"/>
      <c r="G86" s="478"/>
      <c r="H86" s="478"/>
      <c r="I86" s="478"/>
      <c r="J86" s="478"/>
      <c r="K86" s="478"/>
      <c r="L86" s="478"/>
      <c r="M86" s="478"/>
      <c r="O86" s="368"/>
      <c r="P86" s="368"/>
      <c r="Q86" s="368"/>
      <c r="R86" s="368"/>
      <c r="S86" s="368"/>
      <c r="T86" s="368"/>
      <c r="U86" s="368"/>
      <c r="V86" s="368"/>
      <c r="W86" s="368"/>
      <c r="X86" s="368"/>
      <c r="Y86" s="368"/>
    </row>
    <row r="87" spans="1:25" ht="11.25" customHeight="1" x14ac:dyDescent="0.2">
      <c r="A87" s="478" t="s">
        <v>659</v>
      </c>
      <c r="B87" s="478"/>
      <c r="C87" s="478"/>
      <c r="D87" s="478"/>
      <c r="E87" s="478"/>
      <c r="F87" s="478"/>
      <c r="G87" s="478"/>
      <c r="H87" s="478"/>
      <c r="I87" s="478"/>
      <c r="J87" s="478"/>
      <c r="K87" s="478"/>
      <c r="L87" s="478"/>
      <c r="M87" s="478"/>
      <c r="O87" s="368"/>
      <c r="P87" s="368"/>
      <c r="Q87" s="368"/>
      <c r="R87" s="368"/>
      <c r="S87" s="368"/>
      <c r="T87" s="368"/>
      <c r="U87" s="368"/>
      <c r="V87" s="368"/>
      <c r="W87" s="368"/>
      <c r="X87" s="368"/>
      <c r="Y87" s="368"/>
    </row>
    <row r="88" spans="1:25" x14ac:dyDescent="0.2">
      <c r="A88" s="478" t="s">
        <v>589</v>
      </c>
      <c r="B88" s="478"/>
      <c r="C88" s="478"/>
      <c r="D88" s="478"/>
      <c r="E88" s="478"/>
      <c r="F88" s="478"/>
      <c r="G88" s="381"/>
      <c r="H88" s="381"/>
      <c r="I88" s="381"/>
      <c r="J88" s="381"/>
      <c r="K88" s="381"/>
      <c r="L88" s="381"/>
      <c r="M88" s="382"/>
      <c r="O88" s="368"/>
      <c r="P88" s="368"/>
      <c r="Q88" s="368"/>
      <c r="R88" s="368"/>
      <c r="S88" s="368"/>
      <c r="T88" s="368"/>
      <c r="U88" s="368"/>
      <c r="V88" s="368"/>
      <c r="W88" s="368"/>
      <c r="X88" s="368"/>
      <c r="Y88" s="368"/>
    </row>
    <row r="89" spans="1:25" ht="11.25" customHeight="1" x14ac:dyDescent="0.2">
      <c r="A89" s="478" t="s">
        <v>590</v>
      </c>
      <c r="B89" s="478"/>
      <c r="C89" s="478"/>
      <c r="D89" s="478"/>
      <c r="E89" s="478"/>
      <c r="F89" s="478"/>
      <c r="G89" s="478"/>
      <c r="H89" s="478"/>
      <c r="I89" s="478"/>
      <c r="J89" s="478"/>
      <c r="K89" s="478"/>
      <c r="L89" s="381"/>
      <c r="M89" s="382"/>
      <c r="O89" s="368"/>
      <c r="P89" s="368"/>
      <c r="Q89" s="368"/>
      <c r="R89" s="368"/>
      <c r="S89" s="368"/>
      <c r="T89" s="368"/>
      <c r="U89" s="368"/>
      <c r="V89" s="368"/>
      <c r="W89" s="368"/>
      <c r="X89" s="368"/>
      <c r="Y89" s="368"/>
    </row>
    <row r="90" spans="1:25" x14ac:dyDescent="0.2">
      <c r="O90" s="368"/>
      <c r="P90" s="368"/>
      <c r="Q90" s="368"/>
      <c r="R90" s="368"/>
      <c r="S90" s="368"/>
      <c r="T90" s="368"/>
      <c r="U90" s="368"/>
      <c r="V90" s="368"/>
      <c r="W90" s="368"/>
      <c r="X90" s="368"/>
      <c r="Y90" s="368"/>
    </row>
    <row r="91" spans="1:25" x14ac:dyDescent="0.2">
      <c r="A91" s="3" t="s">
        <v>349</v>
      </c>
      <c r="O91" s="368"/>
      <c r="P91" s="368"/>
      <c r="Q91" s="368"/>
      <c r="R91" s="368"/>
      <c r="S91" s="368"/>
      <c r="T91" s="368"/>
      <c r="U91" s="368"/>
      <c r="V91" s="368"/>
      <c r="W91" s="368"/>
      <c r="X91" s="368"/>
      <c r="Y91" s="368"/>
    </row>
    <row r="92" spans="1:25" x14ac:dyDescent="0.2">
      <c r="O92" s="368"/>
      <c r="P92" s="368"/>
      <c r="Q92" s="368"/>
      <c r="R92" s="368"/>
      <c r="S92" s="368"/>
      <c r="T92" s="368"/>
      <c r="U92" s="368"/>
      <c r="V92" s="368"/>
      <c r="W92" s="368"/>
      <c r="X92" s="368"/>
      <c r="Y92" s="368"/>
    </row>
    <row r="93" spans="1:25" ht="22.5" customHeight="1" x14ac:dyDescent="0.2">
      <c r="A93" s="465" t="s">
        <v>572</v>
      </c>
      <c r="B93" s="465"/>
      <c r="C93" s="465"/>
      <c r="D93" s="465"/>
      <c r="E93" s="465"/>
      <c r="F93" s="465"/>
      <c r="G93" s="465"/>
      <c r="H93" s="465"/>
      <c r="I93" s="465"/>
      <c r="J93" s="465"/>
      <c r="K93" s="465"/>
      <c r="L93" s="465"/>
      <c r="M93" s="465"/>
      <c r="O93" s="368"/>
      <c r="P93" s="368"/>
      <c r="Q93" s="368"/>
      <c r="R93" s="368"/>
      <c r="S93" s="368"/>
      <c r="T93" s="368"/>
      <c r="U93" s="368"/>
      <c r="V93" s="368"/>
      <c r="W93" s="368"/>
      <c r="X93" s="368"/>
      <c r="Y93" s="368"/>
    </row>
    <row r="94" spans="1:25" x14ac:dyDescent="0.2">
      <c r="O94" s="368"/>
      <c r="P94" s="368"/>
      <c r="Q94" s="368"/>
      <c r="R94" s="368"/>
      <c r="S94" s="368"/>
      <c r="T94" s="368"/>
      <c r="U94" s="368"/>
      <c r="V94" s="368"/>
      <c r="W94" s="368"/>
      <c r="X94" s="368"/>
      <c r="Y94" s="368"/>
    </row>
    <row r="95" spans="1:25" x14ac:dyDescent="0.2">
      <c r="O95" s="368"/>
      <c r="P95" s="368"/>
      <c r="Q95" s="368"/>
      <c r="R95" s="368"/>
      <c r="S95" s="368"/>
      <c r="T95" s="368"/>
      <c r="U95" s="368"/>
      <c r="V95" s="368"/>
      <c r="W95" s="368"/>
      <c r="X95" s="368"/>
      <c r="Y95" s="368"/>
    </row>
    <row r="96" spans="1:25" x14ac:dyDescent="0.2">
      <c r="O96" s="368"/>
      <c r="P96" s="368"/>
      <c r="Q96" s="368"/>
      <c r="R96" s="368"/>
      <c r="S96" s="368"/>
      <c r="T96" s="368"/>
      <c r="U96" s="368"/>
      <c r="V96" s="368"/>
      <c r="W96" s="368"/>
      <c r="X96" s="368"/>
      <c r="Y96" s="368"/>
    </row>
    <row r="97" spans="15:25" x14ac:dyDescent="0.2">
      <c r="O97" s="368"/>
      <c r="P97" s="368"/>
      <c r="Q97" s="368"/>
      <c r="R97" s="368"/>
      <c r="S97" s="368"/>
      <c r="T97" s="368"/>
      <c r="U97" s="368"/>
      <c r="V97" s="368"/>
      <c r="W97" s="368"/>
      <c r="X97" s="368"/>
      <c r="Y97" s="368"/>
    </row>
    <row r="98" spans="15:25" x14ac:dyDescent="0.2">
      <c r="O98" s="368"/>
      <c r="P98" s="368"/>
      <c r="Q98" s="368"/>
      <c r="R98" s="368"/>
      <c r="S98" s="368"/>
      <c r="T98" s="368"/>
      <c r="U98" s="368"/>
      <c r="V98" s="368"/>
      <c r="W98" s="368"/>
      <c r="X98" s="368"/>
      <c r="Y98" s="368"/>
    </row>
    <row r="99" spans="15:25" x14ac:dyDescent="0.2">
      <c r="O99" s="368"/>
      <c r="P99" s="368"/>
      <c r="Q99" s="368"/>
      <c r="R99" s="368"/>
      <c r="S99" s="368"/>
      <c r="T99" s="368"/>
      <c r="U99" s="368"/>
      <c r="V99" s="368"/>
      <c r="W99" s="368"/>
      <c r="X99" s="368"/>
      <c r="Y99" s="368"/>
    </row>
    <row r="100" spans="15:25" x14ac:dyDescent="0.2">
      <c r="O100" s="368"/>
      <c r="P100" s="368"/>
      <c r="Q100" s="368"/>
      <c r="R100" s="368"/>
      <c r="S100" s="368"/>
      <c r="T100" s="368"/>
      <c r="U100" s="368"/>
      <c r="V100" s="368"/>
      <c r="W100" s="368"/>
      <c r="X100" s="368"/>
      <c r="Y100" s="368"/>
    </row>
    <row r="101" spans="15:25" x14ac:dyDescent="0.2">
      <c r="O101" s="368"/>
      <c r="P101" s="368"/>
      <c r="Q101" s="368"/>
      <c r="R101" s="368"/>
      <c r="S101" s="368"/>
      <c r="T101" s="368"/>
      <c r="U101" s="368"/>
      <c r="V101" s="368"/>
      <c r="W101" s="368"/>
      <c r="X101" s="368"/>
      <c r="Y101" s="368"/>
    </row>
    <row r="102" spans="15:25" x14ac:dyDescent="0.2">
      <c r="O102" s="368"/>
      <c r="P102" s="368"/>
      <c r="Q102" s="368"/>
      <c r="R102" s="368"/>
      <c r="S102" s="368"/>
      <c r="T102" s="368"/>
      <c r="U102" s="368"/>
      <c r="V102" s="368"/>
      <c r="W102" s="368"/>
      <c r="X102" s="368"/>
      <c r="Y102" s="368"/>
    </row>
    <row r="103" spans="15:25" x14ac:dyDescent="0.2">
      <c r="O103" s="368"/>
      <c r="P103" s="368"/>
      <c r="Q103" s="368"/>
      <c r="R103" s="368"/>
      <c r="S103" s="368"/>
      <c r="T103" s="368"/>
      <c r="U103" s="368"/>
      <c r="V103" s="368"/>
      <c r="W103" s="368"/>
      <c r="X103" s="368"/>
      <c r="Y103" s="368"/>
    </row>
    <row r="104" spans="15:25" x14ac:dyDescent="0.2">
      <c r="O104" s="368"/>
      <c r="P104" s="368"/>
      <c r="Q104" s="368"/>
      <c r="R104" s="368"/>
      <c r="S104" s="368"/>
      <c r="T104" s="368"/>
      <c r="U104" s="368"/>
      <c r="V104" s="368"/>
      <c r="W104" s="368"/>
      <c r="X104" s="368"/>
      <c r="Y104" s="368"/>
    </row>
    <row r="105" spans="15:25" x14ac:dyDescent="0.2">
      <c r="O105" s="368"/>
      <c r="P105" s="368"/>
      <c r="Q105" s="368"/>
      <c r="R105" s="368"/>
      <c r="S105" s="368"/>
      <c r="T105" s="368"/>
      <c r="U105" s="368"/>
      <c r="V105" s="368"/>
      <c r="W105" s="368"/>
      <c r="X105" s="368"/>
      <c r="Y105" s="368"/>
    </row>
    <row r="106" spans="15:25" x14ac:dyDescent="0.2">
      <c r="O106" s="368"/>
      <c r="P106" s="368"/>
      <c r="Q106" s="368"/>
      <c r="R106" s="368"/>
      <c r="S106" s="368"/>
      <c r="T106" s="368"/>
      <c r="U106" s="368"/>
      <c r="V106" s="368"/>
      <c r="W106" s="368"/>
      <c r="X106" s="368"/>
      <c r="Y106" s="368"/>
    </row>
    <row r="107" spans="15:25" x14ac:dyDescent="0.2">
      <c r="O107" s="368"/>
      <c r="P107" s="368"/>
      <c r="Q107" s="368"/>
      <c r="R107" s="368"/>
      <c r="S107" s="368"/>
      <c r="T107" s="368"/>
      <c r="U107" s="368"/>
      <c r="V107" s="368"/>
      <c r="W107" s="368"/>
      <c r="X107" s="368"/>
      <c r="Y107" s="368"/>
    </row>
    <row r="108" spans="15:25" x14ac:dyDescent="0.2">
      <c r="O108" s="368"/>
      <c r="P108" s="368"/>
      <c r="Q108" s="368"/>
      <c r="R108" s="368"/>
      <c r="S108" s="368"/>
      <c r="T108" s="368"/>
      <c r="U108" s="368"/>
      <c r="V108" s="368"/>
      <c r="W108" s="368"/>
      <c r="X108" s="368"/>
      <c r="Y108" s="368"/>
    </row>
    <row r="109" spans="15:25" x14ac:dyDescent="0.2">
      <c r="O109" s="368"/>
      <c r="P109" s="368"/>
      <c r="Q109" s="368"/>
      <c r="R109" s="368"/>
      <c r="S109" s="368"/>
      <c r="T109" s="368"/>
      <c r="U109" s="368"/>
      <c r="V109" s="368"/>
      <c r="W109" s="368"/>
      <c r="X109" s="368"/>
      <c r="Y109" s="368"/>
    </row>
    <row r="110" spans="15:25" x14ac:dyDescent="0.2">
      <c r="O110" s="368"/>
      <c r="P110" s="368"/>
      <c r="Q110" s="368"/>
      <c r="R110" s="368"/>
      <c r="S110" s="368"/>
      <c r="T110" s="368"/>
      <c r="U110" s="368"/>
      <c r="V110" s="368"/>
      <c r="W110" s="368"/>
      <c r="X110" s="368"/>
      <c r="Y110" s="368"/>
    </row>
    <row r="111" spans="15:25" x14ac:dyDescent="0.2">
      <c r="O111" s="368"/>
      <c r="P111" s="368"/>
      <c r="Q111" s="368"/>
      <c r="R111" s="368"/>
      <c r="S111" s="368"/>
      <c r="T111" s="368"/>
      <c r="U111" s="368"/>
      <c r="V111" s="368"/>
      <c r="W111" s="368"/>
      <c r="X111" s="368"/>
      <c r="Y111" s="368"/>
    </row>
    <row r="112" spans="15:25" x14ac:dyDescent="0.2">
      <c r="O112" s="368"/>
      <c r="P112" s="368"/>
      <c r="Q112" s="368"/>
      <c r="R112" s="368"/>
      <c r="S112" s="368"/>
      <c r="T112" s="368"/>
      <c r="U112" s="368"/>
      <c r="V112" s="368"/>
      <c r="W112" s="368"/>
      <c r="X112" s="368"/>
      <c r="Y112" s="368"/>
    </row>
    <row r="113" spans="15:25" x14ac:dyDescent="0.2">
      <c r="O113" s="368"/>
      <c r="P113" s="368"/>
      <c r="Q113" s="368"/>
      <c r="R113" s="368"/>
      <c r="S113" s="368"/>
      <c r="T113" s="368"/>
      <c r="U113" s="368"/>
      <c r="V113" s="368"/>
      <c r="W113" s="368"/>
      <c r="X113" s="368"/>
      <c r="Y113" s="368"/>
    </row>
    <row r="114" spans="15:25" x14ac:dyDescent="0.2">
      <c r="O114" s="368"/>
      <c r="P114" s="368"/>
      <c r="Q114" s="368"/>
      <c r="R114" s="368"/>
      <c r="S114" s="368"/>
      <c r="T114" s="368"/>
      <c r="U114" s="368"/>
      <c r="V114" s="368"/>
      <c r="W114" s="368"/>
      <c r="X114" s="368"/>
      <c r="Y114" s="368"/>
    </row>
    <row r="115" spans="15:25" x14ac:dyDescent="0.2">
      <c r="O115" s="368"/>
      <c r="P115" s="368"/>
      <c r="Q115" s="368"/>
      <c r="R115" s="368"/>
      <c r="S115" s="368"/>
      <c r="T115" s="368"/>
      <c r="U115" s="368"/>
      <c r="V115" s="368"/>
      <c r="W115" s="368"/>
      <c r="X115" s="368"/>
      <c r="Y115" s="368"/>
    </row>
  </sheetData>
  <mergeCells count="12">
    <mergeCell ref="A85:E85"/>
    <mergeCell ref="A86:M86"/>
    <mergeCell ref="A87:M87"/>
    <mergeCell ref="A88:F88"/>
    <mergeCell ref="A89:K89"/>
    <mergeCell ref="A93:M93"/>
    <mergeCell ref="A1:M1"/>
    <mergeCell ref="A2:B2"/>
    <mergeCell ref="B5:K5"/>
    <mergeCell ref="A82:M82"/>
    <mergeCell ref="A83:M83"/>
    <mergeCell ref="A84:D84"/>
  </mergeCells>
  <pageMargins left="0.7" right="0.7" top="0.75" bottom="0.75" header="0.3" footer="0.3"/>
  <pageSetup paperSize="9" scale="80"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01885-9331-41BA-8E2D-D1354F7A0463}">
  <sheetPr>
    <tabColor indexed="26"/>
  </sheetPr>
  <dimension ref="A1:N38"/>
  <sheetViews>
    <sheetView showGridLines="0" zoomScaleNormal="100" workbookViewId="0">
      <selection sqref="A1:M1"/>
    </sheetView>
  </sheetViews>
  <sheetFormatPr defaultRowHeight="11.25" x14ac:dyDescent="0.2"/>
  <cols>
    <col min="1" max="1" width="30.140625" style="347" customWidth="1"/>
    <col min="2" max="11" width="6.7109375" style="347" customWidth="1"/>
    <col min="12" max="12" width="2.28515625" style="347" customWidth="1"/>
    <col min="13" max="13" width="8.85546875" style="368" customWidth="1"/>
    <col min="14" max="256" width="11.42578125" style="347" customWidth="1"/>
    <col min="257" max="16384" width="9.140625" style="347"/>
  </cols>
  <sheetData>
    <row r="1" spans="1:13" ht="25.5" customHeight="1" x14ac:dyDescent="0.2">
      <c r="A1" s="485" t="s">
        <v>660</v>
      </c>
      <c r="B1" s="485"/>
      <c r="C1" s="485"/>
      <c r="D1" s="485"/>
      <c r="E1" s="485"/>
      <c r="F1" s="485"/>
      <c r="G1" s="485"/>
      <c r="H1" s="485"/>
      <c r="I1" s="485"/>
      <c r="J1" s="485"/>
      <c r="K1" s="485"/>
      <c r="L1" s="485"/>
      <c r="M1" s="485"/>
    </row>
    <row r="2" spans="1:13" ht="12.75" customHeight="1" x14ac:dyDescent="0.2">
      <c r="A2" s="461" t="s">
        <v>394</v>
      </c>
      <c r="B2" s="461"/>
      <c r="C2" s="348"/>
      <c r="D2" s="348"/>
      <c r="E2" s="348"/>
      <c r="F2" s="348"/>
      <c r="G2" s="348"/>
      <c r="H2" s="348"/>
      <c r="I2" s="348"/>
      <c r="J2" s="348"/>
      <c r="K2" s="348"/>
      <c r="L2" s="348"/>
      <c r="M2" s="348"/>
    </row>
    <row r="3" spans="1:13" ht="12.75" customHeight="1" x14ac:dyDescent="0.2">
      <c r="A3" s="1" t="s">
        <v>9</v>
      </c>
      <c r="B3" s="349"/>
      <c r="C3" s="348"/>
      <c r="D3" s="348"/>
      <c r="E3" s="348"/>
      <c r="F3" s="348"/>
      <c r="G3" s="348"/>
      <c r="H3" s="348"/>
      <c r="I3" s="348"/>
      <c r="J3" s="348"/>
      <c r="K3" s="348"/>
      <c r="L3" s="348"/>
      <c r="M3" s="348"/>
    </row>
    <row r="4" spans="1:13" s="354" customFormat="1" ht="11.25" customHeight="1" x14ac:dyDescent="0.2">
      <c r="A4" s="350"/>
      <c r="B4" s="351"/>
      <c r="C4" s="352"/>
      <c r="D4" s="352"/>
      <c r="E4" s="352"/>
      <c r="F4" s="352"/>
      <c r="G4" s="352"/>
      <c r="H4" s="352"/>
      <c r="I4" s="352"/>
      <c r="J4" s="352"/>
      <c r="K4" s="352"/>
      <c r="L4" s="352"/>
      <c r="M4" s="353" t="s">
        <v>661</v>
      </c>
    </row>
    <row r="5" spans="1:13" s="358" customFormat="1" ht="11.25" customHeight="1" x14ac:dyDescent="0.2">
      <c r="A5" s="355"/>
      <c r="B5" s="482" t="s">
        <v>637</v>
      </c>
      <c r="C5" s="482"/>
      <c r="D5" s="482"/>
      <c r="E5" s="482"/>
      <c r="F5" s="482"/>
      <c r="G5" s="482"/>
      <c r="H5" s="482"/>
      <c r="I5" s="482"/>
      <c r="J5" s="482"/>
      <c r="K5" s="482"/>
      <c r="L5" s="356"/>
      <c r="M5" s="357" t="s">
        <v>496</v>
      </c>
    </row>
    <row r="6" spans="1:13" ht="11.25" customHeight="1" x14ac:dyDescent="0.2">
      <c r="A6" s="359" t="s">
        <v>638</v>
      </c>
      <c r="B6" s="360" t="s">
        <v>639</v>
      </c>
      <c r="C6" s="360" t="s">
        <v>640</v>
      </c>
      <c r="D6" s="360" t="s">
        <v>641</v>
      </c>
      <c r="E6" s="360" t="s">
        <v>642</v>
      </c>
      <c r="F6" s="360" t="s">
        <v>643</v>
      </c>
      <c r="G6" s="360" t="s">
        <v>644</v>
      </c>
      <c r="H6" s="360" t="s">
        <v>645</v>
      </c>
      <c r="I6" s="360" t="s">
        <v>646</v>
      </c>
      <c r="J6" s="360" t="s">
        <v>647</v>
      </c>
      <c r="K6" s="360" t="s">
        <v>648</v>
      </c>
      <c r="L6" s="361"/>
      <c r="M6" s="362" t="s">
        <v>649</v>
      </c>
    </row>
    <row r="7" spans="1:13" ht="11.25" customHeight="1" x14ac:dyDescent="0.2">
      <c r="A7" s="363"/>
      <c r="B7" s="364"/>
      <c r="C7" s="364"/>
      <c r="D7" s="364"/>
      <c r="E7" s="364"/>
      <c r="F7" s="364"/>
      <c r="G7" s="364"/>
      <c r="H7" s="364"/>
      <c r="I7" s="364"/>
      <c r="J7" s="364"/>
      <c r="K7" s="364"/>
      <c r="L7" s="365"/>
      <c r="M7" s="366"/>
    </row>
    <row r="8" spans="1:13" s="354" customFormat="1" ht="11.25" customHeight="1" x14ac:dyDescent="0.2">
      <c r="A8" s="383" t="s">
        <v>522</v>
      </c>
      <c r="B8" s="384" t="s">
        <v>612</v>
      </c>
      <c r="C8" s="384" t="s">
        <v>612</v>
      </c>
      <c r="D8" s="384">
        <v>12</v>
      </c>
      <c r="E8" s="384">
        <v>12</v>
      </c>
      <c r="F8" s="384">
        <v>15</v>
      </c>
      <c r="G8" s="384">
        <v>10</v>
      </c>
      <c r="H8" s="384">
        <v>4</v>
      </c>
      <c r="I8" s="384" t="s">
        <v>612</v>
      </c>
      <c r="J8" s="384" t="s">
        <v>612</v>
      </c>
      <c r="K8" s="384" t="s">
        <v>612</v>
      </c>
      <c r="L8" s="347"/>
      <c r="M8" s="384">
        <v>65</v>
      </c>
    </row>
    <row r="9" spans="1:13" ht="11.25" customHeight="1" x14ac:dyDescent="0.2">
      <c r="A9" s="383" t="s">
        <v>546</v>
      </c>
      <c r="B9" s="384" t="s">
        <v>612</v>
      </c>
      <c r="C9" s="384" t="s">
        <v>612</v>
      </c>
      <c r="D9" s="384">
        <v>6</v>
      </c>
      <c r="E9" s="384">
        <v>15</v>
      </c>
      <c r="F9" s="384" t="s">
        <v>612</v>
      </c>
      <c r="G9" s="384">
        <v>11</v>
      </c>
      <c r="H9" s="384">
        <v>3</v>
      </c>
      <c r="I9" s="384" t="s">
        <v>612</v>
      </c>
      <c r="J9" s="384">
        <v>0</v>
      </c>
      <c r="K9" s="384">
        <v>5</v>
      </c>
      <c r="M9" s="384">
        <v>77</v>
      </c>
    </row>
    <row r="10" spans="1:13" ht="11.25" customHeight="1" x14ac:dyDescent="0.2">
      <c r="A10" s="383" t="s">
        <v>509</v>
      </c>
      <c r="B10" s="384">
        <v>7833</v>
      </c>
      <c r="C10" s="384">
        <v>3115</v>
      </c>
      <c r="D10" s="384">
        <v>1875</v>
      </c>
      <c r="E10" s="384">
        <v>993</v>
      </c>
      <c r="F10" s="384">
        <v>316</v>
      </c>
      <c r="G10" s="384">
        <v>151</v>
      </c>
      <c r="H10" s="384">
        <v>74</v>
      </c>
      <c r="I10" s="384">
        <v>44</v>
      </c>
      <c r="J10" s="384">
        <v>69</v>
      </c>
      <c r="K10" s="384">
        <v>26</v>
      </c>
      <c r="M10" s="384">
        <v>14496</v>
      </c>
    </row>
    <row r="11" spans="1:13" ht="11.25" customHeight="1" x14ac:dyDescent="0.2">
      <c r="A11" s="383" t="s">
        <v>521</v>
      </c>
      <c r="B11" s="384">
        <v>87</v>
      </c>
      <c r="C11" s="384">
        <v>109</v>
      </c>
      <c r="D11" s="384">
        <v>113</v>
      </c>
      <c r="E11" s="384">
        <v>91</v>
      </c>
      <c r="F11" s="384">
        <v>45</v>
      </c>
      <c r="G11" s="384">
        <v>21</v>
      </c>
      <c r="H11" s="384">
        <v>15</v>
      </c>
      <c r="I11" s="384">
        <v>8</v>
      </c>
      <c r="J11" s="384" t="s">
        <v>612</v>
      </c>
      <c r="K11" s="384" t="s">
        <v>612</v>
      </c>
      <c r="M11" s="384">
        <v>500</v>
      </c>
    </row>
    <row r="12" spans="1:13" ht="11.25" customHeight="1" x14ac:dyDescent="0.2">
      <c r="A12" s="383" t="s">
        <v>508</v>
      </c>
      <c r="B12" s="384">
        <v>6889</v>
      </c>
      <c r="C12" s="384">
        <v>3096</v>
      </c>
      <c r="D12" s="384">
        <v>2151</v>
      </c>
      <c r="E12" s="384">
        <v>1397</v>
      </c>
      <c r="F12" s="384">
        <v>564</v>
      </c>
      <c r="G12" s="384">
        <v>287</v>
      </c>
      <c r="H12" s="384">
        <v>119</v>
      </c>
      <c r="I12" s="384">
        <v>38</v>
      </c>
      <c r="J12" s="384">
        <v>29</v>
      </c>
      <c r="K12" s="384">
        <v>22</v>
      </c>
      <c r="M12" s="384">
        <v>14592</v>
      </c>
    </row>
    <row r="13" spans="1:13" ht="12" customHeight="1" x14ac:dyDescent="0.2">
      <c r="A13" s="383" t="s">
        <v>531</v>
      </c>
      <c r="B13" s="384">
        <v>758</v>
      </c>
      <c r="C13" s="384">
        <v>61</v>
      </c>
      <c r="D13" s="384">
        <v>18</v>
      </c>
      <c r="E13" s="384" t="s">
        <v>612</v>
      </c>
      <c r="F13" s="384" t="s">
        <v>612</v>
      </c>
      <c r="G13" s="384" t="s">
        <v>612</v>
      </c>
      <c r="H13" s="384">
        <v>0</v>
      </c>
      <c r="I13" s="384">
        <v>0</v>
      </c>
      <c r="J13" s="384" t="s">
        <v>612</v>
      </c>
      <c r="K13" s="384" t="s">
        <v>612</v>
      </c>
      <c r="M13" s="384">
        <v>846</v>
      </c>
    </row>
    <row r="14" spans="1:13" s="354" customFormat="1" ht="11.25" customHeight="1" x14ac:dyDescent="0.2">
      <c r="A14" s="383" t="s">
        <v>662</v>
      </c>
      <c r="B14" s="384">
        <v>38</v>
      </c>
      <c r="C14" s="384">
        <v>128</v>
      </c>
      <c r="D14" s="384">
        <v>226</v>
      </c>
      <c r="E14" s="384">
        <v>399</v>
      </c>
      <c r="F14" s="384">
        <v>182</v>
      </c>
      <c r="G14" s="384">
        <v>115</v>
      </c>
      <c r="H14" s="384">
        <v>108</v>
      </c>
      <c r="I14" s="384">
        <v>54</v>
      </c>
      <c r="J14" s="384">
        <v>97</v>
      </c>
      <c r="K14" s="384">
        <v>36</v>
      </c>
      <c r="L14" s="384"/>
      <c r="M14" s="384">
        <v>1383</v>
      </c>
    </row>
    <row r="15" spans="1:13" ht="11.25" customHeight="1" x14ac:dyDescent="0.2">
      <c r="A15" s="383" t="s">
        <v>663</v>
      </c>
      <c r="B15" s="384">
        <v>3387</v>
      </c>
      <c r="C15" s="384">
        <v>5648</v>
      </c>
      <c r="D15" s="384">
        <v>7419</v>
      </c>
      <c r="E15" s="384">
        <v>14170</v>
      </c>
      <c r="F15" s="384">
        <v>6575</v>
      </c>
      <c r="G15" s="384">
        <v>2305</v>
      </c>
      <c r="H15" s="384">
        <v>576</v>
      </c>
      <c r="I15" s="384">
        <v>277</v>
      </c>
      <c r="J15" s="384">
        <v>345</v>
      </c>
      <c r="K15" s="384">
        <v>382</v>
      </c>
      <c r="M15" s="384">
        <v>41084</v>
      </c>
    </row>
    <row r="16" spans="1:13" ht="11.25" customHeight="1" x14ac:dyDescent="0.2">
      <c r="A16" s="383" t="s">
        <v>550</v>
      </c>
      <c r="B16" s="384">
        <v>2819</v>
      </c>
      <c r="C16" s="384">
        <v>2856</v>
      </c>
      <c r="D16" s="384">
        <v>2781</v>
      </c>
      <c r="E16" s="384">
        <v>2186</v>
      </c>
      <c r="F16" s="384">
        <v>1580</v>
      </c>
      <c r="G16" s="384">
        <v>1789</v>
      </c>
      <c r="H16" s="384">
        <v>1928</v>
      </c>
      <c r="I16" s="384">
        <v>1742</v>
      </c>
      <c r="J16" s="384">
        <v>1132</v>
      </c>
      <c r="K16" s="384">
        <v>191</v>
      </c>
      <c r="M16" s="384">
        <v>19004</v>
      </c>
    </row>
    <row r="17" spans="1:14" ht="11.25" customHeight="1" x14ac:dyDescent="0.2">
      <c r="A17" s="383" t="s">
        <v>532</v>
      </c>
      <c r="B17" s="384">
        <v>2359</v>
      </c>
      <c r="C17" s="384">
        <v>719</v>
      </c>
      <c r="D17" s="384">
        <v>500</v>
      </c>
      <c r="E17" s="384">
        <v>363</v>
      </c>
      <c r="F17" s="384">
        <v>163</v>
      </c>
      <c r="G17" s="384">
        <v>56</v>
      </c>
      <c r="H17" s="384">
        <v>31</v>
      </c>
      <c r="I17" s="384">
        <v>10</v>
      </c>
      <c r="J17" s="384" t="s">
        <v>612</v>
      </c>
      <c r="K17" s="384" t="s">
        <v>612</v>
      </c>
      <c r="M17" s="384">
        <v>4209</v>
      </c>
    </row>
    <row r="18" spans="1:14" ht="11.25" customHeight="1" x14ac:dyDescent="0.2">
      <c r="A18" s="383" t="s">
        <v>524</v>
      </c>
      <c r="B18" s="384">
        <v>1635</v>
      </c>
      <c r="C18" s="384">
        <v>1254</v>
      </c>
      <c r="D18" s="384">
        <v>677</v>
      </c>
      <c r="E18" s="384">
        <v>287</v>
      </c>
      <c r="F18" s="384">
        <v>107</v>
      </c>
      <c r="G18" s="384">
        <v>50</v>
      </c>
      <c r="H18" s="384">
        <v>18</v>
      </c>
      <c r="I18" s="384">
        <v>11</v>
      </c>
      <c r="J18" s="384">
        <v>6</v>
      </c>
      <c r="K18" s="384">
        <v>7</v>
      </c>
      <c r="M18" s="384">
        <v>4052</v>
      </c>
    </row>
    <row r="19" spans="1:14" ht="11.25" customHeight="1" x14ac:dyDescent="0.2">
      <c r="A19" s="383" t="s">
        <v>533</v>
      </c>
      <c r="B19" s="384">
        <v>957</v>
      </c>
      <c r="C19" s="384">
        <v>524</v>
      </c>
      <c r="D19" s="384">
        <v>275</v>
      </c>
      <c r="E19" s="384">
        <v>103</v>
      </c>
      <c r="F19" s="384">
        <v>18</v>
      </c>
      <c r="G19" s="384">
        <v>7</v>
      </c>
      <c r="H19" s="384" t="s">
        <v>612</v>
      </c>
      <c r="I19" s="384" t="s">
        <v>612</v>
      </c>
      <c r="J19" s="384">
        <v>0</v>
      </c>
      <c r="K19" s="384">
        <v>5</v>
      </c>
      <c r="M19" s="384">
        <v>1892</v>
      </c>
    </row>
    <row r="20" spans="1:14" s="354" customFormat="1" ht="11.25" customHeight="1" x14ac:dyDescent="0.2">
      <c r="A20" s="385" t="s">
        <v>664</v>
      </c>
      <c r="B20" s="384">
        <v>0</v>
      </c>
      <c r="C20" s="384">
        <v>4</v>
      </c>
      <c r="D20" s="384" t="s">
        <v>612</v>
      </c>
      <c r="E20" s="384">
        <v>7</v>
      </c>
      <c r="F20" s="384">
        <v>5</v>
      </c>
      <c r="G20" s="384" t="s">
        <v>612</v>
      </c>
      <c r="H20" s="384" t="s">
        <v>612</v>
      </c>
      <c r="I20" s="384" t="s">
        <v>612</v>
      </c>
      <c r="J20" s="384" t="s">
        <v>612</v>
      </c>
      <c r="K20" s="384">
        <v>0</v>
      </c>
      <c r="L20" s="347"/>
      <c r="M20" s="384">
        <v>26</v>
      </c>
    </row>
    <row r="21" spans="1:14" ht="11.25" customHeight="1" x14ac:dyDescent="0.2">
      <c r="A21" s="385" t="s">
        <v>525</v>
      </c>
      <c r="B21" s="384">
        <v>3020</v>
      </c>
      <c r="C21" s="384">
        <v>1477</v>
      </c>
      <c r="D21" s="384">
        <v>733</v>
      </c>
      <c r="E21" s="384">
        <v>304</v>
      </c>
      <c r="F21" s="384">
        <v>128</v>
      </c>
      <c r="G21" s="384">
        <v>66</v>
      </c>
      <c r="H21" s="384">
        <v>23</v>
      </c>
      <c r="I21" s="384">
        <v>6</v>
      </c>
      <c r="J21" s="384">
        <v>5</v>
      </c>
      <c r="K21" s="384">
        <v>17</v>
      </c>
      <c r="M21" s="384">
        <v>5779</v>
      </c>
    </row>
    <row r="22" spans="1:14" ht="11.25" customHeight="1" x14ac:dyDescent="0.2">
      <c r="A22" s="386" t="s">
        <v>665</v>
      </c>
      <c r="B22" s="384">
        <v>281</v>
      </c>
      <c r="C22" s="384">
        <v>550</v>
      </c>
      <c r="D22" s="384">
        <v>421</v>
      </c>
      <c r="E22" s="384">
        <v>260</v>
      </c>
      <c r="F22" s="384">
        <v>185</v>
      </c>
      <c r="G22" s="384">
        <v>115</v>
      </c>
      <c r="H22" s="384">
        <v>42</v>
      </c>
      <c r="I22" s="384">
        <v>16</v>
      </c>
      <c r="J22" s="384" t="s">
        <v>612</v>
      </c>
      <c r="K22" s="384" t="s">
        <v>612</v>
      </c>
      <c r="M22" s="384">
        <v>1895</v>
      </c>
      <c r="N22" s="387"/>
    </row>
    <row r="23" spans="1:14" ht="11.25" customHeight="1" x14ac:dyDescent="0.2">
      <c r="A23" s="3" t="s">
        <v>8</v>
      </c>
      <c r="B23" s="384">
        <v>12025</v>
      </c>
      <c r="C23" s="384">
        <v>6598</v>
      </c>
      <c r="D23" s="384">
        <v>3821</v>
      </c>
      <c r="E23" s="384">
        <v>2105</v>
      </c>
      <c r="F23" s="384">
        <v>608</v>
      </c>
      <c r="G23" s="384">
        <v>321</v>
      </c>
      <c r="H23" s="384">
        <v>243</v>
      </c>
      <c r="I23" s="384">
        <v>210</v>
      </c>
      <c r="J23" s="384">
        <v>38</v>
      </c>
      <c r="K23" s="384">
        <v>22</v>
      </c>
      <c r="M23" s="384">
        <v>25991</v>
      </c>
      <c r="N23" s="387"/>
    </row>
    <row r="24" spans="1:14" ht="11.25" customHeight="1" x14ac:dyDescent="0.2">
      <c r="A24" s="383" t="s">
        <v>559</v>
      </c>
      <c r="B24" s="384">
        <v>231</v>
      </c>
      <c r="C24" s="384">
        <v>80</v>
      </c>
      <c r="D24" s="384">
        <v>30</v>
      </c>
      <c r="E24" s="384">
        <v>4</v>
      </c>
      <c r="F24" s="384">
        <v>0</v>
      </c>
      <c r="G24" s="384">
        <v>0</v>
      </c>
      <c r="H24" s="384">
        <v>0</v>
      </c>
      <c r="I24" s="384">
        <v>0</v>
      </c>
      <c r="J24" s="384">
        <v>0</v>
      </c>
      <c r="K24" s="384">
        <v>0</v>
      </c>
      <c r="M24" s="384">
        <v>345</v>
      </c>
      <c r="N24" s="387"/>
    </row>
    <row r="25" spans="1:14" ht="11.25" customHeight="1" x14ac:dyDescent="0.2">
      <c r="A25" s="383" t="s">
        <v>538</v>
      </c>
      <c r="B25" s="384" t="s">
        <v>612</v>
      </c>
      <c r="C25" s="384" t="s">
        <v>612</v>
      </c>
      <c r="D25" s="384" t="s">
        <v>612</v>
      </c>
      <c r="E25" s="384" t="s">
        <v>612</v>
      </c>
      <c r="F25" s="384" t="s">
        <v>612</v>
      </c>
      <c r="G25" s="384" t="s">
        <v>612</v>
      </c>
      <c r="H25" s="384" t="s">
        <v>612</v>
      </c>
      <c r="I25" s="384" t="s">
        <v>612</v>
      </c>
      <c r="J25" s="384" t="s">
        <v>612</v>
      </c>
      <c r="K25" s="384" t="s">
        <v>612</v>
      </c>
      <c r="M25" s="384" t="s">
        <v>612</v>
      </c>
      <c r="N25" s="388"/>
    </row>
    <row r="26" spans="1:14" ht="11.25" customHeight="1" x14ac:dyDescent="0.2">
      <c r="A26" s="383" t="s">
        <v>507</v>
      </c>
      <c r="B26" s="384">
        <v>8336</v>
      </c>
      <c r="C26" s="384">
        <v>3447</v>
      </c>
      <c r="D26" s="384">
        <v>1970</v>
      </c>
      <c r="E26" s="384">
        <v>1118</v>
      </c>
      <c r="F26" s="384">
        <v>418</v>
      </c>
      <c r="G26" s="384">
        <v>211</v>
      </c>
      <c r="H26" s="384">
        <v>101</v>
      </c>
      <c r="I26" s="384">
        <v>32</v>
      </c>
      <c r="J26" s="384">
        <v>10</v>
      </c>
      <c r="K26" s="384">
        <v>19</v>
      </c>
      <c r="M26" s="384">
        <v>15662</v>
      </c>
      <c r="N26" s="387"/>
    </row>
    <row r="27" spans="1:14" ht="11.25" customHeight="1" x14ac:dyDescent="0.2">
      <c r="A27" s="385" t="s">
        <v>536</v>
      </c>
      <c r="B27" s="384">
        <v>2150</v>
      </c>
      <c r="C27" s="384">
        <v>1097</v>
      </c>
      <c r="D27" s="384">
        <v>477</v>
      </c>
      <c r="E27" s="384">
        <v>181</v>
      </c>
      <c r="F27" s="384">
        <v>54</v>
      </c>
      <c r="G27" s="384">
        <v>25</v>
      </c>
      <c r="H27" s="384">
        <v>9</v>
      </c>
      <c r="I27" s="384">
        <v>6</v>
      </c>
      <c r="J27" s="384" t="s">
        <v>612</v>
      </c>
      <c r="K27" s="384" t="s">
        <v>612</v>
      </c>
      <c r="M27" s="384">
        <v>4005</v>
      </c>
      <c r="N27" s="387"/>
    </row>
    <row r="28" spans="1:14" ht="11.25" customHeight="1" x14ac:dyDescent="0.2">
      <c r="A28" s="385"/>
      <c r="B28" s="384"/>
      <c r="C28" s="384"/>
      <c r="D28" s="384"/>
      <c r="E28" s="384"/>
      <c r="F28" s="384"/>
      <c r="G28" s="384"/>
      <c r="H28" s="384"/>
      <c r="I28" s="384"/>
      <c r="J28" s="384"/>
      <c r="K28" s="384"/>
      <c r="M28" s="384"/>
      <c r="N28" s="387"/>
    </row>
    <row r="29" spans="1:14" ht="11.25" customHeight="1" x14ac:dyDescent="0.2">
      <c r="A29" s="374" t="s">
        <v>653</v>
      </c>
      <c r="B29" s="384">
        <v>52828</v>
      </c>
      <c r="C29" s="384">
        <v>30770</v>
      </c>
      <c r="D29" s="384">
        <v>23509</v>
      </c>
      <c r="E29" s="384">
        <v>23998</v>
      </c>
      <c r="F29" s="384">
        <v>10978</v>
      </c>
      <c r="G29" s="384">
        <v>5543</v>
      </c>
      <c r="H29" s="384">
        <v>3298</v>
      </c>
      <c r="I29" s="384">
        <v>2460</v>
      </c>
      <c r="J29" s="384">
        <v>1748</v>
      </c>
      <c r="K29" s="384">
        <v>772</v>
      </c>
      <c r="M29" s="384">
        <v>155904</v>
      </c>
      <c r="N29" s="387"/>
    </row>
    <row r="30" spans="1:14" ht="11.25" customHeight="1" x14ac:dyDescent="0.2">
      <c r="A30" s="375"/>
      <c r="B30" s="376"/>
      <c r="C30" s="376"/>
      <c r="D30" s="376"/>
      <c r="E30" s="376"/>
      <c r="F30" s="376"/>
      <c r="G30" s="376"/>
      <c r="H30" s="376"/>
      <c r="I30" s="376"/>
      <c r="J30" s="376"/>
      <c r="K30" s="376"/>
      <c r="L30" s="376"/>
      <c r="M30" s="376"/>
    </row>
    <row r="31" spans="1:14" ht="11.25" customHeight="1" x14ac:dyDescent="0.2">
      <c r="A31" s="378"/>
      <c r="B31" s="379"/>
      <c r="C31" s="379"/>
      <c r="D31" s="379"/>
      <c r="E31" s="379"/>
      <c r="F31" s="379"/>
      <c r="G31" s="379"/>
      <c r="H31" s="379"/>
      <c r="I31" s="379"/>
      <c r="J31" s="379"/>
      <c r="K31" s="379"/>
      <c r="L31" s="380"/>
      <c r="M31" s="140" t="s">
        <v>393</v>
      </c>
    </row>
    <row r="32" spans="1:14" ht="11.25" customHeight="1" x14ac:dyDescent="0.2">
      <c r="A32" s="378" t="s">
        <v>666</v>
      </c>
      <c r="B32" s="379"/>
      <c r="C32" s="379"/>
      <c r="D32" s="379"/>
      <c r="E32" s="379"/>
      <c r="F32" s="379"/>
      <c r="G32" s="379"/>
      <c r="H32" s="379"/>
      <c r="I32" s="379"/>
      <c r="J32" s="379"/>
      <c r="K32" s="379"/>
      <c r="L32" s="380"/>
      <c r="M32" s="380"/>
    </row>
    <row r="33" spans="1:13" ht="11.25" customHeight="1" x14ac:dyDescent="0.2">
      <c r="A33" s="486" t="s">
        <v>667</v>
      </c>
      <c r="B33" s="486"/>
      <c r="C33" s="486"/>
      <c r="D33" s="486"/>
      <c r="E33" s="486"/>
      <c r="F33" s="486"/>
      <c r="G33" s="487"/>
      <c r="H33" s="487"/>
      <c r="I33" s="487"/>
      <c r="J33" s="487"/>
      <c r="K33" s="487"/>
      <c r="L33" s="487"/>
      <c r="M33" s="487"/>
    </row>
    <row r="34" spans="1:13" ht="11.25" customHeight="1" x14ac:dyDescent="0.2">
      <c r="A34" s="466" t="s">
        <v>656</v>
      </c>
      <c r="B34" s="466"/>
      <c r="C34" s="466"/>
      <c r="D34" s="488"/>
      <c r="E34" s="488"/>
      <c r="F34" s="488"/>
    </row>
    <row r="35" spans="1:13" ht="11.25" customHeight="1" x14ac:dyDescent="0.2">
      <c r="A35" s="466" t="s">
        <v>657</v>
      </c>
      <c r="B35" s="466"/>
      <c r="C35" s="466"/>
      <c r="D35" s="466"/>
      <c r="E35" s="467"/>
    </row>
    <row r="36" spans="1:13" ht="11.25" customHeight="1" x14ac:dyDescent="0.2">
      <c r="A36" s="466" t="s">
        <v>668</v>
      </c>
      <c r="B36" s="466"/>
      <c r="C36" s="466"/>
      <c r="D36" s="466"/>
      <c r="E36" s="466"/>
      <c r="F36" s="466"/>
      <c r="G36" s="466"/>
      <c r="H36" s="466"/>
      <c r="I36" s="466"/>
      <c r="J36" s="466"/>
      <c r="K36" s="466"/>
    </row>
    <row r="37" spans="1:13" ht="11.25" customHeight="1" x14ac:dyDescent="0.2">
      <c r="G37" s="276"/>
      <c r="H37" s="276"/>
      <c r="I37" s="276"/>
      <c r="J37" s="276"/>
      <c r="K37" s="276"/>
    </row>
    <row r="38" spans="1:13" ht="12.75" x14ac:dyDescent="0.2">
      <c r="A38" s="474" t="s">
        <v>629</v>
      </c>
      <c r="B38" s="474"/>
      <c r="C38" s="474"/>
      <c r="D38" s="474"/>
      <c r="E38" s="475"/>
      <c r="F38" s="475"/>
      <c r="G38" s="475"/>
      <c r="H38" s="475"/>
      <c r="I38" s="475"/>
      <c r="J38" s="475"/>
      <c r="K38" s="475"/>
      <c r="L38" s="475"/>
      <c r="M38" s="475"/>
    </row>
  </sheetData>
  <mergeCells count="8">
    <mergeCell ref="A36:K36"/>
    <mergeCell ref="A38:M38"/>
    <mergeCell ref="A1:M1"/>
    <mergeCell ref="A2:B2"/>
    <mergeCell ref="B5:K5"/>
    <mergeCell ref="A33:M33"/>
    <mergeCell ref="A34:F34"/>
    <mergeCell ref="A35:E35"/>
  </mergeCells>
  <pageMargins left="0.74803149606299213" right="0.74803149606299213" top="0.98425196850393704" bottom="0.98425196850393704" header="0.51181102362204722" footer="0.51181102362204722"/>
  <pageSetup paperSize="9" scale="80"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1EE0-21F3-45DE-B86B-CAE2315C150B}">
  <sheetPr>
    <tabColor indexed="26"/>
  </sheetPr>
  <dimension ref="A1:T27"/>
  <sheetViews>
    <sheetView showGridLines="0" zoomScaleNormal="100" workbookViewId="0">
      <selection sqref="A1:T1"/>
    </sheetView>
  </sheetViews>
  <sheetFormatPr defaultRowHeight="11.25" x14ac:dyDescent="0.2"/>
  <cols>
    <col min="1" max="1" width="36.7109375" style="389" customWidth="1"/>
    <col min="2" max="7" width="5.7109375" style="389" customWidth="1"/>
    <col min="8" max="9" width="6.140625" style="389" customWidth="1"/>
    <col min="10" max="10" width="4.7109375" style="389" customWidth="1"/>
    <col min="11" max="11" width="4.85546875" style="389" customWidth="1"/>
    <col min="12" max="18" width="5.7109375" style="389" customWidth="1"/>
    <col min="19" max="19" width="1" style="389" customWidth="1"/>
    <col min="20" max="20" width="7.7109375" style="389" customWidth="1"/>
    <col min="21" max="256" width="11.42578125" style="389" customWidth="1"/>
    <col min="257" max="16384" width="9.140625" style="389"/>
  </cols>
  <sheetData>
    <row r="1" spans="1:20" ht="13.5" customHeight="1" x14ac:dyDescent="0.2">
      <c r="A1" s="485" t="s">
        <v>669</v>
      </c>
      <c r="B1" s="485"/>
      <c r="C1" s="485"/>
      <c r="D1" s="485"/>
      <c r="E1" s="485"/>
      <c r="F1" s="485"/>
      <c r="G1" s="485"/>
      <c r="H1" s="485"/>
      <c r="I1" s="485"/>
      <c r="J1" s="485"/>
      <c r="K1" s="485"/>
      <c r="L1" s="485"/>
      <c r="M1" s="485"/>
      <c r="N1" s="485"/>
      <c r="O1" s="485"/>
      <c r="P1" s="485"/>
      <c r="Q1" s="485"/>
      <c r="R1" s="485"/>
      <c r="S1" s="485"/>
      <c r="T1" s="485"/>
    </row>
    <row r="2" spans="1:20" ht="13.5" customHeight="1" x14ac:dyDescent="0.2">
      <c r="A2" s="461" t="s">
        <v>592</v>
      </c>
      <c r="B2" s="461"/>
      <c r="C2" s="349"/>
      <c r="D2" s="348"/>
      <c r="E2" s="348"/>
      <c r="F2" s="348"/>
      <c r="G2" s="348"/>
      <c r="H2" s="348"/>
      <c r="I2" s="348"/>
      <c r="J2" s="348"/>
      <c r="K2" s="348"/>
      <c r="L2" s="348"/>
      <c r="M2" s="348"/>
      <c r="N2" s="348"/>
      <c r="O2" s="348"/>
      <c r="P2" s="348"/>
      <c r="Q2" s="348"/>
      <c r="R2" s="348"/>
      <c r="S2" s="348"/>
      <c r="T2" s="348"/>
    </row>
    <row r="3" spans="1:20" ht="12.75" customHeight="1" x14ac:dyDescent="0.2">
      <c r="A3" s="1" t="s">
        <v>9</v>
      </c>
      <c r="B3" s="349"/>
      <c r="C3" s="349"/>
      <c r="D3" s="348"/>
      <c r="E3" s="348"/>
      <c r="F3" s="348"/>
      <c r="G3" s="348"/>
      <c r="H3" s="348"/>
      <c r="I3" s="348"/>
      <c r="J3" s="348"/>
      <c r="K3" s="348"/>
      <c r="L3" s="348"/>
      <c r="M3" s="348"/>
      <c r="N3" s="348"/>
      <c r="O3" s="348"/>
      <c r="P3" s="348"/>
      <c r="Q3" s="348"/>
      <c r="R3" s="348"/>
      <c r="S3" s="348"/>
      <c r="T3" s="348"/>
    </row>
    <row r="4" spans="1:20" s="391" customFormat="1" ht="11.25" customHeight="1" x14ac:dyDescent="0.2">
      <c r="A4" s="350"/>
      <c r="B4" s="351"/>
      <c r="C4" s="351"/>
      <c r="D4" s="352"/>
      <c r="E4" s="352"/>
      <c r="F4" s="352"/>
      <c r="G4" s="352"/>
      <c r="H4" s="352"/>
      <c r="I4" s="352"/>
      <c r="J4" s="352"/>
      <c r="K4" s="352"/>
      <c r="L4" s="352"/>
      <c r="M4" s="352"/>
      <c r="N4" s="352"/>
      <c r="O4" s="352"/>
      <c r="P4" s="352"/>
      <c r="Q4" s="352"/>
      <c r="R4" s="490" t="s">
        <v>670</v>
      </c>
      <c r="S4" s="490"/>
      <c r="T4" s="490"/>
    </row>
    <row r="5" spans="1:20" s="393" customFormat="1" ht="12" customHeight="1" x14ac:dyDescent="0.2">
      <c r="A5" s="355"/>
      <c r="B5" s="482" t="s">
        <v>637</v>
      </c>
      <c r="C5" s="482"/>
      <c r="D5" s="482"/>
      <c r="E5" s="482"/>
      <c r="F5" s="482"/>
      <c r="G5" s="482"/>
      <c r="H5" s="482"/>
      <c r="I5" s="482"/>
      <c r="J5" s="482"/>
      <c r="K5" s="482"/>
      <c r="L5" s="482"/>
      <c r="M5" s="482"/>
      <c r="N5" s="482"/>
      <c r="O5" s="482"/>
      <c r="P5" s="482"/>
      <c r="Q5" s="482"/>
      <c r="R5" s="482"/>
      <c r="S5" s="392"/>
      <c r="T5" s="491" t="s">
        <v>671</v>
      </c>
    </row>
    <row r="6" spans="1:20" ht="12" customHeight="1" x14ac:dyDescent="0.2">
      <c r="A6" s="359" t="s">
        <v>672</v>
      </c>
      <c r="B6" s="360" t="s">
        <v>673</v>
      </c>
      <c r="C6" s="360" t="s">
        <v>674</v>
      </c>
      <c r="D6" s="360" t="s">
        <v>675</v>
      </c>
      <c r="E6" s="360" t="s">
        <v>676</v>
      </c>
      <c r="F6" s="360" t="s">
        <v>677</v>
      </c>
      <c r="G6" s="360" t="s">
        <v>678</v>
      </c>
      <c r="H6" s="360" t="s">
        <v>679</v>
      </c>
      <c r="I6" s="360" t="s">
        <v>680</v>
      </c>
      <c r="J6" s="360" t="s">
        <v>681</v>
      </c>
      <c r="K6" s="360" t="s">
        <v>682</v>
      </c>
      <c r="L6" s="360" t="s">
        <v>683</v>
      </c>
      <c r="M6" s="360" t="s">
        <v>684</v>
      </c>
      <c r="N6" s="360" t="s">
        <v>685</v>
      </c>
      <c r="O6" s="360" t="s">
        <v>686</v>
      </c>
      <c r="P6" s="360" t="s">
        <v>687</v>
      </c>
      <c r="Q6" s="360" t="s">
        <v>647</v>
      </c>
      <c r="R6" s="360" t="s">
        <v>648</v>
      </c>
      <c r="S6" s="390"/>
      <c r="T6" s="492"/>
    </row>
    <row r="7" spans="1:20" s="391" customFormat="1" ht="11.25" customHeight="1" x14ac:dyDescent="0.2">
      <c r="A7" s="394"/>
      <c r="B7" s="395"/>
      <c r="C7" s="395"/>
      <c r="D7" s="396"/>
      <c r="E7" s="396"/>
      <c r="F7" s="396"/>
      <c r="G7" s="396"/>
      <c r="H7" s="396"/>
      <c r="I7" s="396"/>
      <c r="J7" s="396"/>
      <c r="K7" s="396"/>
      <c r="L7" s="396"/>
      <c r="M7" s="396"/>
      <c r="N7" s="396"/>
      <c r="O7" s="396"/>
      <c r="P7" s="396"/>
      <c r="Q7" s="396"/>
      <c r="R7" s="396"/>
      <c r="S7" s="396"/>
      <c r="T7" s="396"/>
    </row>
    <row r="8" spans="1:20" ht="11.25" customHeight="1" x14ac:dyDescent="0.2">
      <c r="A8" s="397" t="s">
        <v>544</v>
      </c>
      <c r="B8" s="398" t="s">
        <v>196</v>
      </c>
      <c r="C8" s="398" t="s">
        <v>196</v>
      </c>
      <c r="D8" s="398" t="s">
        <v>196</v>
      </c>
      <c r="E8" s="398" t="s">
        <v>196</v>
      </c>
      <c r="F8" s="398" t="s">
        <v>196</v>
      </c>
      <c r="G8" s="398" t="s">
        <v>196</v>
      </c>
      <c r="H8" s="398" t="s">
        <v>196</v>
      </c>
      <c r="I8" s="398" t="s">
        <v>196</v>
      </c>
      <c r="J8" s="398" t="s">
        <v>196</v>
      </c>
      <c r="K8" s="398" t="s">
        <v>196</v>
      </c>
      <c r="L8" s="398" t="s">
        <v>196</v>
      </c>
      <c r="M8" s="398" t="s">
        <v>196</v>
      </c>
      <c r="N8" s="398" t="s">
        <v>196</v>
      </c>
      <c r="O8" s="398" t="s">
        <v>196</v>
      </c>
      <c r="P8" s="398" t="s">
        <v>196</v>
      </c>
      <c r="Q8" s="398" t="s">
        <v>196</v>
      </c>
      <c r="R8" s="398" t="s">
        <v>196</v>
      </c>
      <c r="T8" s="398" t="s">
        <v>196</v>
      </c>
    </row>
    <row r="9" spans="1:20" ht="11.25" customHeight="1" x14ac:dyDescent="0.2">
      <c r="A9" s="397" t="s">
        <v>522</v>
      </c>
      <c r="B9" s="398">
        <v>87</v>
      </c>
      <c r="C9" s="398">
        <v>165</v>
      </c>
      <c r="D9" s="398">
        <v>267</v>
      </c>
      <c r="E9" s="398">
        <v>353</v>
      </c>
      <c r="F9" s="398">
        <v>405</v>
      </c>
      <c r="G9" s="398">
        <v>424</v>
      </c>
      <c r="H9" s="398">
        <v>358</v>
      </c>
      <c r="I9" s="398">
        <v>291</v>
      </c>
      <c r="J9" s="398">
        <v>192</v>
      </c>
      <c r="K9" s="398">
        <v>121</v>
      </c>
      <c r="L9" s="398">
        <v>87</v>
      </c>
      <c r="M9" s="398">
        <v>76</v>
      </c>
      <c r="N9" s="398">
        <v>54</v>
      </c>
      <c r="O9" s="398">
        <v>28</v>
      </c>
      <c r="P9" s="398">
        <v>23</v>
      </c>
      <c r="Q9" s="398">
        <v>36</v>
      </c>
      <c r="R9" s="398">
        <v>4</v>
      </c>
      <c r="T9" s="398">
        <v>2971</v>
      </c>
    </row>
    <row r="10" spans="1:20" ht="11.25" customHeight="1" x14ac:dyDescent="0.2">
      <c r="A10" s="399" t="s">
        <v>688</v>
      </c>
      <c r="B10" s="398">
        <v>0</v>
      </c>
      <c r="C10" s="398" t="s">
        <v>612</v>
      </c>
      <c r="D10" s="398">
        <v>0</v>
      </c>
      <c r="E10" s="398">
        <v>0</v>
      </c>
      <c r="F10" s="398">
        <v>0</v>
      </c>
      <c r="G10" s="398">
        <v>0</v>
      </c>
      <c r="H10" s="398">
        <v>0</v>
      </c>
      <c r="I10" s="398" t="s">
        <v>612</v>
      </c>
      <c r="J10" s="398">
        <v>0</v>
      </c>
      <c r="K10" s="398">
        <v>0</v>
      </c>
      <c r="L10" s="398">
        <v>0</v>
      </c>
      <c r="M10" s="398">
        <v>0</v>
      </c>
      <c r="N10" s="398">
        <v>0</v>
      </c>
      <c r="O10" s="398">
        <v>0</v>
      </c>
      <c r="P10" s="398">
        <v>0</v>
      </c>
      <c r="Q10" s="398">
        <v>0</v>
      </c>
      <c r="R10" s="398">
        <v>0</v>
      </c>
      <c r="T10" s="398" t="s">
        <v>612</v>
      </c>
    </row>
    <row r="11" spans="1:20" ht="11.25" customHeight="1" x14ac:dyDescent="0.2">
      <c r="A11" s="397" t="s">
        <v>689</v>
      </c>
      <c r="B11" s="398">
        <v>0</v>
      </c>
      <c r="C11" s="398">
        <v>0</v>
      </c>
      <c r="D11" s="398">
        <v>6</v>
      </c>
      <c r="E11" s="398" t="s">
        <v>612</v>
      </c>
      <c r="F11" s="398">
        <v>30</v>
      </c>
      <c r="G11" s="398">
        <v>85</v>
      </c>
      <c r="H11" s="398">
        <v>145</v>
      </c>
      <c r="I11" s="398">
        <v>123</v>
      </c>
      <c r="J11" s="398">
        <v>80</v>
      </c>
      <c r="K11" s="398">
        <v>89</v>
      </c>
      <c r="L11" s="398">
        <v>68</v>
      </c>
      <c r="M11" s="398">
        <v>51</v>
      </c>
      <c r="N11" s="398">
        <v>34</v>
      </c>
      <c r="O11" s="398">
        <v>29</v>
      </c>
      <c r="P11" s="398">
        <v>14</v>
      </c>
      <c r="Q11" s="398" t="s">
        <v>612</v>
      </c>
      <c r="R11" s="398" t="s">
        <v>612</v>
      </c>
      <c r="T11" s="398">
        <v>786</v>
      </c>
    </row>
    <row r="12" spans="1:20" ht="11.25" customHeight="1" x14ac:dyDescent="0.2">
      <c r="A12" s="397" t="s">
        <v>690</v>
      </c>
      <c r="B12" s="398">
        <v>16</v>
      </c>
      <c r="C12" s="398">
        <v>55</v>
      </c>
      <c r="D12" s="398">
        <v>101</v>
      </c>
      <c r="E12" s="398">
        <v>106</v>
      </c>
      <c r="F12" s="398">
        <v>141</v>
      </c>
      <c r="G12" s="398">
        <v>200</v>
      </c>
      <c r="H12" s="398">
        <v>181</v>
      </c>
      <c r="I12" s="398">
        <v>167</v>
      </c>
      <c r="J12" s="398">
        <v>159</v>
      </c>
      <c r="K12" s="398">
        <v>132</v>
      </c>
      <c r="L12" s="398">
        <v>96</v>
      </c>
      <c r="M12" s="398">
        <v>66</v>
      </c>
      <c r="N12" s="398">
        <v>59</v>
      </c>
      <c r="O12" s="398">
        <v>59</v>
      </c>
      <c r="P12" s="398">
        <v>31</v>
      </c>
      <c r="Q12" s="398">
        <v>40</v>
      </c>
      <c r="R12" s="398">
        <v>4</v>
      </c>
      <c r="T12" s="398">
        <v>1613</v>
      </c>
    </row>
    <row r="13" spans="1:20" ht="11.25" customHeight="1" x14ac:dyDescent="0.2">
      <c r="A13" s="397" t="s">
        <v>553</v>
      </c>
      <c r="B13" s="398">
        <v>51</v>
      </c>
      <c r="C13" s="398">
        <v>100</v>
      </c>
      <c r="D13" s="398">
        <v>200</v>
      </c>
      <c r="E13" s="398">
        <v>370</v>
      </c>
      <c r="F13" s="398">
        <v>492</v>
      </c>
      <c r="G13" s="398">
        <v>705</v>
      </c>
      <c r="H13" s="398">
        <v>672</v>
      </c>
      <c r="I13" s="398">
        <v>586</v>
      </c>
      <c r="J13" s="398">
        <v>422</v>
      </c>
      <c r="K13" s="398">
        <v>329</v>
      </c>
      <c r="L13" s="398">
        <v>252</v>
      </c>
      <c r="M13" s="398">
        <v>203</v>
      </c>
      <c r="N13" s="398">
        <v>149</v>
      </c>
      <c r="O13" s="398">
        <v>111</v>
      </c>
      <c r="P13" s="398">
        <v>71</v>
      </c>
      <c r="Q13" s="398" t="s">
        <v>612</v>
      </c>
      <c r="R13" s="398" t="s">
        <v>612</v>
      </c>
      <c r="T13" s="398">
        <v>4786</v>
      </c>
    </row>
    <row r="14" spans="1:20" ht="11.25" customHeight="1" x14ac:dyDescent="0.2">
      <c r="A14" s="397" t="s">
        <v>554</v>
      </c>
      <c r="B14" s="398" t="s">
        <v>612</v>
      </c>
      <c r="C14" s="398">
        <v>27</v>
      </c>
      <c r="D14" s="398">
        <v>62</v>
      </c>
      <c r="E14" s="398">
        <v>63</v>
      </c>
      <c r="F14" s="398">
        <v>123</v>
      </c>
      <c r="G14" s="398">
        <v>129</v>
      </c>
      <c r="H14" s="398">
        <v>117</v>
      </c>
      <c r="I14" s="398">
        <v>98</v>
      </c>
      <c r="J14" s="398">
        <v>76</v>
      </c>
      <c r="K14" s="398">
        <v>47</v>
      </c>
      <c r="L14" s="398">
        <v>35</v>
      </c>
      <c r="M14" s="398">
        <v>15</v>
      </c>
      <c r="N14" s="398">
        <v>13</v>
      </c>
      <c r="O14" s="398">
        <v>3</v>
      </c>
      <c r="P14" s="398">
        <v>0</v>
      </c>
      <c r="Q14" s="398">
        <v>3</v>
      </c>
      <c r="R14" s="398">
        <v>0</v>
      </c>
      <c r="T14" s="398">
        <v>816</v>
      </c>
    </row>
    <row r="15" spans="1:20" ht="11.25" customHeight="1" x14ac:dyDescent="0.2">
      <c r="A15" s="397" t="s">
        <v>555</v>
      </c>
      <c r="B15" s="398" t="s">
        <v>612</v>
      </c>
      <c r="C15" s="398" t="s">
        <v>612</v>
      </c>
      <c r="D15" s="398">
        <v>22</v>
      </c>
      <c r="E15" s="398">
        <v>40</v>
      </c>
      <c r="F15" s="398">
        <v>36</v>
      </c>
      <c r="G15" s="398">
        <v>45</v>
      </c>
      <c r="H15" s="398">
        <v>58</v>
      </c>
      <c r="I15" s="398">
        <v>55</v>
      </c>
      <c r="J15" s="398">
        <v>39</v>
      </c>
      <c r="K15" s="398">
        <v>23</v>
      </c>
      <c r="L15" s="398">
        <v>22</v>
      </c>
      <c r="M15" s="398">
        <v>19</v>
      </c>
      <c r="N15" s="398">
        <v>15</v>
      </c>
      <c r="O15" s="398">
        <v>12</v>
      </c>
      <c r="P15" s="398">
        <v>12</v>
      </c>
      <c r="Q15" s="398">
        <v>12</v>
      </c>
      <c r="R15" s="398">
        <v>27</v>
      </c>
      <c r="T15" s="398">
        <v>446</v>
      </c>
    </row>
    <row r="16" spans="1:20" ht="11.25" customHeight="1" x14ac:dyDescent="0.2">
      <c r="A16" s="397" t="s">
        <v>556</v>
      </c>
      <c r="B16" s="398">
        <v>9</v>
      </c>
      <c r="C16" s="398">
        <v>27</v>
      </c>
      <c r="D16" s="398">
        <v>22</v>
      </c>
      <c r="E16" s="398">
        <v>52</v>
      </c>
      <c r="F16" s="398">
        <v>52</v>
      </c>
      <c r="G16" s="398">
        <v>73</v>
      </c>
      <c r="H16" s="398">
        <v>72</v>
      </c>
      <c r="I16" s="398">
        <v>77</v>
      </c>
      <c r="J16" s="398">
        <v>85</v>
      </c>
      <c r="K16" s="398">
        <v>55</v>
      </c>
      <c r="L16" s="398">
        <v>45</v>
      </c>
      <c r="M16" s="398">
        <v>29</v>
      </c>
      <c r="N16" s="398">
        <v>18</v>
      </c>
      <c r="O16" s="398">
        <v>29</v>
      </c>
      <c r="P16" s="398">
        <v>17</v>
      </c>
      <c r="Q16" s="398">
        <v>26</v>
      </c>
      <c r="R16" s="398">
        <v>0</v>
      </c>
      <c r="T16" s="398">
        <v>688</v>
      </c>
    </row>
    <row r="17" spans="1:20" ht="11.25" customHeight="1" x14ac:dyDescent="0.2">
      <c r="A17" s="397" t="s">
        <v>560</v>
      </c>
      <c r="B17" s="398">
        <v>0</v>
      </c>
      <c r="C17" s="398">
        <v>0</v>
      </c>
      <c r="D17" s="398">
        <v>0</v>
      </c>
      <c r="E17" s="398" t="s">
        <v>612</v>
      </c>
      <c r="F17" s="398">
        <v>0</v>
      </c>
      <c r="G17" s="398">
        <v>0</v>
      </c>
      <c r="H17" s="398">
        <v>0</v>
      </c>
      <c r="I17" s="398" t="s">
        <v>612</v>
      </c>
      <c r="J17" s="398">
        <v>0</v>
      </c>
      <c r="K17" s="398">
        <v>0</v>
      </c>
      <c r="L17" s="398">
        <v>0</v>
      </c>
      <c r="M17" s="398">
        <v>0</v>
      </c>
      <c r="N17" s="398">
        <v>0</v>
      </c>
      <c r="O17" s="398">
        <v>0</v>
      </c>
      <c r="P17" s="398">
        <v>0</v>
      </c>
      <c r="Q17" s="398">
        <v>0</v>
      </c>
      <c r="R17" s="398">
        <v>0</v>
      </c>
      <c r="T17" s="398" t="s">
        <v>612</v>
      </c>
    </row>
    <row r="18" spans="1:20" ht="11.25" customHeight="1" x14ac:dyDescent="0.2">
      <c r="A18" s="397"/>
      <c r="B18" s="398"/>
      <c r="C18" s="398"/>
      <c r="D18" s="398"/>
      <c r="E18" s="398"/>
      <c r="F18" s="398"/>
      <c r="G18" s="398"/>
      <c r="H18" s="398"/>
      <c r="I18" s="398"/>
      <c r="J18" s="398"/>
      <c r="K18" s="398"/>
      <c r="L18" s="398"/>
      <c r="M18" s="398"/>
      <c r="N18" s="398"/>
      <c r="O18" s="398"/>
      <c r="P18" s="398"/>
      <c r="Q18" s="398"/>
      <c r="R18" s="398"/>
      <c r="T18" s="398"/>
    </row>
    <row r="19" spans="1:20" ht="11.25" customHeight="1" x14ac:dyDescent="0.2">
      <c r="A19" s="397" t="s">
        <v>691</v>
      </c>
      <c r="B19" s="398">
        <v>169</v>
      </c>
      <c r="C19" s="398">
        <v>383</v>
      </c>
      <c r="D19" s="398">
        <v>680</v>
      </c>
      <c r="E19" s="398">
        <v>1002</v>
      </c>
      <c r="F19" s="398">
        <v>1279</v>
      </c>
      <c r="G19" s="398">
        <v>1661</v>
      </c>
      <c r="H19" s="398">
        <v>1603</v>
      </c>
      <c r="I19" s="398">
        <v>1398</v>
      </c>
      <c r="J19" s="398">
        <v>1053</v>
      </c>
      <c r="K19" s="398">
        <v>796</v>
      </c>
      <c r="L19" s="398">
        <v>605</v>
      </c>
      <c r="M19" s="398">
        <v>459</v>
      </c>
      <c r="N19" s="398">
        <v>342</v>
      </c>
      <c r="O19" s="398">
        <v>271</v>
      </c>
      <c r="P19" s="398">
        <v>168</v>
      </c>
      <c r="Q19" s="398">
        <v>200</v>
      </c>
      <c r="R19" s="398">
        <v>40</v>
      </c>
      <c r="T19" s="398">
        <v>12109</v>
      </c>
    </row>
    <row r="20" spans="1:20" ht="11.25" customHeight="1" x14ac:dyDescent="0.2">
      <c r="A20" s="400"/>
      <c r="B20" s="401"/>
      <c r="C20" s="401"/>
      <c r="D20" s="401"/>
      <c r="E20" s="401"/>
      <c r="F20" s="401"/>
      <c r="G20" s="401"/>
      <c r="H20" s="401"/>
      <c r="I20" s="401"/>
      <c r="J20" s="401"/>
      <c r="K20" s="401"/>
      <c r="L20" s="401"/>
      <c r="M20" s="401"/>
      <c r="N20" s="401"/>
      <c r="O20" s="401"/>
      <c r="P20" s="401"/>
      <c r="Q20" s="401"/>
      <c r="R20" s="401"/>
      <c r="S20" s="401"/>
      <c r="T20" s="401"/>
    </row>
    <row r="21" spans="1:20" ht="11.25" customHeight="1" x14ac:dyDescent="0.2">
      <c r="A21" s="402"/>
      <c r="B21" s="403"/>
      <c r="C21" s="403"/>
      <c r="D21" s="403"/>
      <c r="E21" s="403"/>
      <c r="F21" s="403"/>
      <c r="G21" s="403"/>
      <c r="H21" s="403"/>
      <c r="I21" s="403"/>
      <c r="J21" s="403"/>
      <c r="K21" s="403"/>
      <c r="L21" s="403"/>
      <c r="M21" s="403"/>
      <c r="N21" s="403"/>
      <c r="O21" s="403"/>
      <c r="P21" s="403"/>
      <c r="Q21" s="140"/>
      <c r="R21" s="403"/>
      <c r="S21" s="140"/>
      <c r="T21" s="140" t="s">
        <v>393</v>
      </c>
    </row>
    <row r="22" spans="1:20" ht="11.25" customHeight="1" x14ac:dyDescent="0.2">
      <c r="A22" s="493" t="s">
        <v>692</v>
      </c>
      <c r="B22" s="493"/>
      <c r="C22" s="493"/>
      <c r="D22" s="493"/>
      <c r="E22" s="493"/>
      <c r="F22" s="493"/>
      <c r="G22" s="493"/>
      <c r="H22" s="493"/>
      <c r="I22" s="493"/>
      <c r="J22" s="493"/>
      <c r="K22" s="493"/>
      <c r="L22" s="493"/>
      <c r="M22" s="404"/>
    </row>
    <row r="23" spans="1:20" ht="11.25" customHeight="1" x14ac:dyDescent="0.2">
      <c r="A23" s="489" t="s">
        <v>693</v>
      </c>
      <c r="B23" s="489"/>
      <c r="C23" s="489"/>
      <c r="D23" s="489"/>
      <c r="E23" s="489"/>
      <c r="F23" s="489"/>
      <c r="G23" s="404"/>
    </row>
    <row r="24" spans="1:20" ht="11.25" customHeight="1" x14ac:dyDescent="0.2">
      <c r="A24" s="489" t="s">
        <v>656</v>
      </c>
      <c r="B24" s="489"/>
      <c r="C24" s="489"/>
      <c r="D24" s="489"/>
      <c r="E24" s="489"/>
      <c r="F24" s="489"/>
      <c r="G24" s="404"/>
    </row>
    <row r="25" spans="1:20" ht="11.25" customHeight="1" x14ac:dyDescent="0.2">
      <c r="A25" s="489" t="s">
        <v>657</v>
      </c>
      <c r="B25" s="489"/>
      <c r="C25" s="467"/>
      <c r="D25" s="467"/>
      <c r="E25" s="467"/>
    </row>
    <row r="27" spans="1:20" ht="12.75" x14ac:dyDescent="0.2">
      <c r="A27" s="474" t="s">
        <v>694</v>
      </c>
      <c r="B27" s="474"/>
      <c r="C27" s="475"/>
      <c r="D27" s="475"/>
      <c r="E27" s="475"/>
      <c r="F27" s="475"/>
      <c r="G27" s="475"/>
      <c r="H27" s="475"/>
      <c r="I27" s="475"/>
      <c r="J27" s="475"/>
    </row>
  </sheetData>
  <mergeCells count="10">
    <mergeCell ref="A23:F23"/>
    <mergeCell ref="A24:F24"/>
    <mergeCell ref="A25:E25"/>
    <mergeCell ref="A27:J27"/>
    <mergeCell ref="A1:T1"/>
    <mergeCell ref="A2:B2"/>
    <mergeCell ref="R4:T4"/>
    <mergeCell ref="B5:R5"/>
    <mergeCell ref="T5:T6"/>
    <mergeCell ref="A22:L22"/>
  </mergeCells>
  <pageMargins left="0.74803149606299213" right="0.74803149606299213" top="0.98425196850393704" bottom="0.98425196850393704" header="0.51181102362204722" footer="0.51181102362204722"/>
  <pageSetup paperSize="9" scale="9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80AC1-7C60-4671-8603-5E929E8ED808}">
  <sheetPr>
    <tabColor indexed="26"/>
  </sheetPr>
  <dimension ref="A1:L39"/>
  <sheetViews>
    <sheetView showGridLines="0" zoomScaleNormal="100" workbookViewId="0">
      <selection sqref="A1:L1"/>
    </sheetView>
  </sheetViews>
  <sheetFormatPr defaultRowHeight="12.75" x14ac:dyDescent="0.2"/>
  <cols>
    <col min="1" max="1" width="19" style="405" customWidth="1"/>
    <col min="2" max="11" width="6.7109375" style="405" customWidth="1"/>
    <col min="12" max="12" width="7" style="405" customWidth="1"/>
    <col min="13" max="256" width="11.42578125" style="405" customWidth="1"/>
    <col min="257" max="16384" width="9.140625" style="405"/>
  </cols>
  <sheetData>
    <row r="1" spans="1:12" ht="13.5" customHeight="1" x14ac:dyDescent="0.2">
      <c r="A1" s="495" t="s">
        <v>695</v>
      </c>
      <c r="B1" s="495"/>
      <c r="C1" s="495"/>
      <c r="D1" s="495"/>
      <c r="E1" s="495"/>
      <c r="F1" s="495"/>
      <c r="G1" s="495"/>
      <c r="H1" s="495"/>
      <c r="I1" s="495"/>
      <c r="J1" s="495"/>
      <c r="K1" s="495"/>
      <c r="L1" s="495"/>
    </row>
    <row r="2" spans="1:12" ht="13.5" customHeight="1" x14ac:dyDescent="0.2">
      <c r="A2" s="461" t="s">
        <v>592</v>
      </c>
      <c r="B2" s="461"/>
      <c r="C2" s="406"/>
      <c r="D2" s="406"/>
      <c r="E2" s="406"/>
      <c r="F2" s="406"/>
      <c r="G2" s="406"/>
      <c r="H2" s="406"/>
      <c r="I2" s="406"/>
      <c r="J2" s="406"/>
      <c r="K2" s="406"/>
      <c r="L2" s="406"/>
    </row>
    <row r="3" spans="1:12" ht="12.75" customHeight="1" x14ac:dyDescent="0.2">
      <c r="A3" s="1" t="s">
        <v>9</v>
      </c>
      <c r="B3" s="407"/>
      <c r="C3" s="407"/>
      <c r="D3" s="407"/>
      <c r="E3" s="407"/>
      <c r="F3" s="407"/>
      <c r="G3" s="407"/>
      <c r="H3" s="407"/>
      <c r="I3" s="407"/>
      <c r="J3" s="407"/>
      <c r="K3" s="407"/>
      <c r="L3" s="407"/>
    </row>
    <row r="4" spans="1:12" ht="11.25" customHeight="1" x14ac:dyDescent="0.2">
      <c r="A4" s="408"/>
      <c r="B4" s="407"/>
      <c r="C4" s="407"/>
      <c r="D4" s="407"/>
      <c r="E4" s="407"/>
      <c r="F4" s="407"/>
      <c r="G4" s="407"/>
      <c r="H4" s="407"/>
      <c r="I4" s="407"/>
      <c r="J4" s="407"/>
      <c r="K4" s="407"/>
      <c r="L4" s="409" t="s">
        <v>670</v>
      </c>
    </row>
    <row r="5" spans="1:12" ht="11.25" customHeight="1" x14ac:dyDescent="0.2">
      <c r="A5" s="410"/>
      <c r="B5" s="496" t="s">
        <v>637</v>
      </c>
      <c r="C5" s="496"/>
      <c r="D5" s="496"/>
      <c r="E5" s="496"/>
      <c r="F5" s="496"/>
      <c r="G5" s="496"/>
      <c r="H5" s="496"/>
      <c r="I5" s="496"/>
      <c r="J5" s="496"/>
      <c r="K5" s="496"/>
      <c r="L5" s="497" t="s">
        <v>671</v>
      </c>
    </row>
    <row r="6" spans="1:12" ht="12" customHeight="1" x14ac:dyDescent="0.2">
      <c r="A6" s="411"/>
      <c r="B6" s="412" t="s">
        <v>639</v>
      </c>
      <c r="C6" s="413" t="s">
        <v>640</v>
      </c>
      <c r="D6" s="413" t="s">
        <v>641</v>
      </c>
      <c r="E6" s="413" t="s">
        <v>642</v>
      </c>
      <c r="F6" s="413" t="s">
        <v>643</v>
      </c>
      <c r="G6" s="413" t="s">
        <v>644</v>
      </c>
      <c r="H6" s="413" t="s">
        <v>645</v>
      </c>
      <c r="I6" s="413" t="s">
        <v>646</v>
      </c>
      <c r="J6" s="413" t="s">
        <v>696</v>
      </c>
      <c r="K6" s="413" t="s">
        <v>697</v>
      </c>
      <c r="L6" s="498"/>
    </row>
    <row r="7" spans="1:12" ht="11.25" customHeight="1" x14ac:dyDescent="0.2">
      <c r="A7" s="374"/>
      <c r="B7" s="407"/>
      <c r="C7" s="407"/>
      <c r="D7" s="407"/>
      <c r="E7" s="407"/>
      <c r="F7" s="407"/>
      <c r="G7" s="407"/>
      <c r="H7" s="407"/>
      <c r="I7" s="407"/>
      <c r="J7" s="407"/>
      <c r="K7" s="407"/>
      <c r="L7" s="407"/>
    </row>
    <row r="8" spans="1:12" ht="11.25" customHeight="1" x14ac:dyDescent="0.2">
      <c r="A8" s="374" t="s">
        <v>698</v>
      </c>
      <c r="B8" s="384">
        <v>14</v>
      </c>
      <c r="C8" s="384">
        <v>31</v>
      </c>
      <c r="D8" s="384" t="s">
        <v>612</v>
      </c>
      <c r="E8" s="384">
        <v>17</v>
      </c>
      <c r="F8" s="384">
        <v>15</v>
      </c>
      <c r="G8" s="384">
        <v>6</v>
      </c>
      <c r="H8" s="384" t="s">
        <v>612</v>
      </c>
      <c r="I8" s="384">
        <v>0</v>
      </c>
      <c r="J8" s="384">
        <v>0</v>
      </c>
      <c r="K8" s="384">
        <v>0</v>
      </c>
      <c r="L8" s="384">
        <v>114</v>
      </c>
    </row>
    <row r="9" spans="1:12" ht="11.25" customHeight="1" x14ac:dyDescent="0.2">
      <c r="A9" s="374" t="s">
        <v>546</v>
      </c>
      <c r="B9" s="384">
        <v>47</v>
      </c>
      <c r="C9" s="384">
        <v>93</v>
      </c>
      <c r="D9" s="384">
        <v>355</v>
      </c>
      <c r="E9" s="384">
        <v>625</v>
      </c>
      <c r="F9" s="384">
        <v>636</v>
      </c>
      <c r="G9" s="384">
        <v>566</v>
      </c>
      <c r="H9" s="384">
        <v>442</v>
      </c>
      <c r="I9" s="384">
        <v>158</v>
      </c>
      <c r="J9" s="384">
        <v>106</v>
      </c>
      <c r="K9" s="384">
        <v>136</v>
      </c>
      <c r="L9" s="384">
        <v>3164</v>
      </c>
    </row>
    <row r="10" spans="1:12" ht="11.25" customHeight="1" x14ac:dyDescent="0.2">
      <c r="A10" s="374" t="s">
        <v>521</v>
      </c>
      <c r="B10" s="384">
        <v>18</v>
      </c>
      <c r="C10" s="384">
        <v>76</v>
      </c>
      <c r="D10" s="384">
        <v>106</v>
      </c>
      <c r="E10" s="384">
        <v>144</v>
      </c>
      <c r="F10" s="384">
        <v>118</v>
      </c>
      <c r="G10" s="384">
        <v>111</v>
      </c>
      <c r="H10" s="384">
        <v>81</v>
      </c>
      <c r="I10" s="384">
        <v>62</v>
      </c>
      <c r="J10" s="384">
        <v>23</v>
      </c>
      <c r="K10" s="384">
        <v>14</v>
      </c>
      <c r="L10" s="384">
        <v>753</v>
      </c>
    </row>
    <row r="11" spans="1:12" ht="11.25" customHeight="1" x14ac:dyDescent="0.2">
      <c r="A11" s="374" t="s">
        <v>699</v>
      </c>
      <c r="B11" s="384">
        <v>1525</v>
      </c>
      <c r="C11" s="384">
        <v>5816</v>
      </c>
      <c r="D11" s="384">
        <v>10024</v>
      </c>
      <c r="E11" s="384">
        <v>11328</v>
      </c>
      <c r="F11" s="384">
        <v>9126</v>
      </c>
      <c r="G11" s="384">
        <v>5600</v>
      </c>
      <c r="H11" s="384">
        <v>3189</v>
      </c>
      <c r="I11" s="384">
        <v>1658</v>
      </c>
      <c r="J11" s="384">
        <v>1017</v>
      </c>
      <c r="K11" s="384">
        <v>229</v>
      </c>
      <c r="L11" s="384">
        <v>49512</v>
      </c>
    </row>
    <row r="12" spans="1:12" ht="11.25" customHeight="1" x14ac:dyDescent="0.2">
      <c r="A12" s="374" t="s">
        <v>540</v>
      </c>
      <c r="B12" s="384">
        <v>22</v>
      </c>
      <c r="C12" s="384">
        <v>57</v>
      </c>
      <c r="D12" s="384">
        <v>94</v>
      </c>
      <c r="E12" s="384">
        <v>93</v>
      </c>
      <c r="F12" s="384">
        <v>97</v>
      </c>
      <c r="G12" s="384">
        <v>58</v>
      </c>
      <c r="H12" s="384">
        <v>31</v>
      </c>
      <c r="I12" s="384" t="s">
        <v>612</v>
      </c>
      <c r="J12" s="384" t="s">
        <v>612</v>
      </c>
      <c r="K12" s="384" t="s">
        <v>612</v>
      </c>
      <c r="L12" s="384">
        <v>484</v>
      </c>
    </row>
    <row r="13" spans="1:12" ht="11.25" customHeight="1" x14ac:dyDescent="0.2">
      <c r="A13" s="374" t="s">
        <v>541</v>
      </c>
      <c r="B13" s="384">
        <v>21</v>
      </c>
      <c r="C13" s="384">
        <v>25</v>
      </c>
      <c r="D13" s="384">
        <v>10</v>
      </c>
      <c r="E13" s="384">
        <v>16</v>
      </c>
      <c r="F13" s="384" t="s">
        <v>612</v>
      </c>
      <c r="G13" s="384">
        <v>7</v>
      </c>
      <c r="H13" s="384">
        <v>3</v>
      </c>
      <c r="I13" s="384" t="s">
        <v>612</v>
      </c>
      <c r="J13" s="384">
        <v>0</v>
      </c>
      <c r="K13" s="384" t="s">
        <v>612</v>
      </c>
      <c r="L13" s="384">
        <v>100</v>
      </c>
    </row>
    <row r="14" spans="1:12" ht="11.25" customHeight="1" x14ac:dyDescent="0.2">
      <c r="A14" s="374" t="s">
        <v>700</v>
      </c>
      <c r="B14" s="384">
        <v>51</v>
      </c>
      <c r="C14" s="384">
        <v>244</v>
      </c>
      <c r="D14" s="384">
        <v>686</v>
      </c>
      <c r="E14" s="384">
        <v>1011</v>
      </c>
      <c r="F14" s="384">
        <v>945</v>
      </c>
      <c r="G14" s="384">
        <v>792</v>
      </c>
      <c r="H14" s="384">
        <v>503</v>
      </c>
      <c r="I14" s="384">
        <v>267</v>
      </c>
      <c r="J14" s="384">
        <v>156</v>
      </c>
      <c r="K14" s="384">
        <v>66</v>
      </c>
      <c r="L14" s="384">
        <v>4721</v>
      </c>
    </row>
    <row r="15" spans="1:12" ht="11.25" customHeight="1" x14ac:dyDescent="0.2">
      <c r="A15" s="374" t="s">
        <v>527</v>
      </c>
      <c r="B15" s="384">
        <v>64</v>
      </c>
      <c r="C15" s="384">
        <v>160</v>
      </c>
      <c r="D15" s="384">
        <v>339</v>
      </c>
      <c r="E15" s="384">
        <v>378</v>
      </c>
      <c r="F15" s="384">
        <v>209</v>
      </c>
      <c r="G15" s="384">
        <v>129</v>
      </c>
      <c r="H15" s="384">
        <v>84</v>
      </c>
      <c r="I15" s="384">
        <v>72</v>
      </c>
      <c r="J15" s="384">
        <v>162</v>
      </c>
      <c r="K15" s="384">
        <v>24</v>
      </c>
      <c r="L15" s="384">
        <v>1621</v>
      </c>
    </row>
    <row r="16" spans="1:12" ht="11.25" customHeight="1" x14ac:dyDescent="0.2">
      <c r="A16" s="374" t="s">
        <v>551</v>
      </c>
      <c r="B16" s="384">
        <v>0</v>
      </c>
      <c r="C16" s="384">
        <v>0</v>
      </c>
      <c r="D16" s="384">
        <v>0</v>
      </c>
      <c r="E16" s="384">
        <v>3</v>
      </c>
      <c r="F16" s="384">
        <v>26</v>
      </c>
      <c r="G16" s="384">
        <v>16</v>
      </c>
      <c r="H16" s="384">
        <v>7</v>
      </c>
      <c r="I16" s="384">
        <v>0</v>
      </c>
      <c r="J16" s="384">
        <v>0</v>
      </c>
      <c r="K16" s="384">
        <v>0</v>
      </c>
      <c r="L16" s="384">
        <v>52</v>
      </c>
    </row>
    <row r="17" spans="1:12" ht="11.25" customHeight="1" x14ac:dyDescent="0.2">
      <c r="A17" s="374" t="s">
        <v>532</v>
      </c>
      <c r="B17" s="384">
        <v>6</v>
      </c>
      <c r="C17" s="384">
        <v>21</v>
      </c>
      <c r="D17" s="384">
        <v>78</v>
      </c>
      <c r="E17" s="384">
        <v>342</v>
      </c>
      <c r="F17" s="384">
        <v>544</v>
      </c>
      <c r="G17" s="384">
        <v>549</v>
      </c>
      <c r="H17" s="384">
        <v>358</v>
      </c>
      <c r="I17" s="384">
        <v>215</v>
      </c>
      <c r="J17" s="384">
        <v>76</v>
      </c>
      <c r="K17" s="384">
        <v>24</v>
      </c>
      <c r="L17" s="384">
        <v>2213</v>
      </c>
    </row>
    <row r="18" spans="1:12" ht="11.25" customHeight="1" x14ac:dyDescent="0.2">
      <c r="A18" s="374" t="s">
        <v>524</v>
      </c>
      <c r="B18" s="384">
        <v>11</v>
      </c>
      <c r="C18" s="384">
        <v>52</v>
      </c>
      <c r="D18" s="384">
        <v>89</v>
      </c>
      <c r="E18" s="384">
        <v>133</v>
      </c>
      <c r="F18" s="384">
        <v>166</v>
      </c>
      <c r="G18" s="384">
        <v>151</v>
      </c>
      <c r="H18" s="384">
        <v>97</v>
      </c>
      <c r="I18" s="384">
        <v>81</v>
      </c>
      <c r="J18" s="384">
        <v>50</v>
      </c>
      <c r="K18" s="384">
        <v>24</v>
      </c>
      <c r="L18" s="384">
        <v>854</v>
      </c>
    </row>
    <row r="19" spans="1:12" ht="11.25" customHeight="1" x14ac:dyDescent="0.2">
      <c r="A19" s="374" t="s">
        <v>533</v>
      </c>
      <c r="B19" s="384" t="s">
        <v>612</v>
      </c>
      <c r="C19" s="384" t="s">
        <v>612</v>
      </c>
      <c r="D19" s="384">
        <v>32</v>
      </c>
      <c r="E19" s="384">
        <v>126</v>
      </c>
      <c r="F19" s="384">
        <v>168</v>
      </c>
      <c r="G19" s="384">
        <v>165</v>
      </c>
      <c r="H19" s="384">
        <v>130</v>
      </c>
      <c r="I19" s="384">
        <v>76</v>
      </c>
      <c r="J19" s="384">
        <v>45</v>
      </c>
      <c r="K19" s="384">
        <v>6</v>
      </c>
      <c r="L19" s="384">
        <v>765</v>
      </c>
    </row>
    <row r="20" spans="1:12" ht="11.25" customHeight="1" x14ac:dyDescent="0.2">
      <c r="A20" s="374" t="s">
        <v>525</v>
      </c>
      <c r="B20" s="384">
        <v>9</v>
      </c>
      <c r="C20" s="384">
        <v>39</v>
      </c>
      <c r="D20" s="384">
        <v>72</v>
      </c>
      <c r="E20" s="384">
        <v>105</v>
      </c>
      <c r="F20" s="384">
        <v>121</v>
      </c>
      <c r="G20" s="384">
        <v>120</v>
      </c>
      <c r="H20" s="384">
        <v>125</v>
      </c>
      <c r="I20" s="384">
        <v>100</v>
      </c>
      <c r="J20" s="384">
        <v>109</v>
      </c>
      <c r="K20" s="384">
        <v>20</v>
      </c>
      <c r="L20" s="384">
        <v>820</v>
      </c>
    </row>
    <row r="21" spans="1:12" ht="11.25" customHeight="1" x14ac:dyDescent="0.2">
      <c r="A21" s="374" t="s">
        <v>701</v>
      </c>
      <c r="B21" s="384">
        <v>581</v>
      </c>
      <c r="C21" s="384">
        <v>1987</v>
      </c>
      <c r="D21" s="384">
        <v>2736</v>
      </c>
      <c r="E21" s="384">
        <v>2078</v>
      </c>
      <c r="F21" s="384">
        <v>1250</v>
      </c>
      <c r="G21" s="384">
        <v>806</v>
      </c>
      <c r="H21" s="384">
        <v>579</v>
      </c>
      <c r="I21" s="384">
        <v>330</v>
      </c>
      <c r="J21" s="384">
        <v>267</v>
      </c>
      <c r="K21" s="384">
        <v>70</v>
      </c>
      <c r="L21" s="384">
        <v>10684</v>
      </c>
    </row>
    <row r="22" spans="1:12" ht="11.25" customHeight="1" x14ac:dyDescent="0.2">
      <c r="A22" s="374" t="s">
        <v>534</v>
      </c>
      <c r="B22" s="384">
        <v>10</v>
      </c>
      <c r="C22" s="384">
        <v>11</v>
      </c>
      <c r="D22" s="384">
        <v>10</v>
      </c>
      <c r="E22" s="384" t="s">
        <v>612</v>
      </c>
      <c r="F22" s="384">
        <v>15</v>
      </c>
      <c r="G22" s="384" t="s">
        <v>612</v>
      </c>
      <c r="H22" s="384" t="s">
        <v>612</v>
      </c>
      <c r="I22" s="384">
        <v>3</v>
      </c>
      <c r="J22" s="384">
        <v>0</v>
      </c>
      <c r="K22" s="384">
        <v>0</v>
      </c>
      <c r="L22" s="384">
        <v>70</v>
      </c>
    </row>
    <row r="23" spans="1:12" ht="11.25" customHeight="1" x14ac:dyDescent="0.2">
      <c r="A23" s="374" t="s">
        <v>542</v>
      </c>
      <c r="B23" s="384">
        <v>20</v>
      </c>
      <c r="C23" s="384">
        <v>23</v>
      </c>
      <c r="D23" s="384">
        <v>30</v>
      </c>
      <c r="E23" s="384">
        <v>23</v>
      </c>
      <c r="F23" s="384">
        <v>18</v>
      </c>
      <c r="G23" s="384">
        <v>16</v>
      </c>
      <c r="H23" s="384" t="s">
        <v>612</v>
      </c>
      <c r="I23" s="384">
        <v>0</v>
      </c>
      <c r="J23" s="384" t="s">
        <v>612</v>
      </c>
      <c r="K23" s="384">
        <v>0</v>
      </c>
      <c r="L23" s="384">
        <v>138</v>
      </c>
    </row>
    <row r="24" spans="1:12" ht="11.25" customHeight="1" x14ac:dyDescent="0.2">
      <c r="A24" s="374" t="s">
        <v>557</v>
      </c>
      <c r="B24" s="384" t="s">
        <v>612</v>
      </c>
      <c r="C24" s="384" t="s">
        <v>612</v>
      </c>
      <c r="D24" s="384" t="s">
        <v>612</v>
      </c>
      <c r="E24" s="384" t="s">
        <v>612</v>
      </c>
      <c r="F24" s="384" t="s">
        <v>612</v>
      </c>
      <c r="G24" s="384" t="s">
        <v>612</v>
      </c>
      <c r="H24" s="384" t="s">
        <v>612</v>
      </c>
      <c r="I24" s="384" t="s">
        <v>612</v>
      </c>
      <c r="J24" s="384" t="s">
        <v>612</v>
      </c>
      <c r="K24" s="384" t="s">
        <v>612</v>
      </c>
      <c r="L24" s="384" t="s">
        <v>612</v>
      </c>
    </row>
    <row r="25" spans="1:12" ht="11.25" customHeight="1" x14ac:dyDescent="0.2">
      <c r="A25" s="374" t="s">
        <v>538</v>
      </c>
      <c r="B25" s="384">
        <v>160</v>
      </c>
      <c r="C25" s="384">
        <v>167</v>
      </c>
      <c r="D25" s="384">
        <v>169</v>
      </c>
      <c r="E25" s="384">
        <v>173</v>
      </c>
      <c r="F25" s="384">
        <v>129</v>
      </c>
      <c r="G25" s="384">
        <v>92</v>
      </c>
      <c r="H25" s="384">
        <v>58</v>
      </c>
      <c r="I25" s="384">
        <v>31</v>
      </c>
      <c r="J25" s="384">
        <v>39</v>
      </c>
      <c r="K25" s="384">
        <v>26</v>
      </c>
      <c r="L25" s="384">
        <v>1044</v>
      </c>
    </row>
    <row r="26" spans="1:12" ht="11.25" customHeight="1" x14ac:dyDescent="0.2">
      <c r="A26" s="374" t="s">
        <v>561</v>
      </c>
      <c r="B26" s="384">
        <v>405</v>
      </c>
      <c r="C26" s="384">
        <v>1054</v>
      </c>
      <c r="D26" s="384">
        <v>1968</v>
      </c>
      <c r="E26" s="384">
        <v>2973</v>
      </c>
      <c r="F26" s="384">
        <v>2798</v>
      </c>
      <c r="G26" s="384">
        <v>1911</v>
      </c>
      <c r="H26" s="384">
        <v>1046</v>
      </c>
      <c r="I26" s="384">
        <v>336</v>
      </c>
      <c r="J26" s="384">
        <v>134</v>
      </c>
      <c r="K26" s="384">
        <v>97</v>
      </c>
      <c r="L26" s="384">
        <v>12722</v>
      </c>
    </row>
    <row r="27" spans="1:12" ht="11.25" customHeight="1" x14ac:dyDescent="0.2">
      <c r="A27" s="374" t="s">
        <v>702</v>
      </c>
      <c r="B27" s="384">
        <v>11</v>
      </c>
      <c r="C27" s="384">
        <v>65</v>
      </c>
      <c r="D27" s="384">
        <v>114</v>
      </c>
      <c r="E27" s="384">
        <v>87</v>
      </c>
      <c r="F27" s="384">
        <v>50</v>
      </c>
      <c r="G27" s="384">
        <v>43</v>
      </c>
      <c r="H27" s="384">
        <v>39</v>
      </c>
      <c r="I27" s="384">
        <v>21</v>
      </c>
      <c r="J27" s="384">
        <v>25</v>
      </c>
      <c r="K27" s="384">
        <v>27</v>
      </c>
      <c r="L27" s="384">
        <v>482</v>
      </c>
    </row>
    <row r="28" spans="1:12" ht="11.25" customHeight="1" x14ac:dyDescent="0.2">
      <c r="A28" s="374" t="s">
        <v>703</v>
      </c>
      <c r="B28" s="384">
        <v>8867</v>
      </c>
      <c r="C28" s="384">
        <v>16280</v>
      </c>
      <c r="D28" s="384">
        <v>25068</v>
      </c>
      <c r="E28" s="384">
        <v>28745</v>
      </c>
      <c r="F28" s="384">
        <v>23713</v>
      </c>
      <c r="G28" s="384">
        <v>19724</v>
      </c>
      <c r="H28" s="384">
        <v>14292</v>
      </c>
      <c r="I28" s="384">
        <v>10046</v>
      </c>
      <c r="J28" s="384">
        <v>8298</v>
      </c>
      <c r="K28" s="384">
        <v>2999</v>
      </c>
      <c r="L28" s="384">
        <v>158032</v>
      </c>
    </row>
    <row r="29" spans="1:12" ht="11.25" customHeight="1" x14ac:dyDescent="0.2">
      <c r="A29" s="374" t="s">
        <v>704</v>
      </c>
      <c r="B29" s="384">
        <v>28</v>
      </c>
      <c r="C29" s="384">
        <v>45</v>
      </c>
      <c r="D29" s="384">
        <v>89</v>
      </c>
      <c r="E29" s="384">
        <v>164</v>
      </c>
      <c r="F29" s="384">
        <v>94</v>
      </c>
      <c r="G29" s="384">
        <v>62</v>
      </c>
      <c r="H29" s="384">
        <v>56</v>
      </c>
      <c r="I29" s="384">
        <v>41</v>
      </c>
      <c r="J29" s="384">
        <v>25</v>
      </c>
      <c r="K29" s="384">
        <v>52</v>
      </c>
      <c r="L29" s="384">
        <v>656</v>
      </c>
    </row>
    <row r="30" spans="1:12" ht="11.25" customHeight="1" x14ac:dyDescent="0.2">
      <c r="A30" s="374" t="s">
        <v>536</v>
      </c>
      <c r="B30" s="384">
        <v>11</v>
      </c>
      <c r="C30" s="384">
        <v>15</v>
      </c>
      <c r="D30" s="384">
        <v>33</v>
      </c>
      <c r="E30" s="384">
        <v>130</v>
      </c>
      <c r="F30" s="384">
        <v>197</v>
      </c>
      <c r="G30" s="384">
        <v>162</v>
      </c>
      <c r="H30" s="384">
        <v>114</v>
      </c>
      <c r="I30" s="384">
        <v>62</v>
      </c>
      <c r="J30" s="384">
        <v>28</v>
      </c>
      <c r="K30" s="384">
        <v>17</v>
      </c>
      <c r="L30" s="384">
        <v>769</v>
      </c>
    </row>
    <row r="31" spans="1:12" ht="11.25" customHeight="1" x14ac:dyDescent="0.2">
      <c r="A31" s="374"/>
      <c r="B31" s="384"/>
      <c r="C31" s="384"/>
      <c r="D31" s="384"/>
      <c r="E31" s="384"/>
      <c r="F31" s="384"/>
      <c r="G31" s="384"/>
      <c r="H31" s="384"/>
      <c r="I31" s="384"/>
      <c r="J31" s="384"/>
      <c r="K31" s="384"/>
      <c r="L31" s="384"/>
    </row>
    <row r="32" spans="1:12" ht="11.25" customHeight="1" x14ac:dyDescent="0.2">
      <c r="A32" s="374" t="s">
        <v>653</v>
      </c>
      <c r="B32" s="384">
        <v>11887</v>
      </c>
      <c r="C32" s="384">
        <v>26272</v>
      </c>
      <c r="D32" s="384">
        <v>42129</v>
      </c>
      <c r="E32" s="384">
        <v>48705</v>
      </c>
      <c r="F32" s="384">
        <v>40448</v>
      </c>
      <c r="G32" s="384">
        <v>31095</v>
      </c>
      <c r="H32" s="384">
        <v>21247</v>
      </c>
      <c r="I32" s="384">
        <v>13575</v>
      </c>
      <c r="J32" s="384">
        <v>10578</v>
      </c>
      <c r="K32" s="384">
        <v>3835</v>
      </c>
      <c r="L32" s="384">
        <v>249771</v>
      </c>
    </row>
    <row r="33" spans="1:12" ht="11.25" customHeight="1" x14ac:dyDescent="0.2">
      <c r="A33" s="414"/>
      <c r="B33" s="415"/>
      <c r="C33" s="415"/>
      <c r="D33" s="415"/>
      <c r="E33" s="415"/>
      <c r="F33" s="415"/>
      <c r="G33" s="415"/>
      <c r="H33" s="415"/>
      <c r="I33" s="415"/>
      <c r="J33" s="415"/>
      <c r="K33" s="415"/>
      <c r="L33" s="415"/>
    </row>
    <row r="34" spans="1:12" ht="11.25" customHeight="1" x14ac:dyDescent="0.2">
      <c r="A34" s="416"/>
      <c r="B34" s="417"/>
      <c r="C34" s="417"/>
      <c r="D34" s="417"/>
      <c r="E34" s="417"/>
      <c r="F34" s="417"/>
      <c r="G34" s="417"/>
      <c r="H34" s="417"/>
      <c r="I34" s="417"/>
      <c r="J34" s="417"/>
      <c r="K34" s="417"/>
      <c r="L34" s="140" t="s">
        <v>393</v>
      </c>
    </row>
    <row r="35" spans="1:12" ht="11.25" customHeight="1" x14ac:dyDescent="0.2">
      <c r="A35" s="499" t="s">
        <v>692</v>
      </c>
      <c r="B35" s="475"/>
      <c r="C35" s="475"/>
      <c r="D35" s="475"/>
      <c r="E35" s="475"/>
      <c r="F35" s="475"/>
      <c r="G35" s="475"/>
      <c r="H35" s="475"/>
      <c r="I35" s="475"/>
      <c r="J35" s="475"/>
      <c r="K35" s="475"/>
      <c r="L35" s="475"/>
    </row>
    <row r="36" spans="1:12" s="5" customFormat="1" ht="11.25" customHeight="1" x14ac:dyDescent="0.2">
      <c r="A36" s="494" t="s">
        <v>705</v>
      </c>
      <c r="B36" s="494"/>
      <c r="C36" s="494"/>
      <c r="D36" s="494"/>
      <c r="E36" s="494"/>
      <c r="F36" s="467"/>
    </row>
    <row r="37" spans="1:12" s="5" customFormat="1" ht="11.25" customHeight="1" x14ac:dyDescent="0.2">
      <c r="A37" s="494" t="s">
        <v>706</v>
      </c>
      <c r="B37" s="494"/>
      <c r="C37" s="494"/>
      <c r="D37" s="494"/>
      <c r="E37" s="467"/>
      <c r="F37" s="467"/>
      <c r="G37" s="467"/>
    </row>
    <row r="38" spans="1:12" s="5" customFormat="1" ht="11.25" customHeight="1" x14ac:dyDescent="0.2">
      <c r="A38" s="418"/>
      <c r="B38" s="418"/>
      <c r="C38" s="418"/>
      <c r="D38" s="418"/>
    </row>
    <row r="39" spans="1:12" ht="11.25" customHeight="1" x14ac:dyDescent="0.2">
      <c r="A39" s="474" t="s">
        <v>694</v>
      </c>
      <c r="B39" s="474"/>
      <c r="C39" s="474"/>
      <c r="D39" s="474"/>
      <c r="E39" s="475"/>
      <c r="F39" s="475"/>
      <c r="G39" s="475"/>
      <c r="H39" s="475"/>
      <c r="I39" s="475"/>
      <c r="J39" s="475"/>
      <c r="K39" s="475"/>
      <c r="L39" s="475"/>
    </row>
  </sheetData>
  <mergeCells count="8">
    <mergeCell ref="A37:G37"/>
    <mergeCell ref="A39:L39"/>
    <mergeCell ref="A1:L1"/>
    <mergeCell ref="A2:B2"/>
    <mergeCell ref="B5:K5"/>
    <mergeCell ref="L5:L6"/>
    <mergeCell ref="A35:L35"/>
    <mergeCell ref="A36:F36"/>
  </mergeCells>
  <pageMargins left="0.74803149606299213" right="0.74803149606299213" top="0.98425196850393704" bottom="0.98425196850393704" header="0.51181102362204722" footer="0.51181102362204722"/>
  <pageSetup paperSize="9" scale="9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18B7-CC2B-4868-8419-75EB91FB6480}">
  <sheetPr>
    <tabColor indexed="26"/>
  </sheetPr>
  <dimension ref="A1:J30"/>
  <sheetViews>
    <sheetView showGridLines="0" zoomScaleNormal="100" workbookViewId="0">
      <selection sqref="A1:I1"/>
    </sheetView>
  </sheetViews>
  <sheetFormatPr defaultRowHeight="12.75" x14ac:dyDescent="0.2"/>
  <cols>
    <col min="1" max="1" width="29.7109375" style="419" customWidth="1"/>
    <col min="2" max="2" width="2.28515625" style="419" customWidth="1"/>
    <col min="3" max="3" width="9.42578125" style="419" customWidth="1"/>
    <col min="4" max="4" width="2.42578125" style="419" customWidth="1"/>
    <col min="5" max="5" width="9.42578125" style="419" customWidth="1"/>
    <col min="6" max="6" width="2.85546875" style="419" customWidth="1"/>
    <col min="7" max="7" width="9.42578125" style="419" customWidth="1"/>
    <col min="8" max="8" width="4.28515625" style="419" customWidth="1"/>
    <col min="9" max="9" width="9.42578125" style="419" customWidth="1"/>
    <col min="10" max="256" width="11.42578125" style="419" customWidth="1"/>
    <col min="257" max="16384" width="9.140625" style="419"/>
  </cols>
  <sheetData>
    <row r="1" spans="1:10" ht="26.25" customHeight="1" x14ac:dyDescent="0.2">
      <c r="A1" s="500" t="s">
        <v>707</v>
      </c>
      <c r="B1" s="500"/>
      <c r="C1" s="500"/>
      <c r="D1" s="500"/>
      <c r="E1" s="500"/>
      <c r="F1" s="500"/>
      <c r="G1" s="500"/>
      <c r="H1" s="500"/>
      <c r="I1" s="500"/>
    </row>
    <row r="2" spans="1:10" ht="13.5" customHeight="1" x14ac:dyDescent="0.2">
      <c r="A2" s="461" t="s">
        <v>394</v>
      </c>
      <c r="B2" s="461"/>
      <c r="C2" s="420"/>
      <c r="D2" s="420"/>
      <c r="E2" s="420"/>
      <c r="F2" s="420"/>
      <c r="G2" s="421"/>
      <c r="H2" s="421"/>
      <c r="I2" s="421"/>
    </row>
    <row r="3" spans="1:10" ht="12.75" customHeight="1" x14ac:dyDescent="0.2">
      <c r="A3" s="1" t="s">
        <v>9</v>
      </c>
      <c r="B3" s="407"/>
      <c r="C3" s="420"/>
      <c r="D3" s="420"/>
      <c r="E3" s="420"/>
      <c r="F3" s="420"/>
      <c r="G3" s="421"/>
      <c r="H3" s="421"/>
      <c r="I3" s="421"/>
    </row>
    <row r="4" spans="1:10" ht="11.25" customHeight="1" x14ac:dyDescent="0.2">
      <c r="A4" s="414"/>
      <c r="B4" s="422"/>
      <c r="C4" s="422"/>
      <c r="D4" s="422"/>
      <c r="E4" s="422"/>
      <c r="F4" s="422"/>
      <c r="G4" s="501" t="s">
        <v>670</v>
      </c>
      <c r="H4" s="501"/>
      <c r="I4" s="501"/>
    </row>
    <row r="5" spans="1:10" x14ac:dyDescent="0.2">
      <c r="A5" s="424" t="s">
        <v>708</v>
      </c>
      <c r="B5" s="425"/>
      <c r="C5" s="426" t="s">
        <v>709</v>
      </c>
      <c r="D5" s="427"/>
      <c r="E5" s="426" t="s">
        <v>710</v>
      </c>
      <c r="F5" s="427"/>
      <c r="G5" s="426" t="s">
        <v>711</v>
      </c>
      <c r="H5" s="427"/>
      <c r="I5" s="426" t="s">
        <v>712</v>
      </c>
    </row>
    <row r="6" spans="1:10" ht="11.25" customHeight="1" x14ac:dyDescent="0.2">
      <c r="A6" s="374"/>
      <c r="B6" s="407"/>
      <c r="C6" s="407"/>
      <c r="D6" s="407"/>
      <c r="E6" s="407"/>
      <c r="F6" s="407"/>
      <c r="G6" s="407"/>
      <c r="H6" s="407"/>
      <c r="I6" s="407"/>
    </row>
    <row r="7" spans="1:10" ht="11.25" customHeight="1" x14ac:dyDescent="0.2">
      <c r="A7" s="428" t="s">
        <v>713</v>
      </c>
      <c r="B7" s="429"/>
      <c r="C7" s="430">
        <v>74532</v>
      </c>
      <c r="D7" s="430"/>
      <c r="E7" s="430" t="s">
        <v>714</v>
      </c>
      <c r="F7" s="430"/>
      <c r="G7" s="430" t="s">
        <v>714</v>
      </c>
      <c r="H7" s="430"/>
      <c r="I7" s="430" t="s">
        <v>714</v>
      </c>
      <c r="J7" s="431"/>
    </row>
    <row r="8" spans="1:10" ht="11.25" customHeight="1" x14ac:dyDescent="0.2">
      <c r="A8" s="428" t="s">
        <v>715</v>
      </c>
      <c r="B8" s="429"/>
      <c r="C8" s="430" t="s">
        <v>714</v>
      </c>
      <c r="D8" s="430"/>
      <c r="E8" s="430">
        <v>110134</v>
      </c>
      <c r="F8" s="430"/>
      <c r="G8" s="430">
        <v>127607</v>
      </c>
      <c r="H8" s="430"/>
      <c r="I8" s="430" t="s">
        <v>714</v>
      </c>
      <c r="J8" s="431"/>
    </row>
    <row r="9" spans="1:10" ht="11.25" customHeight="1" x14ac:dyDescent="0.2">
      <c r="A9" s="428" t="s">
        <v>716</v>
      </c>
      <c r="B9" s="429"/>
      <c r="C9" s="430" t="s">
        <v>714</v>
      </c>
      <c r="D9" s="430"/>
      <c r="E9" s="430">
        <v>6316</v>
      </c>
      <c r="F9" s="430"/>
      <c r="G9" s="430">
        <v>47727</v>
      </c>
      <c r="H9" s="430"/>
      <c r="I9" s="430" t="s">
        <v>714</v>
      </c>
      <c r="J9" s="431"/>
    </row>
    <row r="10" spans="1:10" ht="11.25" customHeight="1" x14ac:dyDescent="0.2">
      <c r="A10" s="428" t="s">
        <v>717</v>
      </c>
      <c r="B10" s="429"/>
      <c r="C10" s="430" t="s">
        <v>714</v>
      </c>
      <c r="D10" s="430"/>
      <c r="E10" s="430">
        <v>25</v>
      </c>
      <c r="F10" s="430"/>
      <c r="G10" s="430">
        <v>65</v>
      </c>
      <c r="H10" s="430"/>
      <c r="I10" s="430" t="s">
        <v>714</v>
      </c>
      <c r="J10" s="431"/>
    </row>
    <row r="11" spans="1:10" ht="11.25" customHeight="1" x14ac:dyDescent="0.2">
      <c r="A11" s="428" t="s">
        <v>718</v>
      </c>
      <c r="B11" s="429"/>
      <c r="C11" s="430" t="s">
        <v>714</v>
      </c>
      <c r="D11" s="430"/>
      <c r="E11" s="430">
        <v>4687</v>
      </c>
      <c r="F11" s="430"/>
      <c r="G11" s="430">
        <v>1845</v>
      </c>
      <c r="H11" s="430"/>
      <c r="I11" s="430" t="s">
        <v>714</v>
      </c>
      <c r="J11" s="431"/>
    </row>
    <row r="12" spans="1:10" ht="11.25" customHeight="1" x14ac:dyDescent="0.2">
      <c r="A12" s="428" t="s">
        <v>719</v>
      </c>
      <c r="B12" s="429"/>
      <c r="C12" s="430" t="s">
        <v>714</v>
      </c>
      <c r="D12" s="430"/>
      <c r="E12" s="430">
        <v>10467</v>
      </c>
      <c r="F12" s="430"/>
      <c r="G12" s="430">
        <v>34688</v>
      </c>
      <c r="H12" s="430"/>
      <c r="I12" s="430" t="s">
        <v>714</v>
      </c>
      <c r="J12" s="431"/>
    </row>
    <row r="13" spans="1:10" ht="11.25" customHeight="1" x14ac:dyDescent="0.2">
      <c r="A13" s="428" t="s">
        <v>720</v>
      </c>
      <c r="B13" s="429"/>
      <c r="C13" s="432">
        <v>14904</v>
      </c>
      <c r="D13" s="432"/>
      <c r="E13" s="432">
        <v>63336</v>
      </c>
      <c r="F13" s="432"/>
      <c r="G13" s="432">
        <v>105764</v>
      </c>
      <c r="H13" s="432"/>
      <c r="I13" s="432" t="s">
        <v>714</v>
      </c>
      <c r="J13" s="431"/>
    </row>
    <row r="14" spans="1:10" ht="11.25" customHeight="1" x14ac:dyDescent="0.2">
      <c r="A14" s="428" t="s">
        <v>721</v>
      </c>
      <c r="B14" s="429"/>
      <c r="C14" s="432" t="s">
        <v>714</v>
      </c>
      <c r="D14" s="432"/>
      <c r="E14" s="432">
        <v>6643</v>
      </c>
      <c r="F14" s="432"/>
      <c r="G14" s="432">
        <v>9930</v>
      </c>
      <c r="H14" s="432"/>
      <c r="I14" s="432" t="s">
        <v>714</v>
      </c>
      <c r="J14" s="431"/>
    </row>
    <row r="15" spans="1:10" ht="11.25" customHeight="1" x14ac:dyDescent="0.2">
      <c r="A15" s="428" t="s">
        <v>722</v>
      </c>
      <c r="B15" s="429"/>
      <c r="C15" s="432" t="s">
        <v>714</v>
      </c>
      <c r="D15" s="432"/>
      <c r="E15" s="432">
        <v>7334</v>
      </c>
      <c r="F15" s="432"/>
      <c r="G15" s="432">
        <v>415983</v>
      </c>
      <c r="H15" s="432"/>
      <c r="I15" s="432" t="s">
        <v>714</v>
      </c>
      <c r="J15" s="431"/>
    </row>
    <row r="16" spans="1:10" ht="11.25" customHeight="1" x14ac:dyDescent="0.2">
      <c r="A16" s="428" t="s">
        <v>723</v>
      </c>
      <c r="B16" s="429"/>
      <c r="C16" s="432" t="s">
        <v>714</v>
      </c>
      <c r="D16" s="432"/>
      <c r="E16" s="432">
        <v>1972</v>
      </c>
      <c r="F16" s="432"/>
      <c r="G16" s="432">
        <v>77629</v>
      </c>
      <c r="H16" s="432"/>
      <c r="I16" s="432" t="s">
        <v>714</v>
      </c>
      <c r="J16" s="431"/>
    </row>
    <row r="17" spans="1:10" ht="11.25" customHeight="1" x14ac:dyDescent="0.2">
      <c r="A17" s="428" t="s">
        <v>724</v>
      </c>
      <c r="B17" s="429"/>
      <c r="C17" s="432" t="s">
        <v>714</v>
      </c>
      <c r="D17" s="432"/>
      <c r="E17" s="432">
        <v>1410</v>
      </c>
      <c r="F17" s="432"/>
      <c r="G17" s="432">
        <v>214273</v>
      </c>
      <c r="H17" s="432"/>
      <c r="I17" s="432" t="s">
        <v>714</v>
      </c>
      <c r="J17" s="431"/>
    </row>
    <row r="18" spans="1:10" ht="11.25" customHeight="1" x14ac:dyDescent="0.2">
      <c r="A18" s="428" t="s">
        <v>725</v>
      </c>
      <c r="B18" s="429"/>
      <c r="C18" s="432" t="s">
        <v>714</v>
      </c>
      <c r="D18" s="432"/>
      <c r="E18" s="432">
        <v>8</v>
      </c>
      <c r="F18" s="432"/>
      <c r="G18" s="432">
        <v>18548</v>
      </c>
      <c r="H18" s="432"/>
      <c r="I18" s="432" t="s">
        <v>714</v>
      </c>
      <c r="J18" s="431"/>
    </row>
    <row r="19" spans="1:10" ht="11.25" customHeight="1" x14ac:dyDescent="0.2">
      <c r="A19" s="428" t="s">
        <v>726</v>
      </c>
      <c r="B19" s="429"/>
      <c r="C19" s="432"/>
      <c r="D19" s="432"/>
      <c r="E19" s="432" t="s">
        <v>714</v>
      </c>
      <c r="F19" s="432"/>
      <c r="G19" s="432" t="s">
        <v>612</v>
      </c>
      <c r="H19" s="432"/>
      <c r="I19" s="432"/>
      <c r="J19" s="431"/>
    </row>
    <row r="20" spans="1:10" ht="11.25" customHeight="1" x14ac:dyDescent="0.2">
      <c r="A20" s="428" t="s">
        <v>727</v>
      </c>
      <c r="B20" s="429"/>
      <c r="C20" s="432" t="s">
        <v>714</v>
      </c>
      <c r="D20" s="432"/>
      <c r="E20" s="432">
        <v>586</v>
      </c>
      <c r="F20" s="432"/>
      <c r="G20" s="432">
        <v>1663</v>
      </c>
      <c r="H20" s="432"/>
      <c r="I20" s="432">
        <v>16984</v>
      </c>
      <c r="J20" s="431"/>
    </row>
    <row r="21" spans="1:10" ht="11.25" customHeight="1" x14ac:dyDescent="0.2">
      <c r="A21" s="428" t="s">
        <v>728</v>
      </c>
      <c r="B21" s="429"/>
      <c r="C21" s="432">
        <v>32116</v>
      </c>
      <c r="D21" s="432"/>
      <c r="E21" s="432">
        <v>44491</v>
      </c>
      <c r="F21" s="432"/>
      <c r="G21" s="432">
        <v>5556</v>
      </c>
      <c r="H21" s="432"/>
      <c r="I21" s="432">
        <v>695</v>
      </c>
      <c r="J21" s="431"/>
    </row>
    <row r="22" spans="1:10" ht="11.25" customHeight="1" x14ac:dyDescent="0.2">
      <c r="A22" s="428" t="s">
        <v>729</v>
      </c>
      <c r="B22" s="429"/>
      <c r="C22" s="432" t="s">
        <v>714</v>
      </c>
      <c r="D22" s="432"/>
      <c r="E22" s="432" t="s">
        <v>714</v>
      </c>
      <c r="F22" s="432"/>
      <c r="G22" s="432" t="s">
        <v>714</v>
      </c>
      <c r="H22" s="432"/>
      <c r="I22" s="432">
        <v>12992</v>
      </c>
      <c r="J22" s="431"/>
    </row>
    <row r="23" spans="1:10" ht="11.25" customHeight="1" x14ac:dyDescent="0.2">
      <c r="A23" s="428" t="s">
        <v>730</v>
      </c>
      <c r="B23" s="429"/>
      <c r="C23" s="432" t="s">
        <v>714</v>
      </c>
      <c r="D23" s="432"/>
      <c r="E23" s="432" t="s">
        <v>714</v>
      </c>
      <c r="F23" s="432"/>
      <c r="G23" s="432" t="s">
        <v>714</v>
      </c>
      <c r="H23" s="432"/>
      <c r="I23" s="432">
        <v>104</v>
      </c>
      <c r="J23" s="431"/>
    </row>
    <row r="24" spans="1:10" ht="11.25" customHeight="1" x14ac:dyDescent="0.2">
      <c r="A24" s="428" t="s">
        <v>731</v>
      </c>
      <c r="B24" s="429"/>
      <c r="C24" s="432"/>
      <c r="D24" s="432"/>
      <c r="E24" s="432"/>
      <c r="F24" s="432"/>
      <c r="G24" s="432"/>
      <c r="H24" s="432"/>
      <c r="I24" s="432">
        <v>3</v>
      </c>
      <c r="J24" s="431"/>
    </row>
    <row r="25" spans="1:10" ht="11.25" customHeight="1" x14ac:dyDescent="0.2">
      <c r="A25" s="414"/>
      <c r="B25" s="422"/>
      <c r="C25" s="423"/>
      <c r="D25" s="423"/>
      <c r="E25" s="423"/>
      <c r="F25" s="423"/>
      <c r="G25" s="423"/>
      <c r="H25" s="423"/>
      <c r="I25" s="423"/>
    </row>
    <row r="26" spans="1:10" ht="11.25" customHeight="1" x14ac:dyDescent="0.2">
      <c r="A26" s="416"/>
      <c r="B26" s="417"/>
      <c r="C26" s="417"/>
      <c r="D26" s="417"/>
      <c r="E26" s="417"/>
      <c r="F26" s="417"/>
      <c r="G26" s="417"/>
      <c r="H26" s="417"/>
      <c r="I26" s="140" t="s">
        <v>393</v>
      </c>
    </row>
    <row r="27" spans="1:10" ht="22.5" customHeight="1" x14ac:dyDescent="0.2">
      <c r="A27" s="502" t="s">
        <v>732</v>
      </c>
      <c r="B27" s="464"/>
      <c r="C27" s="464"/>
      <c r="D27" s="464"/>
      <c r="E27" s="464"/>
      <c r="F27" s="464"/>
      <c r="G27" s="464"/>
      <c r="H27" s="464"/>
      <c r="I27" s="464"/>
    </row>
    <row r="28" spans="1:10" x14ac:dyDescent="0.2">
      <c r="A28" s="494" t="s">
        <v>733</v>
      </c>
      <c r="B28" s="494"/>
      <c r="C28" s="494"/>
      <c r="D28" s="494"/>
      <c r="E28" s="494"/>
      <c r="F28" s="494"/>
      <c r="G28" s="407"/>
      <c r="H28" s="407"/>
      <c r="I28" s="407"/>
    </row>
    <row r="29" spans="1:10" ht="11.25" customHeight="1" x14ac:dyDescent="0.2">
      <c r="A29" s="503" t="s">
        <v>734</v>
      </c>
      <c r="B29" s="503"/>
      <c r="C29" s="503"/>
      <c r="D29" s="503"/>
      <c r="E29" s="503"/>
      <c r="F29" s="503"/>
      <c r="G29" s="503"/>
      <c r="H29" s="503"/>
      <c r="I29" s="503"/>
    </row>
    <row r="30" spans="1:10" ht="11.25" customHeight="1" x14ac:dyDescent="0.2">
      <c r="C30" s="405"/>
      <c r="G30" s="433"/>
    </row>
  </sheetData>
  <mergeCells count="6">
    <mergeCell ref="A1:I1"/>
    <mergeCell ref="A2:B2"/>
    <mergeCell ref="G4:I4"/>
    <mergeCell ref="A27:I27"/>
    <mergeCell ref="A28:F28"/>
    <mergeCell ref="A29:I29"/>
  </mergeCells>
  <pageMargins left="0.74803149606299213" right="0.74803149606299213" top="0.98425196850393704" bottom="0.98425196850393704" header="0.51181102362204722" footer="0.51181102362204722"/>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BFA1-5B5D-4799-A7AD-931722320F7E}">
  <sheetPr codeName="Sheet5">
    <tabColor indexed="42"/>
  </sheetPr>
  <dimension ref="A1:AI177"/>
  <sheetViews>
    <sheetView topLeftCell="A127" workbookViewId="0">
      <selection activeCell="B166" sqref="B166:AI167"/>
    </sheetView>
  </sheetViews>
  <sheetFormatPr defaultColWidth="8.85546875" defaultRowHeight="12.75" x14ac:dyDescent="0.2"/>
  <cols>
    <col min="1" max="1" width="8.85546875" customWidth="1"/>
    <col min="2" max="2" width="27" bestFit="1" customWidth="1"/>
  </cols>
  <sheetData>
    <row r="1" spans="1:35" x14ac:dyDescent="0.2">
      <c r="B1">
        <v>1</v>
      </c>
      <c r="C1">
        <f>B1+1</f>
        <v>2</v>
      </c>
      <c r="D1">
        <f t="shared" ref="D1:AI1" si="0">C1+1</f>
        <v>3</v>
      </c>
      <c r="E1">
        <f t="shared" si="0"/>
        <v>4</v>
      </c>
      <c r="F1">
        <f t="shared" si="0"/>
        <v>5</v>
      </c>
      <c r="G1">
        <f t="shared" si="0"/>
        <v>6</v>
      </c>
      <c r="H1">
        <f t="shared" si="0"/>
        <v>7</v>
      </c>
      <c r="I1">
        <f t="shared" si="0"/>
        <v>8</v>
      </c>
      <c r="J1">
        <f t="shared" si="0"/>
        <v>9</v>
      </c>
      <c r="K1">
        <f t="shared" si="0"/>
        <v>10</v>
      </c>
      <c r="L1">
        <f t="shared" si="0"/>
        <v>11</v>
      </c>
      <c r="M1">
        <f t="shared" si="0"/>
        <v>12</v>
      </c>
      <c r="N1">
        <f t="shared" si="0"/>
        <v>13</v>
      </c>
      <c r="O1">
        <f t="shared" si="0"/>
        <v>14</v>
      </c>
      <c r="P1">
        <f t="shared" si="0"/>
        <v>15</v>
      </c>
      <c r="Q1">
        <f t="shared" si="0"/>
        <v>16</v>
      </c>
      <c r="R1">
        <f t="shared" si="0"/>
        <v>17</v>
      </c>
      <c r="S1">
        <f t="shared" si="0"/>
        <v>18</v>
      </c>
      <c r="T1">
        <f t="shared" si="0"/>
        <v>19</v>
      </c>
      <c r="U1">
        <f t="shared" si="0"/>
        <v>20</v>
      </c>
      <c r="V1">
        <f t="shared" si="0"/>
        <v>21</v>
      </c>
      <c r="W1">
        <f t="shared" si="0"/>
        <v>22</v>
      </c>
      <c r="X1">
        <f t="shared" si="0"/>
        <v>23</v>
      </c>
      <c r="Y1">
        <f t="shared" si="0"/>
        <v>24</v>
      </c>
      <c r="Z1">
        <f t="shared" si="0"/>
        <v>25</v>
      </c>
      <c r="AA1">
        <f t="shared" si="0"/>
        <v>26</v>
      </c>
      <c r="AB1">
        <f t="shared" si="0"/>
        <v>27</v>
      </c>
      <c r="AC1">
        <f t="shared" si="0"/>
        <v>28</v>
      </c>
      <c r="AD1">
        <f t="shared" si="0"/>
        <v>29</v>
      </c>
      <c r="AE1">
        <f t="shared" si="0"/>
        <v>30</v>
      </c>
      <c r="AF1">
        <f t="shared" si="0"/>
        <v>31</v>
      </c>
      <c r="AG1">
        <f t="shared" si="0"/>
        <v>32</v>
      </c>
      <c r="AH1">
        <f t="shared" si="0"/>
        <v>33</v>
      </c>
      <c r="AI1">
        <f t="shared" si="0"/>
        <v>34</v>
      </c>
    </row>
    <row r="2" spans="1:35" x14ac:dyDescent="0.2">
      <c r="A2" t="s">
        <v>400</v>
      </c>
      <c r="B2" t="s">
        <v>401</v>
      </c>
      <c r="C2" t="s">
        <v>402</v>
      </c>
      <c r="D2" t="s">
        <v>403</v>
      </c>
      <c r="E2" t="s">
        <v>404</v>
      </c>
      <c r="F2" t="s">
        <v>405</v>
      </c>
      <c r="G2" t="s">
        <v>406</v>
      </c>
      <c r="H2" t="s">
        <v>407</v>
      </c>
      <c r="I2" t="s">
        <v>408</v>
      </c>
      <c r="J2" t="s">
        <v>409</v>
      </c>
      <c r="K2" t="s">
        <v>410</v>
      </c>
      <c r="L2" t="s">
        <v>411</v>
      </c>
      <c r="M2" t="s">
        <v>412</v>
      </c>
      <c r="N2" t="s">
        <v>402</v>
      </c>
      <c r="O2" t="s">
        <v>413</v>
      </c>
      <c r="P2" t="s">
        <v>414</v>
      </c>
      <c r="Q2" t="s">
        <v>415</v>
      </c>
      <c r="R2" t="s">
        <v>416</v>
      </c>
      <c r="S2" t="s">
        <v>417</v>
      </c>
      <c r="T2" t="s">
        <v>418</v>
      </c>
      <c r="U2" t="s">
        <v>419</v>
      </c>
      <c r="V2" t="s">
        <v>420</v>
      </c>
      <c r="W2" t="s">
        <v>421</v>
      </c>
      <c r="X2" t="s">
        <v>422</v>
      </c>
      <c r="Y2" t="s">
        <v>402</v>
      </c>
      <c r="Z2" t="s">
        <v>423</v>
      </c>
      <c r="AA2" t="s">
        <v>424</v>
      </c>
      <c r="AB2" t="s">
        <v>425</v>
      </c>
      <c r="AC2" t="s">
        <v>426</v>
      </c>
      <c r="AD2" t="s">
        <v>427</v>
      </c>
      <c r="AE2" t="s">
        <v>428</v>
      </c>
      <c r="AF2" t="s">
        <v>429</v>
      </c>
      <c r="AG2" t="s">
        <v>430</v>
      </c>
      <c r="AH2" t="s">
        <v>431</v>
      </c>
      <c r="AI2" t="s">
        <v>432</v>
      </c>
    </row>
    <row r="3" spans="1:35" x14ac:dyDescent="0.2">
      <c r="B3" t="s">
        <v>380</v>
      </c>
      <c r="D3">
        <v>14623</v>
      </c>
      <c r="E3" s="212">
        <v>85.5</v>
      </c>
      <c r="F3" s="212">
        <v>54.7</v>
      </c>
      <c r="G3" s="212">
        <v>94.3</v>
      </c>
      <c r="H3" s="212">
        <v>92.4</v>
      </c>
      <c r="I3" s="212">
        <v>99</v>
      </c>
      <c r="J3" s="212">
        <v>334.9</v>
      </c>
      <c r="K3" s="212">
        <v>471.9</v>
      </c>
      <c r="L3" s="212">
        <v>94.9</v>
      </c>
      <c r="M3" s="212">
        <v>55.1</v>
      </c>
      <c r="O3">
        <v>14171</v>
      </c>
      <c r="P3" s="212">
        <v>90.4</v>
      </c>
      <c r="Q3" s="212">
        <v>64.099999999999994</v>
      </c>
      <c r="R3" s="212">
        <v>96.7</v>
      </c>
      <c r="S3" s="212">
        <v>95.1</v>
      </c>
      <c r="T3" s="212">
        <v>99.4</v>
      </c>
      <c r="U3" s="212">
        <v>358.4</v>
      </c>
      <c r="V3" s="212">
        <v>516.20000000000005</v>
      </c>
      <c r="W3" s="212">
        <v>97.4</v>
      </c>
      <c r="X3" s="212">
        <v>64.400000000000006</v>
      </c>
      <c r="Z3">
        <v>28794</v>
      </c>
      <c r="AA3" s="212">
        <v>87.9</v>
      </c>
      <c r="AB3" s="212">
        <v>59.3</v>
      </c>
      <c r="AC3" s="212">
        <v>95.5</v>
      </c>
      <c r="AD3" s="212">
        <v>93.7</v>
      </c>
      <c r="AE3" s="212">
        <v>99.2</v>
      </c>
      <c r="AF3" s="212">
        <v>346.5</v>
      </c>
      <c r="AG3" s="212">
        <v>493.7</v>
      </c>
      <c r="AH3" s="212">
        <v>96.2</v>
      </c>
      <c r="AI3" s="212">
        <v>59.7</v>
      </c>
    </row>
    <row r="4" spans="1:35" x14ac:dyDescent="0.2">
      <c r="B4" t="s">
        <v>354</v>
      </c>
      <c r="D4">
        <v>2785</v>
      </c>
      <c r="E4" s="212">
        <v>89.1</v>
      </c>
      <c r="F4" s="212">
        <v>57.7</v>
      </c>
      <c r="G4" s="212">
        <v>95.4</v>
      </c>
      <c r="H4" s="212">
        <v>94.1</v>
      </c>
      <c r="I4" s="212">
        <v>99.5</v>
      </c>
      <c r="J4" s="212">
        <v>343.8</v>
      </c>
      <c r="K4" s="212">
        <v>490.4</v>
      </c>
      <c r="L4" s="212">
        <v>95.6</v>
      </c>
      <c r="M4" s="212">
        <v>58</v>
      </c>
      <c r="O4">
        <v>2684</v>
      </c>
      <c r="P4" s="212">
        <v>93.7</v>
      </c>
      <c r="Q4" s="212">
        <v>68.599999999999994</v>
      </c>
      <c r="R4" s="212">
        <v>97.7</v>
      </c>
      <c r="S4" s="212">
        <v>96.6</v>
      </c>
      <c r="T4" s="212">
        <v>99.9</v>
      </c>
      <c r="U4" s="212">
        <v>369.8</v>
      </c>
      <c r="V4" s="212">
        <v>543.1</v>
      </c>
      <c r="W4" s="212">
        <v>98</v>
      </c>
      <c r="X4" s="212">
        <v>68.8</v>
      </c>
      <c r="Z4">
        <v>5469</v>
      </c>
      <c r="AA4" s="212">
        <v>91.4</v>
      </c>
      <c r="AB4" s="212">
        <v>63.1</v>
      </c>
      <c r="AC4" s="212">
        <v>96.6</v>
      </c>
      <c r="AD4" s="212">
        <v>95.4</v>
      </c>
      <c r="AE4" s="212">
        <v>99.7</v>
      </c>
      <c r="AF4" s="212">
        <v>356.5</v>
      </c>
      <c r="AG4" s="212">
        <v>516.29999999999995</v>
      </c>
      <c r="AH4" s="212">
        <v>96.8</v>
      </c>
      <c r="AI4" s="212">
        <v>63.3</v>
      </c>
    </row>
    <row r="5" spans="1:35" x14ac:dyDescent="0.2">
      <c r="B5" t="s">
        <v>18</v>
      </c>
      <c r="D5">
        <v>600</v>
      </c>
      <c r="E5" s="212">
        <v>88</v>
      </c>
      <c r="F5" s="212">
        <v>59.8</v>
      </c>
      <c r="G5" s="212">
        <v>94.7</v>
      </c>
      <c r="H5" s="212">
        <v>93.5</v>
      </c>
      <c r="I5" s="212">
        <v>99.7</v>
      </c>
      <c r="J5" s="212">
        <v>343</v>
      </c>
      <c r="K5" s="212">
        <v>486.4</v>
      </c>
      <c r="L5" s="212">
        <v>96.2</v>
      </c>
      <c r="M5" s="212">
        <v>60</v>
      </c>
      <c r="O5">
        <v>558</v>
      </c>
      <c r="P5" s="212">
        <v>92.7</v>
      </c>
      <c r="Q5" s="212">
        <v>70.099999999999994</v>
      </c>
      <c r="R5" s="212">
        <v>96.8</v>
      </c>
      <c r="S5" s="212">
        <v>95.5</v>
      </c>
      <c r="T5" s="212">
        <v>99.6</v>
      </c>
      <c r="U5" s="212">
        <v>364.6</v>
      </c>
      <c r="V5" s="212">
        <v>516.1</v>
      </c>
      <c r="W5" s="212">
        <v>97.8</v>
      </c>
      <c r="X5" s="212">
        <v>70.3</v>
      </c>
      <c r="Z5">
        <v>1158</v>
      </c>
      <c r="AA5" s="212">
        <v>90.2</v>
      </c>
      <c r="AB5" s="212">
        <v>64.8</v>
      </c>
      <c r="AC5" s="212">
        <v>95.7</v>
      </c>
      <c r="AD5" s="212">
        <v>94.5</v>
      </c>
      <c r="AE5" s="212">
        <v>99.7</v>
      </c>
      <c r="AF5" s="212">
        <v>353.4</v>
      </c>
      <c r="AG5" s="212">
        <v>500.7</v>
      </c>
      <c r="AH5" s="212">
        <v>97</v>
      </c>
      <c r="AI5" s="212">
        <v>64.900000000000006</v>
      </c>
    </row>
    <row r="6" spans="1:35" x14ac:dyDescent="0.2">
      <c r="B6" t="s">
        <v>21</v>
      </c>
      <c r="D6">
        <v>1099</v>
      </c>
      <c r="E6" s="212">
        <v>87.9</v>
      </c>
      <c r="F6" s="212">
        <v>56.9</v>
      </c>
      <c r="G6" s="212">
        <v>93.4</v>
      </c>
      <c r="H6" s="212">
        <v>92.5</v>
      </c>
      <c r="I6" s="212">
        <v>98.9</v>
      </c>
      <c r="J6" s="212">
        <v>337.5</v>
      </c>
      <c r="K6" s="212">
        <v>476.2</v>
      </c>
      <c r="L6" s="212">
        <v>95.6</v>
      </c>
      <c r="M6" s="212">
        <v>57.1</v>
      </c>
      <c r="O6">
        <v>1076</v>
      </c>
      <c r="P6" s="212">
        <v>92.8</v>
      </c>
      <c r="Q6" s="212">
        <v>66.7</v>
      </c>
      <c r="R6" s="212">
        <v>96.3</v>
      </c>
      <c r="S6" s="212">
        <v>95.2</v>
      </c>
      <c r="T6" s="212">
        <v>99.4</v>
      </c>
      <c r="U6" s="212">
        <v>361.9</v>
      </c>
      <c r="V6" s="212">
        <v>521.20000000000005</v>
      </c>
      <c r="W6" s="212">
        <v>97.3</v>
      </c>
      <c r="X6" s="212">
        <v>67</v>
      </c>
      <c r="Z6">
        <v>2175</v>
      </c>
      <c r="AA6" s="212">
        <v>90.3</v>
      </c>
      <c r="AB6" s="212">
        <v>61.7</v>
      </c>
      <c r="AC6" s="212">
        <v>94.9</v>
      </c>
      <c r="AD6" s="212">
        <v>93.8</v>
      </c>
      <c r="AE6" s="212">
        <v>99.2</v>
      </c>
      <c r="AF6" s="212">
        <v>349.6</v>
      </c>
      <c r="AG6" s="212">
        <v>498.4</v>
      </c>
      <c r="AH6" s="212">
        <v>96.5</v>
      </c>
      <c r="AI6" s="212">
        <v>62</v>
      </c>
    </row>
    <row r="7" spans="1:35" x14ac:dyDescent="0.2">
      <c r="B7" t="s">
        <v>23</v>
      </c>
      <c r="D7">
        <v>582</v>
      </c>
      <c r="E7" s="212">
        <v>74.400000000000006</v>
      </c>
      <c r="F7" s="212">
        <v>53.4</v>
      </c>
      <c r="G7" s="212">
        <v>93.5</v>
      </c>
      <c r="H7" s="212">
        <v>91.6</v>
      </c>
      <c r="I7" s="212">
        <v>99.7</v>
      </c>
      <c r="J7" s="212">
        <v>316.39999999999998</v>
      </c>
      <c r="K7" s="212">
        <v>412.7</v>
      </c>
      <c r="L7" s="212">
        <v>95.5</v>
      </c>
      <c r="M7" s="212">
        <v>54.5</v>
      </c>
      <c r="O7">
        <v>585</v>
      </c>
      <c r="P7" s="212">
        <v>86.5</v>
      </c>
      <c r="Q7" s="212">
        <v>64.400000000000006</v>
      </c>
      <c r="R7" s="212">
        <v>97.4</v>
      </c>
      <c r="S7" s="212">
        <v>96.9</v>
      </c>
      <c r="T7" s="212">
        <v>100</v>
      </c>
      <c r="U7" s="212">
        <v>352.5</v>
      </c>
      <c r="V7" s="212">
        <v>473.4</v>
      </c>
      <c r="W7" s="212">
        <v>98.3</v>
      </c>
      <c r="X7" s="212">
        <v>65.5</v>
      </c>
      <c r="Z7">
        <v>1167</v>
      </c>
      <c r="AA7" s="212">
        <v>80.5</v>
      </c>
      <c r="AB7" s="212">
        <v>59</v>
      </c>
      <c r="AC7" s="212">
        <v>95.5</v>
      </c>
      <c r="AD7" s="212">
        <v>94.3</v>
      </c>
      <c r="AE7" s="212">
        <v>99.8</v>
      </c>
      <c r="AF7" s="212">
        <v>334.5</v>
      </c>
      <c r="AG7" s="212">
        <v>443.1</v>
      </c>
      <c r="AH7" s="212">
        <v>96.9</v>
      </c>
      <c r="AI7" s="212">
        <v>60</v>
      </c>
    </row>
    <row r="8" spans="1:35" x14ac:dyDescent="0.2">
      <c r="B8" t="s">
        <v>25</v>
      </c>
      <c r="D8">
        <v>758</v>
      </c>
      <c r="E8" s="212">
        <v>83.1</v>
      </c>
      <c r="F8" s="212">
        <v>47.9</v>
      </c>
      <c r="G8" s="212">
        <v>94.3</v>
      </c>
      <c r="H8" s="212">
        <v>90.1</v>
      </c>
      <c r="I8" s="212">
        <v>98</v>
      </c>
      <c r="J8" s="212">
        <v>325.39999999999998</v>
      </c>
      <c r="K8" s="212">
        <v>450.5</v>
      </c>
      <c r="L8" s="212">
        <v>93.5</v>
      </c>
      <c r="M8" s="212">
        <v>48.2</v>
      </c>
      <c r="O8">
        <v>752</v>
      </c>
      <c r="P8" s="212">
        <v>84</v>
      </c>
      <c r="Q8" s="212">
        <v>52.7</v>
      </c>
      <c r="R8" s="212">
        <v>94.4</v>
      </c>
      <c r="S8" s="212">
        <v>90.7</v>
      </c>
      <c r="T8" s="212">
        <v>98.9</v>
      </c>
      <c r="U8" s="212">
        <v>339.6</v>
      </c>
      <c r="V8" s="212">
        <v>473.5</v>
      </c>
      <c r="W8" s="212">
        <v>95.9</v>
      </c>
      <c r="X8" s="212">
        <v>52.9</v>
      </c>
      <c r="Z8">
        <v>1510</v>
      </c>
      <c r="AA8" s="212">
        <v>83.6</v>
      </c>
      <c r="AB8" s="212">
        <v>50.3</v>
      </c>
      <c r="AC8" s="212">
        <v>94.4</v>
      </c>
      <c r="AD8" s="212">
        <v>90.4</v>
      </c>
      <c r="AE8" s="212">
        <v>98.5</v>
      </c>
      <c r="AF8" s="212">
        <v>332.5</v>
      </c>
      <c r="AG8" s="212">
        <v>462</v>
      </c>
      <c r="AH8" s="212">
        <v>94.7</v>
      </c>
      <c r="AI8" s="212">
        <v>50.5</v>
      </c>
    </row>
    <row r="9" spans="1:35" x14ac:dyDescent="0.2">
      <c r="B9" t="s">
        <v>27</v>
      </c>
      <c r="D9">
        <v>1319</v>
      </c>
      <c r="E9" s="212">
        <v>88.6</v>
      </c>
      <c r="F9" s="212">
        <v>52.8</v>
      </c>
      <c r="G9" s="212">
        <v>93.6</v>
      </c>
      <c r="H9" s="212">
        <v>91.4</v>
      </c>
      <c r="I9" s="212">
        <v>99.2</v>
      </c>
      <c r="J9" s="212">
        <v>331.6</v>
      </c>
      <c r="K9" s="212">
        <v>464.8</v>
      </c>
      <c r="L9" s="212">
        <v>94</v>
      </c>
      <c r="M9" s="212">
        <v>52.9</v>
      </c>
      <c r="O9">
        <v>1259</v>
      </c>
      <c r="P9" s="212">
        <v>92.1</v>
      </c>
      <c r="Q9" s="212">
        <v>62.1</v>
      </c>
      <c r="R9" s="212">
        <v>95.6</v>
      </c>
      <c r="S9" s="212">
        <v>93.8</v>
      </c>
      <c r="T9" s="212">
        <v>99.2</v>
      </c>
      <c r="U9" s="212">
        <v>353.2</v>
      </c>
      <c r="V9" s="212">
        <v>512.79999999999995</v>
      </c>
      <c r="W9" s="212">
        <v>96.7</v>
      </c>
      <c r="X9" s="212">
        <v>62.6</v>
      </c>
      <c r="Z9">
        <v>2578</v>
      </c>
      <c r="AA9" s="212">
        <v>90.3</v>
      </c>
      <c r="AB9" s="212">
        <v>57.3</v>
      </c>
      <c r="AC9" s="212">
        <v>94.5</v>
      </c>
      <c r="AD9" s="212">
        <v>92.6</v>
      </c>
      <c r="AE9" s="212">
        <v>99.2</v>
      </c>
      <c r="AF9" s="212">
        <v>342.1</v>
      </c>
      <c r="AG9" s="212">
        <v>488.3</v>
      </c>
      <c r="AH9" s="212">
        <v>95.3</v>
      </c>
      <c r="AI9" s="212">
        <v>57.6</v>
      </c>
    </row>
    <row r="10" spans="1:35" x14ac:dyDescent="0.2">
      <c r="B10" t="s">
        <v>29</v>
      </c>
      <c r="D10">
        <v>1110</v>
      </c>
      <c r="E10" s="212">
        <v>87.7</v>
      </c>
      <c r="F10" s="212">
        <v>61.4</v>
      </c>
      <c r="G10" s="212">
        <v>95.4</v>
      </c>
      <c r="H10" s="212">
        <v>93.7</v>
      </c>
      <c r="I10" s="212">
        <v>99.4</v>
      </c>
      <c r="J10" s="212">
        <v>340</v>
      </c>
      <c r="K10" s="212">
        <v>480.1</v>
      </c>
      <c r="L10" s="212">
        <v>94.8</v>
      </c>
      <c r="M10" s="212">
        <v>61.6</v>
      </c>
      <c r="O10">
        <v>1041</v>
      </c>
      <c r="P10" s="212">
        <v>92.6</v>
      </c>
      <c r="Q10" s="212">
        <v>68.5</v>
      </c>
      <c r="R10" s="212">
        <v>97.3</v>
      </c>
      <c r="S10" s="212">
        <v>95.7</v>
      </c>
      <c r="T10" s="212">
        <v>99.2</v>
      </c>
      <c r="U10" s="212">
        <v>362.2</v>
      </c>
      <c r="V10" s="212">
        <v>524.5</v>
      </c>
      <c r="W10" s="212">
        <v>97.2</v>
      </c>
      <c r="X10" s="212">
        <v>68.8</v>
      </c>
      <c r="Z10">
        <v>2151</v>
      </c>
      <c r="AA10" s="212">
        <v>90.1</v>
      </c>
      <c r="AB10" s="212">
        <v>64.8</v>
      </c>
      <c r="AC10" s="212">
        <v>96.3</v>
      </c>
      <c r="AD10" s="212">
        <v>94.7</v>
      </c>
      <c r="AE10" s="212">
        <v>99.3</v>
      </c>
      <c r="AF10" s="212">
        <v>350.8</v>
      </c>
      <c r="AG10" s="212">
        <v>501.6</v>
      </c>
      <c r="AH10" s="212">
        <v>96</v>
      </c>
      <c r="AI10" s="212">
        <v>65.099999999999994</v>
      </c>
    </row>
    <row r="11" spans="1:35" x14ac:dyDescent="0.2">
      <c r="B11" t="s">
        <v>31</v>
      </c>
      <c r="D11">
        <v>1814</v>
      </c>
      <c r="E11" s="212">
        <v>80.400000000000006</v>
      </c>
      <c r="F11" s="212">
        <v>49.8</v>
      </c>
      <c r="G11" s="212">
        <v>92.6</v>
      </c>
      <c r="H11" s="212">
        <v>91.8</v>
      </c>
      <c r="I11" s="212">
        <v>98.1</v>
      </c>
      <c r="J11" s="212">
        <v>330.9</v>
      </c>
      <c r="K11" s="212">
        <v>459.2</v>
      </c>
      <c r="L11" s="212">
        <v>94.4</v>
      </c>
      <c r="M11" s="212">
        <v>50.1</v>
      </c>
      <c r="O11">
        <v>1774</v>
      </c>
      <c r="P11" s="212">
        <v>87.9</v>
      </c>
      <c r="Q11" s="212">
        <v>60.7</v>
      </c>
      <c r="R11" s="212">
        <v>95.9</v>
      </c>
      <c r="S11" s="212">
        <v>95</v>
      </c>
      <c r="T11" s="212">
        <v>99</v>
      </c>
      <c r="U11" s="212">
        <v>355.6</v>
      </c>
      <c r="V11" s="212">
        <v>498.7</v>
      </c>
      <c r="W11" s="212">
        <v>97.2</v>
      </c>
      <c r="X11" s="212">
        <v>60.9</v>
      </c>
      <c r="Z11">
        <v>3588</v>
      </c>
      <c r="AA11" s="212">
        <v>84.1</v>
      </c>
      <c r="AB11" s="212">
        <v>55.2</v>
      </c>
      <c r="AC11" s="212">
        <v>94.3</v>
      </c>
      <c r="AD11" s="212">
        <v>93.4</v>
      </c>
      <c r="AE11" s="212">
        <v>98.6</v>
      </c>
      <c r="AF11" s="212">
        <v>343.1</v>
      </c>
      <c r="AG11" s="212">
        <v>478.7</v>
      </c>
      <c r="AH11" s="212">
        <v>95.8</v>
      </c>
      <c r="AI11" s="212">
        <v>55.5</v>
      </c>
    </row>
    <row r="12" spans="1:35" x14ac:dyDescent="0.2">
      <c r="B12" t="s">
        <v>33</v>
      </c>
      <c r="D12">
        <v>931</v>
      </c>
      <c r="E12" s="212">
        <v>79.900000000000006</v>
      </c>
      <c r="F12" s="212">
        <v>51.3</v>
      </c>
      <c r="G12" s="212">
        <v>92.7</v>
      </c>
      <c r="H12" s="212">
        <v>90.7</v>
      </c>
      <c r="I12" s="212">
        <v>97.9</v>
      </c>
      <c r="J12" s="212">
        <v>320.7</v>
      </c>
      <c r="K12" s="212">
        <v>444</v>
      </c>
      <c r="L12" s="212">
        <v>94.7</v>
      </c>
      <c r="M12" s="212">
        <v>51.7</v>
      </c>
      <c r="O12">
        <v>915</v>
      </c>
      <c r="P12" s="212">
        <v>86.7</v>
      </c>
      <c r="Q12" s="212">
        <v>59</v>
      </c>
      <c r="R12" s="212">
        <v>97</v>
      </c>
      <c r="S12" s="212">
        <v>96.1</v>
      </c>
      <c r="T12" s="212">
        <v>99.1</v>
      </c>
      <c r="U12" s="212">
        <v>352</v>
      </c>
      <c r="V12" s="212">
        <v>502.4</v>
      </c>
      <c r="W12" s="212">
        <v>98.3</v>
      </c>
      <c r="X12" s="212">
        <v>59.2</v>
      </c>
      <c r="Z12">
        <v>1846</v>
      </c>
      <c r="AA12" s="212">
        <v>83.3</v>
      </c>
      <c r="AB12" s="212">
        <v>55.1</v>
      </c>
      <c r="AC12" s="212">
        <v>94.9</v>
      </c>
      <c r="AD12" s="212">
        <v>93.3</v>
      </c>
      <c r="AE12" s="212">
        <v>98.5</v>
      </c>
      <c r="AF12" s="212">
        <v>336.2</v>
      </c>
      <c r="AG12" s="212">
        <v>472.9</v>
      </c>
      <c r="AH12" s="212">
        <v>96.5</v>
      </c>
      <c r="AI12" s="212">
        <v>55.4</v>
      </c>
    </row>
    <row r="13" spans="1:35" x14ac:dyDescent="0.2">
      <c r="B13" t="s">
        <v>35</v>
      </c>
      <c r="D13">
        <v>886</v>
      </c>
      <c r="E13" s="212">
        <v>90.4</v>
      </c>
      <c r="F13" s="212">
        <v>54</v>
      </c>
      <c r="G13" s="212">
        <v>96.4</v>
      </c>
      <c r="H13" s="212">
        <v>94.1</v>
      </c>
      <c r="I13" s="212">
        <v>99.4</v>
      </c>
      <c r="J13" s="212">
        <v>348</v>
      </c>
      <c r="K13" s="212">
        <v>502</v>
      </c>
      <c r="L13" s="212">
        <v>96</v>
      </c>
      <c r="M13" s="212">
        <v>54.4</v>
      </c>
      <c r="O13">
        <v>850</v>
      </c>
      <c r="P13" s="212">
        <v>95.6</v>
      </c>
      <c r="Q13" s="212">
        <v>64.7</v>
      </c>
      <c r="R13" s="212">
        <v>98.7</v>
      </c>
      <c r="S13" s="212">
        <v>96.4</v>
      </c>
      <c r="T13" s="212">
        <v>99.4</v>
      </c>
      <c r="U13" s="212">
        <v>375.1</v>
      </c>
      <c r="V13" s="212">
        <v>552.79999999999995</v>
      </c>
      <c r="W13" s="212">
        <v>98</v>
      </c>
      <c r="X13" s="212">
        <v>64.7</v>
      </c>
      <c r="Z13">
        <v>1736</v>
      </c>
      <c r="AA13" s="212">
        <v>93</v>
      </c>
      <c r="AB13" s="212">
        <v>59.2</v>
      </c>
      <c r="AC13" s="212">
        <v>97.5</v>
      </c>
      <c r="AD13" s="212">
        <v>95.2</v>
      </c>
      <c r="AE13" s="212">
        <v>99.4</v>
      </c>
      <c r="AF13" s="212">
        <v>361.2</v>
      </c>
      <c r="AG13" s="212">
        <v>526.9</v>
      </c>
      <c r="AH13" s="212">
        <v>97</v>
      </c>
      <c r="AI13" s="212">
        <v>59.4</v>
      </c>
    </row>
    <row r="14" spans="1:35" x14ac:dyDescent="0.2">
      <c r="B14" t="s">
        <v>37</v>
      </c>
      <c r="D14">
        <v>1130</v>
      </c>
      <c r="E14" s="212">
        <v>79</v>
      </c>
      <c r="F14" s="212">
        <v>54.1</v>
      </c>
      <c r="G14" s="212">
        <v>93.9</v>
      </c>
      <c r="H14" s="212">
        <v>91.5</v>
      </c>
      <c r="I14" s="212">
        <v>99.7</v>
      </c>
      <c r="J14" s="212">
        <v>330.7</v>
      </c>
      <c r="K14" s="212">
        <v>465.1</v>
      </c>
      <c r="L14" s="212">
        <v>93.2</v>
      </c>
      <c r="M14" s="212">
        <v>55</v>
      </c>
      <c r="O14">
        <v>1052</v>
      </c>
      <c r="P14" s="212">
        <v>83.7</v>
      </c>
      <c r="Q14" s="212">
        <v>61</v>
      </c>
      <c r="R14" s="212">
        <v>96</v>
      </c>
      <c r="S14" s="212">
        <v>93.2</v>
      </c>
      <c r="T14" s="212">
        <v>99.8</v>
      </c>
      <c r="U14" s="212">
        <v>345.7</v>
      </c>
      <c r="V14" s="212">
        <v>494.5</v>
      </c>
      <c r="W14" s="212">
        <v>96.5</v>
      </c>
      <c r="X14" s="212">
        <v>61.6</v>
      </c>
      <c r="Z14">
        <v>2182</v>
      </c>
      <c r="AA14" s="212">
        <v>81.3</v>
      </c>
      <c r="AB14" s="212">
        <v>57.4</v>
      </c>
      <c r="AC14" s="212">
        <v>94.9</v>
      </c>
      <c r="AD14" s="212">
        <v>92.3</v>
      </c>
      <c r="AE14" s="212">
        <v>99.8</v>
      </c>
      <c r="AF14" s="212">
        <v>337.9</v>
      </c>
      <c r="AG14" s="212">
        <v>479.3</v>
      </c>
      <c r="AH14" s="212">
        <v>94.8</v>
      </c>
      <c r="AI14" s="212">
        <v>58.2</v>
      </c>
    </row>
    <row r="15" spans="1:35" x14ac:dyDescent="0.2">
      <c r="B15" t="s">
        <v>39</v>
      </c>
      <c r="D15">
        <v>1609</v>
      </c>
      <c r="E15" s="212">
        <v>88.3</v>
      </c>
      <c r="F15" s="212">
        <v>55.2</v>
      </c>
      <c r="G15" s="212">
        <v>94.5</v>
      </c>
      <c r="H15" s="212">
        <v>91.9</v>
      </c>
      <c r="I15" s="212">
        <v>98.9</v>
      </c>
      <c r="J15" s="212">
        <v>334</v>
      </c>
      <c r="K15" s="212">
        <v>481.7</v>
      </c>
      <c r="L15" s="212">
        <v>95.6</v>
      </c>
      <c r="M15" s="212">
        <v>55.6</v>
      </c>
      <c r="O15">
        <v>1625</v>
      </c>
      <c r="P15" s="212">
        <v>90.6</v>
      </c>
      <c r="Q15" s="212">
        <v>65</v>
      </c>
      <c r="R15" s="212">
        <v>96.6</v>
      </c>
      <c r="S15" s="212">
        <v>94.3</v>
      </c>
      <c r="T15" s="212">
        <v>99.4</v>
      </c>
      <c r="U15" s="212">
        <v>354</v>
      </c>
      <c r="V15" s="212">
        <v>523.1</v>
      </c>
      <c r="W15" s="212">
        <v>97.6</v>
      </c>
      <c r="X15" s="212">
        <v>65.599999999999994</v>
      </c>
      <c r="Z15">
        <v>3234</v>
      </c>
      <c r="AA15" s="212">
        <v>89.5</v>
      </c>
      <c r="AB15" s="212">
        <v>60.1</v>
      </c>
      <c r="AC15" s="212">
        <v>95.5</v>
      </c>
      <c r="AD15" s="212">
        <v>93.1</v>
      </c>
      <c r="AE15" s="212">
        <v>99.1</v>
      </c>
      <c r="AF15" s="212">
        <v>344</v>
      </c>
      <c r="AG15" s="212">
        <v>502.5</v>
      </c>
      <c r="AH15" s="212">
        <v>96.6</v>
      </c>
      <c r="AI15" s="212">
        <v>60.6</v>
      </c>
    </row>
    <row r="16" spans="1:35" x14ac:dyDescent="0.2">
      <c r="B16" t="s">
        <v>381</v>
      </c>
      <c r="D16">
        <v>40913</v>
      </c>
      <c r="E16" s="212">
        <v>80</v>
      </c>
      <c r="F16" s="212">
        <v>54.5</v>
      </c>
      <c r="G16" s="212">
        <v>94.9</v>
      </c>
      <c r="H16" s="212">
        <v>93.1</v>
      </c>
      <c r="I16" s="212">
        <v>99.2</v>
      </c>
      <c r="J16" s="212">
        <v>328.5</v>
      </c>
      <c r="K16" s="212">
        <v>437.8</v>
      </c>
      <c r="L16" s="212">
        <v>96.1</v>
      </c>
      <c r="M16" s="212">
        <v>55.4</v>
      </c>
      <c r="O16">
        <v>39332</v>
      </c>
      <c r="P16" s="212">
        <v>87</v>
      </c>
      <c r="Q16" s="212">
        <v>65.5</v>
      </c>
      <c r="R16" s="212">
        <v>96.7</v>
      </c>
      <c r="S16" s="212">
        <v>95.3</v>
      </c>
      <c r="T16" s="212">
        <v>99.4</v>
      </c>
      <c r="U16" s="212">
        <v>352.4</v>
      </c>
      <c r="V16" s="212">
        <v>481.1</v>
      </c>
      <c r="W16" s="212">
        <v>97.7</v>
      </c>
      <c r="X16" s="212">
        <v>66.099999999999994</v>
      </c>
      <c r="Z16">
        <v>80245</v>
      </c>
      <c r="AA16" s="212">
        <v>83.5</v>
      </c>
      <c r="AB16" s="212">
        <v>59.9</v>
      </c>
      <c r="AC16" s="212">
        <v>95.8</v>
      </c>
      <c r="AD16" s="212">
        <v>94.2</v>
      </c>
      <c r="AE16" s="212">
        <v>99.3</v>
      </c>
      <c r="AF16" s="212">
        <v>340.2</v>
      </c>
      <c r="AG16" s="212">
        <v>459</v>
      </c>
      <c r="AH16" s="212">
        <v>96.9</v>
      </c>
      <c r="AI16" s="212">
        <v>60.7</v>
      </c>
    </row>
    <row r="17" spans="2:35" x14ac:dyDescent="0.2">
      <c r="B17" t="s">
        <v>42</v>
      </c>
      <c r="D17">
        <v>904</v>
      </c>
      <c r="E17" s="212">
        <v>74.099999999999994</v>
      </c>
      <c r="F17" s="212">
        <v>52.5</v>
      </c>
      <c r="G17" s="212">
        <v>95.5</v>
      </c>
      <c r="H17" s="212">
        <v>93.5</v>
      </c>
      <c r="I17" s="212">
        <v>99.1</v>
      </c>
      <c r="J17" s="212">
        <v>319.2</v>
      </c>
      <c r="K17" s="212">
        <v>392.1</v>
      </c>
      <c r="L17" s="212">
        <v>95.5</v>
      </c>
      <c r="M17" s="212">
        <v>54.9</v>
      </c>
      <c r="O17">
        <v>877</v>
      </c>
      <c r="P17" s="212">
        <v>82.9</v>
      </c>
      <c r="Q17" s="212">
        <v>66.7</v>
      </c>
      <c r="R17" s="212">
        <v>96.8</v>
      </c>
      <c r="S17" s="212">
        <v>95.4</v>
      </c>
      <c r="T17" s="212">
        <v>99.2</v>
      </c>
      <c r="U17" s="212">
        <v>345.8</v>
      </c>
      <c r="V17" s="212">
        <v>441.6</v>
      </c>
      <c r="W17" s="212">
        <v>96.8</v>
      </c>
      <c r="X17" s="212">
        <v>67.7</v>
      </c>
      <c r="Z17">
        <v>1781</v>
      </c>
      <c r="AA17" s="212">
        <v>78.400000000000006</v>
      </c>
      <c r="AB17" s="212">
        <v>59.5</v>
      </c>
      <c r="AC17" s="212">
        <v>96.1</v>
      </c>
      <c r="AD17" s="212">
        <v>94.4</v>
      </c>
      <c r="AE17" s="212">
        <v>99.2</v>
      </c>
      <c r="AF17" s="212">
        <v>332.3</v>
      </c>
      <c r="AG17" s="212">
        <v>416.4</v>
      </c>
      <c r="AH17" s="212">
        <v>96.1</v>
      </c>
      <c r="AI17" s="212">
        <v>61.2</v>
      </c>
    </row>
    <row r="18" spans="2:35" x14ac:dyDescent="0.2">
      <c r="B18" t="s">
        <v>44</v>
      </c>
      <c r="D18">
        <v>825</v>
      </c>
      <c r="E18" s="212">
        <v>73.599999999999994</v>
      </c>
      <c r="F18" s="212">
        <v>41.3</v>
      </c>
      <c r="G18" s="212">
        <v>93.7</v>
      </c>
      <c r="H18" s="212">
        <v>90.8</v>
      </c>
      <c r="I18" s="212">
        <v>98.7</v>
      </c>
      <c r="J18" s="212">
        <v>315.10000000000002</v>
      </c>
      <c r="K18" s="212">
        <v>413.2</v>
      </c>
      <c r="L18" s="212">
        <v>93.5</v>
      </c>
      <c r="M18" s="212">
        <v>41.7</v>
      </c>
      <c r="O18">
        <v>828</v>
      </c>
      <c r="P18" s="212">
        <v>84.9</v>
      </c>
      <c r="Q18" s="212">
        <v>50.8</v>
      </c>
      <c r="R18" s="212">
        <v>96.4</v>
      </c>
      <c r="S18" s="212">
        <v>93.4</v>
      </c>
      <c r="T18" s="212">
        <v>99.2</v>
      </c>
      <c r="U18" s="212">
        <v>346</v>
      </c>
      <c r="V18" s="212">
        <v>482.5</v>
      </c>
      <c r="W18" s="212">
        <v>96.3</v>
      </c>
      <c r="X18" s="212">
        <v>51.2</v>
      </c>
      <c r="Z18">
        <v>1653</v>
      </c>
      <c r="AA18" s="212">
        <v>79.2</v>
      </c>
      <c r="AB18" s="212">
        <v>46.1</v>
      </c>
      <c r="AC18" s="212">
        <v>95</v>
      </c>
      <c r="AD18" s="212">
        <v>92.1</v>
      </c>
      <c r="AE18" s="212">
        <v>98.9</v>
      </c>
      <c r="AF18" s="212">
        <v>330.6</v>
      </c>
      <c r="AG18" s="212">
        <v>447.9</v>
      </c>
      <c r="AH18" s="212">
        <v>94.9</v>
      </c>
      <c r="AI18" s="212">
        <v>46.5</v>
      </c>
    </row>
    <row r="19" spans="2:35" x14ac:dyDescent="0.2">
      <c r="B19" t="s">
        <v>46</v>
      </c>
      <c r="D19">
        <v>1808</v>
      </c>
      <c r="E19" s="212">
        <v>81.900000000000006</v>
      </c>
      <c r="F19" s="212">
        <v>53.9</v>
      </c>
      <c r="G19" s="212">
        <v>95.1</v>
      </c>
      <c r="H19" s="212">
        <v>93.2</v>
      </c>
      <c r="I19" s="212">
        <v>99.6</v>
      </c>
      <c r="J19" s="212">
        <v>326</v>
      </c>
      <c r="K19" s="212">
        <v>428.7</v>
      </c>
      <c r="L19" s="212">
        <v>97.3</v>
      </c>
      <c r="M19" s="212">
        <v>55</v>
      </c>
      <c r="O19">
        <v>1714</v>
      </c>
      <c r="P19" s="212">
        <v>89.9</v>
      </c>
      <c r="Q19" s="212">
        <v>67.900000000000006</v>
      </c>
      <c r="R19" s="212">
        <v>97.5</v>
      </c>
      <c r="S19" s="212">
        <v>95.9</v>
      </c>
      <c r="T19" s="212">
        <v>99.7</v>
      </c>
      <c r="U19" s="212">
        <v>356.1</v>
      </c>
      <c r="V19" s="212">
        <v>489.2</v>
      </c>
      <c r="W19" s="212">
        <v>98</v>
      </c>
      <c r="X19" s="212">
        <v>68.400000000000006</v>
      </c>
      <c r="Z19">
        <v>3522</v>
      </c>
      <c r="AA19" s="212">
        <v>85.8</v>
      </c>
      <c r="AB19" s="212">
        <v>60.7</v>
      </c>
      <c r="AC19" s="212">
        <v>96.3</v>
      </c>
      <c r="AD19" s="212">
        <v>94.5</v>
      </c>
      <c r="AE19" s="212">
        <v>99.6</v>
      </c>
      <c r="AF19" s="212">
        <v>340.7</v>
      </c>
      <c r="AG19" s="212">
        <v>458.1</v>
      </c>
      <c r="AH19" s="212">
        <v>97.6</v>
      </c>
      <c r="AI19" s="212">
        <v>61.5</v>
      </c>
    </row>
    <row r="20" spans="2:35" x14ac:dyDescent="0.2">
      <c r="B20" t="s">
        <v>48</v>
      </c>
      <c r="D20">
        <v>1115</v>
      </c>
      <c r="E20" s="212">
        <v>79.900000000000006</v>
      </c>
      <c r="F20" s="212">
        <v>57.5</v>
      </c>
      <c r="G20" s="212">
        <v>96.8</v>
      </c>
      <c r="H20" s="212">
        <v>96.1</v>
      </c>
      <c r="I20" s="212">
        <v>99.9</v>
      </c>
      <c r="J20" s="212">
        <v>334.2</v>
      </c>
      <c r="K20" s="212">
        <v>450.4</v>
      </c>
      <c r="L20" s="212">
        <v>96.8</v>
      </c>
      <c r="M20" s="212">
        <v>57.9</v>
      </c>
      <c r="O20">
        <v>1084</v>
      </c>
      <c r="P20" s="212">
        <v>86.7</v>
      </c>
      <c r="Q20" s="212">
        <v>67.2</v>
      </c>
      <c r="R20" s="212">
        <v>98.6</v>
      </c>
      <c r="S20" s="212">
        <v>97.8</v>
      </c>
      <c r="T20" s="212">
        <v>99.9</v>
      </c>
      <c r="U20" s="212">
        <v>355.8</v>
      </c>
      <c r="V20" s="212">
        <v>487.6</v>
      </c>
      <c r="W20" s="212">
        <v>98.5</v>
      </c>
      <c r="X20" s="212">
        <v>67.5</v>
      </c>
      <c r="Z20">
        <v>2199</v>
      </c>
      <c r="AA20" s="212">
        <v>83.3</v>
      </c>
      <c r="AB20" s="212">
        <v>62.3</v>
      </c>
      <c r="AC20" s="212">
        <v>97.7</v>
      </c>
      <c r="AD20" s="212">
        <v>96.9</v>
      </c>
      <c r="AE20" s="212">
        <v>99.9</v>
      </c>
      <c r="AF20" s="212">
        <v>344.8</v>
      </c>
      <c r="AG20" s="212">
        <v>468.8</v>
      </c>
      <c r="AH20" s="212">
        <v>97.6</v>
      </c>
      <c r="AI20" s="212">
        <v>62.7</v>
      </c>
    </row>
    <row r="21" spans="2:35" x14ac:dyDescent="0.2">
      <c r="B21" t="s">
        <v>50</v>
      </c>
      <c r="D21">
        <v>2114</v>
      </c>
      <c r="E21" s="212">
        <v>79.3</v>
      </c>
      <c r="F21" s="212">
        <v>56.1</v>
      </c>
      <c r="G21" s="212">
        <v>96.8</v>
      </c>
      <c r="H21" s="212">
        <v>94</v>
      </c>
      <c r="I21" s="212">
        <v>99.4</v>
      </c>
      <c r="J21" s="212">
        <v>338.6</v>
      </c>
      <c r="K21" s="212">
        <v>464.4</v>
      </c>
      <c r="L21" s="212">
        <v>98.2</v>
      </c>
      <c r="M21" s="212">
        <v>56.6</v>
      </c>
      <c r="O21">
        <v>1994</v>
      </c>
      <c r="P21" s="212">
        <v>89.3</v>
      </c>
      <c r="Q21" s="212">
        <v>69</v>
      </c>
      <c r="R21" s="212">
        <v>98.1</v>
      </c>
      <c r="S21" s="212">
        <v>97.3</v>
      </c>
      <c r="T21" s="212">
        <v>99.8</v>
      </c>
      <c r="U21" s="212">
        <v>364</v>
      </c>
      <c r="V21" s="212">
        <v>520.70000000000005</v>
      </c>
      <c r="W21" s="212">
        <v>99.4</v>
      </c>
      <c r="X21" s="212">
        <v>69.5</v>
      </c>
      <c r="Z21">
        <v>4108</v>
      </c>
      <c r="AA21" s="212">
        <v>84.2</v>
      </c>
      <c r="AB21" s="212">
        <v>62.4</v>
      </c>
      <c r="AC21" s="212">
        <v>97.5</v>
      </c>
      <c r="AD21" s="212">
        <v>95.6</v>
      </c>
      <c r="AE21" s="212">
        <v>99.6</v>
      </c>
      <c r="AF21" s="212">
        <v>350.9</v>
      </c>
      <c r="AG21" s="212">
        <v>491.7</v>
      </c>
      <c r="AH21" s="212">
        <v>98.8</v>
      </c>
      <c r="AI21" s="212">
        <v>62.9</v>
      </c>
    </row>
    <row r="22" spans="2:35" x14ac:dyDescent="0.2">
      <c r="B22" t="s">
        <v>52</v>
      </c>
      <c r="D22">
        <v>1998</v>
      </c>
      <c r="E22" s="212">
        <v>78.8</v>
      </c>
      <c r="F22" s="212">
        <v>58.5</v>
      </c>
      <c r="G22" s="212">
        <v>94.9</v>
      </c>
      <c r="H22" s="212">
        <v>93.4</v>
      </c>
      <c r="I22" s="212">
        <v>98.6</v>
      </c>
      <c r="J22" s="212">
        <v>328.9</v>
      </c>
      <c r="K22" s="212">
        <v>437.4</v>
      </c>
      <c r="L22" s="212">
        <v>96.7</v>
      </c>
      <c r="M22" s="212">
        <v>59.4</v>
      </c>
      <c r="O22">
        <v>1837</v>
      </c>
      <c r="P22" s="212">
        <v>86.8</v>
      </c>
      <c r="Q22" s="212">
        <v>67.900000000000006</v>
      </c>
      <c r="R22" s="212">
        <v>96.8</v>
      </c>
      <c r="S22" s="212">
        <v>95.8</v>
      </c>
      <c r="T22" s="212">
        <v>99.1</v>
      </c>
      <c r="U22" s="212">
        <v>356.5</v>
      </c>
      <c r="V22" s="212">
        <v>487.2</v>
      </c>
      <c r="W22" s="212">
        <v>97.8</v>
      </c>
      <c r="X22" s="212">
        <v>68.400000000000006</v>
      </c>
      <c r="Z22">
        <v>3835</v>
      </c>
      <c r="AA22" s="212">
        <v>82.6</v>
      </c>
      <c r="AB22" s="212">
        <v>63</v>
      </c>
      <c r="AC22" s="212">
        <v>95.9</v>
      </c>
      <c r="AD22" s="212">
        <v>94.6</v>
      </c>
      <c r="AE22" s="212">
        <v>98.9</v>
      </c>
      <c r="AF22" s="212">
        <v>342.1</v>
      </c>
      <c r="AG22" s="212">
        <v>461.3</v>
      </c>
      <c r="AH22" s="212">
        <v>97.2</v>
      </c>
      <c r="AI22" s="212">
        <v>63.7</v>
      </c>
    </row>
    <row r="23" spans="2:35" x14ac:dyDescent="0.2">
      <c r="B23" t="s">
        <v>54</v>
      </c>
      <c r="D23">
        <v>2926</v>
      </c>
      <c r="E23" s="212">
        <v>76.400000000000006</v>
      </c>
      <c r="F23" s="212">
        <v>49.6</v>
      </c>
      <c r="G23" s="212">
        <v>95.1</v>
      </c>
      <c r="H23" s="212">
        <v>93.3</v>
      </c>
      <c r="I23" s="212">
        <v>99.2</v>
      </c>
      <c r="J23" s="212">
        <v>326.8</v>
      </c>
      <c r="K23" s="212">
        <v>423.8</v>
      </c>
      <c r="L23" s="212">
        <v>95.6</v>
      </c>
      <c r="M23" s="212">
        <v>50.6</v>
      </c>
      <c r="O23">
        <v>2810</v>
      </c>
      <c r="P23" s="212">
        <v>85.3</v>
      </c>
      <c r="Q23" s="212">
        <v>63.7</v>
      </c>
      <c r="R23" s="212">
        <v>96.9</v>
      </c>
      <c r="S23" s="212">
        <v>95.4</v>
      </c>
      <c r="T23" s="212">
        <v>99.4</v>
      </c>
      <c r="U23" s="212">
        <v>352</v>
      </c>
      <c r="V23" s="212">
        <v>468.4</v>
      </c>
      <c r="W23" s="212">
        <v>97.4</v>
      </c>
      <c r="X23" s="212">
        <v>64.2</v>
      </c>
      <c r="Z23">
        <v>5736</v>
      </c>
      <c r="AA23" s="212">
        <v>80.7</v>
      </c>
      <c r="AB23" s="212">
        <v>56.5</v>
      </c>
      <c r="AC23" s="212">
        <v>96</v>
      </c>
      <c r="AD23" s="212">
        <v>94.3</v>
      </c>
      <c r="AE23" s="212">
        <v>99.3</v>
      </c>
      <c r="AF23" s="212">
        <v>339.1</v>
      </c>
      <c r="AG23" s="212">
        <v>445.6</v>
      </c>
      <c r="AH23" s="212">
        <v>96.5</v>
      </c>
      <c r="AI23" s="212">
        <v>57.2</v>
      </c>
    </row>
    <row r="24" spans="2:35" x14ac:dyDescent="0.2">
      <c r="B24" t="s">
        <v>56</v>
      </c>
      <c r="D24">
        <v>720</v>
      </c>
      <c r="E24" s="212">
        <v>82.6</v>
      </c>
      <c r="F24" s="212">
        <v>55.4</v>
      </c>
      <c r="G24" s="212">
        <v>94.2</v>
      </c>
      <c r="H24" s="212">
        <v>92.2</v>
      </c>
      <c r="I24" s="212">
        <v>99.2</v>
      </c>
      <c r="J24" s="212">
        <v>325.60000000000002</v>
      </c>
      <c r="K24" s="212">
        <v>447.7</v>
      </c>
      <c r="L24" s="212">
        <v>94.7</v>
      </c>
      <c r="M24" s="212">
        <v>56.3</v>
      </c>
      <c r="O24">
        <v>708</v>
      </c>
      <c r="P24" s="212">
        <v>90.4</v>
      </c>
      <c r="Q24" s="212">
        <v>69.599999999999994</v>
      </c>
      <c r="R24" s="212">
        <v>96.8</v>
      </c>
      <c r="S24" s="212">
        <v>95.8</v>
      </c>
      <c r="T24" s="212">
        <v>99.2</v>
      </c>
      <c r="U24" s="212">
        <v>352.1</v>
      </c>
      <c r="V24" s="212">
        <v>508.2</v>
      </c>
      <c r="W24" s="212">
        <v>97.6</v>
      </c>
      <c r="X24" s="212">
        <v>70.099999999999994</v>
      </c>
      <c r="Z24">
        <v>1428</v>
      </c>
      <c r="AA24" s="212">
        <v>86.5</v>
      </c>
      <c r="AB24" s="212">
        <v>62.5</v>
      </c>
      <c r="AC24" s="212">
        <v>95.4</v>
      </c>
      <c r="AD24" s="212">
        <v>94</v>
      </c>
      <c r="AE24" s="212">
        <v>99.2</v>
      </c>
      <c r="AF24" s="212">
        <v>338.7</v>
      </c>
      <c r="AG24" s="212">
        <v>477.7</v>
      </c>
      <c r="AH24" s="212">
        <v>96.1</v>
      </c>
      <c r="AI24" s="212">
        <v>63.1</v>
      </c>
    </row>
    <row r="25" spans="2:35" x14ac:dyDescent="0.2">
      <c r="B25" t="s">
        <v>58</v>
      </c>
      <c r="D25">
        <v>695</v>
      </c>
      <c r="E25" s="212">
        <v>70.2</v>
      </c>
      <c r="F25" s="212">
        <v>39.6</v>
      </c>
      <c r="G25" s="212">
        <v>88.3</v>
      </c>
      <c r="H25" s="212">
        <v>86.2</v>
      </c>
      <c r="I25" s="212">
        <v>98.1</v>
      </c>
      <c r="J25" s="212">
        <v>289.5</v>
      </c>
      <c r="K25" s="212">
        <v>361.8</v>
      </c>
      <c r="L25" s="212">
        <v>91.8</v>
      </c>
      <c r="M25" s="212">
        <v>40.1</v>
      </c>
      <c r="O25">
        <v>696</v>
      </c>
      <c r="P25" s="212">
        <v>79.599999999999994</v>
      </c>
      <c r="Q25" s="212">
        <v>47.8</v>
      </c>
      <c r="R25" s="212">
        <v>92.4</v>
      </c>
      <c r="S25" s="212">
        <v>90.5</v>
      </c>
      <c r="T25" s="212">
        <v>98.6</v>
      </c>
      <c r="U25" s="212">
        <v>316</v>
      </c>
      <c r="V25" s="212">
        <v>407</v>
      </c>
      <c r="W25" s="212">
        <v>95.1</v>
      </c>
      <c r="X25" s="212">
        <v>48.7</v>
      </c>
      <c r="Z25">
        <v>1391</v>
      </c>
      <c r="AA25" s="212">
        <v>74.900000000000006</v>
      </c>
      <c r="AB25" s="212">
        <v>43.7</v>
      </c>
      <c r="AC25" s="212">
        <v>90.4</v>
      </c>
      <c r="AD25" s="212">
        <v>88.4</v>
      </c>
      <c r="AE25" s="212">
        <v>98.3</v>
      </c>
      <c r="AF25" s="212">
        <v>302.8</v>
      </c>
      <c r="AG25" s="212">
        <v>384.4</v>
      </c>
      <c r="AH25" s="212">
        <v>93.5</v>
      </c>
      <c r="AI25" s="212">
        <v>44.4</v>
      </c>
    </row>
    <row r="26" spans="2:35" x14ac:dyDescent="0.2">
      <c r="B26" t="s">
        <v>60</v>
      </c>
      <c r="D26">
        <v>6825</v>
      </c>
      <c r="E26" s="212">
        <v>79.099999999999994</v>
      </c>
      <c r="F26" s="212">
        <v>55.6</v>
      </c>
      <c r="G26" s="212">
        <v>94.9</v>
      </c>
      <c r="H26" s="212">
        <v>93.4</v>
      </c>
      <c r="I26" s="212">
        <v>99.2</v>
      </c>
      <c r="J26" s="212">
        <v>330.2</v>
      </c>
      <c r="K26" s="212">
        <v>444.5</v>
      </c>
      <c r="L26" s="212">
        <v>95.7</v>
      </c>
      <c r="M26" s="212">
        <v>56.4</v>
      </c>
      <c r="O26">
        <v>6406</v>
      </c>
      <c r="P26" s="212">
        <v>86.8</v>
      </c>
      <c r="Q26" s="212">
        <v>67.2</v>
      </c>
      <c r="R26" s="212">
        <v>96.9</v>
      </c>
      <c r="S26" s="212">
        <v>95.6</v>
      </c>
      <c r="T26" s="212">
        <v>99.4</v>
      </c>
      <c r="U26" s="212">
        <v>354.9</v>
      </c>
      <c r="V26" s="212">
        <v>484.7</v>
      </c>
      <c r="W26" s="212">
        <v>97.6</v>
      </c>
      <c r="X26" s="212">
        <v>67.8</v>
      </c>
      <c r="Z26">
        <v>13231</v>
      </c>
      <c r="AA26" s="212">
        <v>82.8</v>
      </c>
      <c r="AB26" s="212">
        <v>61.2</v>
      </c>
      <c r="AC26" s="212">
        <v>95.8</v>
      </c>
      <c r="AD26" s="212">
        <v>94.4</v>
      </c>
      <c r="AE26" s="212">
        <v>99.3</v>
      </c>
      <c r="AF26" s="212">
        <v>342.1</v>
      </c>
      <c r="AG26" s="212">
        <v>464</v>
      </c>
      <c r="AH26" s="212">
        <v>96.6</v>
      </c>
      <c r="AI26" s="212">
        <v>61.9</v>
      </c>
    </row>
    <row r="27" spans="2:35" x14ac:dyDescent="0.2">
      <c r="B27" t="s">
        <v>62</v>
      </c>
      <c r="D27">
        <v>2501</v>
      </c>
      <c r="E27" s="212">
        <v>82.4</v>
      </c>
      <c r="F27" s="212">
        <v>52.2</v>
      </c>
      <c r="G27" s="212">
        <v>94.4</v>
      </c>
      <c r="H27" s="212">
        <v>92.6</v>
      </c>
      <c r="I27" s="212">
        <v>99</v>
      </c>
      <c r="J27" s="212">
        <v>331</v>
      </c>
      <c r="K27" s="212">
        <v>446.9</v>
      </c>
      <c r="L27" s="212">
        <v>95.6</v>
      </c>
      <c r="M27" s="212">
        <v>53.1</v>
      </c>
      <c r="O27">
        <v>2601</v>
      </c>
      <c r="P27" s="212">
        <v>86.4</v>
      </c>
      <c r="Q27" s="212">
        <v>59.7</v>
      </c>
      <c r="R27" s="212">
        <v>94.7</v>
      </c>
      <c r="S27" s="212">
        <v>92.9</v>
      </c>
      <c r="T27" s="212">
        <v>99.2</v>
      </c>
      <c r="U27" s="212">
        <v>342.9</v>
      </c>
      <c r="V27" s="212">
        <v>467</v>
      </c>
      <c r="W27" s="212">
        <v>96.6</v>
      </c>
      <c r="X27" s="212">
        <v>60.6</v>
      </c>
      <c r="Z27">
        <v>5102</v>
      </c>
      <c r="AA27" s="212">
        <v>84.4</v>
      </c>
      <c r="AB27" s="212">
        <v>56</v>
      </c>
      <c r="AC27" s="212">
        <v>94.6</v>
      </c>
      <c r="AD27" s="212">
        <v>92.7</v>
      </c>
      <c r="AE27" s="212">
        <v>99.1</v>
      </c>
      <c r="AF27" s="212">
        <v>337.1</v>
      </c>
      <c r="AG27" s="212">
        <v>457.2</v>
      </c>
      <c r="AH27" s="212">
        <v>96.1</v>
      </c>
      <c r="AI27" s="212">
        <v>56.9</v>
      </c>
    </row>
    <row r="28" spans="2:35" x14ac:dyDescent="0.2">
      <c r="B28" t="s">
        <v>64</v>
      </c>
      <c r="D28">
        <v>2273</v>
      </c>
      <c r="E28" s="212">
        <v>78</v>
      </c>
      <c r="F28" s="212">
        <v>48.7</v>
      </c>
      <c r="G28" s="212">
        <v>90.6</v>
      </c>
      <c r="H28" s="212">
        <v>87.9</v>
      </c>
      <c r="I28" s="212">
        <v>98.5</v>
      </c>
      <c r="J28" s="212">
        <v>311.89999999999998</v>
      </c>
      <c r="K28" s="212">
        <v>417.5</v>
      </c>
      <c r="L28" s="212">
        <v>93.9</v>
      </c>
      <c r="M28" s="212">
        <v>49.1</v>
      </c>
      <c r="O28">
        <v>2237</v>
      </c>
      <c r="P28" s="212">
        <v>84.7</v>
      </c>
      <c r="Q28" s="212">
        <v>57.7</v>
      </c>
      <c r="R28" s="212">
        <v>94.6</v>
      </c>
      <c r="S28" s="212">
        <v>91.5</v>
      </c>
      <c r="T28" s="212">
        <v>99.1</v>
      </c>
      <c r="U28" s="212">
        <v>338.6</v>
      </c>
      <c r="V28" s="212">
        <v>473.2</v>
      </c>
      <c r="W28" s="212">
        <v>96.6</v>
      </c>
      <c r="X28" s="212">
        <v>58.4</v>
      </c>
      <c r="Z28">
        <v>4510</v>
      </c>
      <c r="AA28" s="212">
        <v>81.3</v>
      </c>
      <c r="AB28" s="212">
        <v>53.1</v>
      </c>
      <c r="AC28" s="212">
        <v>92.6</v>
      </c>
      <c r="AD28" s="212">
        <v>89.7</v>
      </c>
      <c r="AE28" s="212">
        <v>98.8</v>
      </c>
      <c r="AF28" s="212">
        <v>325.10000000000002</v>
      </c>
      <c r="AG28" s="212">
        <v>445.1</v>
      </c>
      <c r="AH28" s="212">
        <v>95.3</v>
      </c>
      <c r="AI28" s="212">
        <v>53.7</v>
      </c>
    </row>
    <row r="29" spans="2:35" x14ac:dyDescent="0.2">
      <c r="B29" t="s">
        <v>66</v>
      </c>
      <c r="D29">
        <v>1623</v>
      </c>
      <c r="E29" s="212">
        <v>80.7</v>
      </c>
      <c r="F29" s="212">
        <v>50.2</v>
      </c>
      <c r="G29" s="212">
        <v>95.3</v>
      </c>
      <c r="H29" s="212">
        <v>93</v>
      </c>
      <c r="I29" s="212">
        <v>99.3</v>
      </c>
      <c r="J29" s="212">
        <v>324.89999999999998</v>
      </c>
      <c r="K29" s="212">
        <v>445.4</v>
      </c>
      <c r="L29" s="212">
        <v>96.2</v>
      </c>
      <c r="M29" s="212">
        <v>51.6</v>
      </c>
      <c r="O29">
        <v>1478</v>
      </c>
      <c r="P29" s="212">
        <v>87.7</v>
      </c>
      <c r="Q29" s="212">
        <v>64.5</v>
      </c>
      <c r="R29" s="212">
        <v>96.3</v>
      </c>
      <c r="S29" s="212">
        <v>94.3</v>
      </c>
      <c r="T29" s="212">
        <v>99.4</v>
      </c>
      <c r="U29" s="212">
        <v>350.6</v>
      </c>
      <c r="V29" s="212">
        <v>496</v>
      </c>
      <c r="W29" s="212">
        <v>97.4</v>
      </c>
      <c r="X29" s="212">
        <v>65</v>
      </c>
      <c r="Z29">
        <v>3101</v>
      </c>
      <c r="AA29" s="212">
        <v>84</v>
      </c>
      <c r="AB29" s="212">
        <v>57</v>
      </c>
      <c r="AC29" s="212">
        <v>95.8</v>
      </c>
      <c r="AD29" s="212">
        <v>93.6</v>
      </c>
      <c r="AE29" s="212">
        <v>99.4</v>
      </c>
      <c r="AF29" s="212">
        <v>337.1</v>
      </c>
      <c r="AG29" s="212">
        <v>469.5</v>
      </c>
      <c r="AH29" s="212">
        <v>96.8</v>
      </c>
      <c r="AI29" s="212">
        <v>57.9</v>
      </c>
    </row>
    <row r="30" spans="2:35" x14ac:dyDescent="0.2">
      <c r="B30" t="s">
        <v>68</v>
      </c>
      <c r="D30">
        <v>1183</v>
      </c>
      <c r="E30" s="212">
        <v>78.3</v>
      </c>
      <c r="F30" s="212">
        <v>52.7</v>
      </c>
      <c r="G30" s="212">
        <v>94</v>
      </c>
      <c r="H30" s="212">
        <v>91.1</v>
      </c>
      <c r="I30" s="212">
        <v>99.4</v>
      </c>
      <c r="J30" s="212">
        <v>319.3</v>
      </c>
      <c r="K30" s="212">
        <v>421.8</v>
      </c>
      <c r="L30" s="212">
        <v>96.2</v>
      </c>
      <c r="M30" s="212">
        <v>54.1</v>
      </c>
      <c r="O30">
        <v>1252</v>
      </c>
      <c r="P30" s="212">
        <v>84.4</v>
      </c>
      <c r="Q30" s="212">
        <v>59.6</v>
      </c>
      <c r="R30" s="212">
        <v>95.9</v>
      </c>
      <c r="S30" s="212">
        <v>93.9</v>
      </c>
      <c r="T30" s="212">
        <v>99.4</v>
      </c>
      <c r="U30" s="212">
        <v>340.5</v>
      </c>
      <c r="V30" s="212">
        <v>456.8</v>
      </c>
      <c r="W30" s="212">
        <v>97.9</v>
      </c>
      <c r="X30" s="212">
        <v>60.2</v>
      </c>
      <c r="Z30">
        <v>2435</v>
      </c>
      <c r="AA30" s="212">
        <v>81.400000000000006</v>
      </c>
      <c r="AB30" s="212">
        <v>56.2</v>
      </c>
      <c r="AC30" s="212">
        <v>95</v>
      </c>
      <c r="AD30" s="212">
        <v>92.6</v>
      </c>
      <c r="AE30" s="212">
        <v>99.4</v>
      </c>
      <c r="AF30" s="212">
        <v>330.2</v>
      </c>
      <c r="AG30" s="212">
        <v>439.8</v>
      </c>
      <c r="AH30" s="212">
        <v>97.1</v>
      </c>
      <c r="AI30" s="212">
        <v>57.2</v>
      </c>
    </row>
    <row r="31" spans="2:35" x14ac:dyDescent="0.2">
      <c r="B31" t="s">
        <v>70</v>
      </c>
      <c r="D31">
        <v>1156</v>
      </c>
      <c r="E31" s="212">
        <v>82.2</v>
      </c>
      <c r="F31" s="212">
        <v>50.5</v>
      </c>
      <c r="G31" s="212">
        <v>95.4</v>
      </c>
      <c r="H31" s="212">
        <v>92</v>
      </c>
      <c r="I31" s="212">
        <v>99.3</v>
      </c>
      <c r="J31" s="212">
        <v>322.89999999999998</v>
      </c>
      <c r="K31" s="212">
        <v>429.1</v>
      </c>
      <c r="L31" s="212">
        <v>95.6</v>
      </c>
      <c r="M31" s="212">
        <v>50.9</v>
      </c>
      <c r="O31">
        <v>1082</v>
      </c>
      <c r="P31" s="212">
        <v>89.1</v>
      </c>
      <c r="Q31" s="212">
        <v>59.3</v>
      </c>
      <c r="R31" s="212">
        <v>97</v>
      </c>
      <c r="S31" s="212">
        <v>94.5</v>
      </c>
      <c r="T31" s="212">
        <v>99.1</v>
      </c>
      <c r="U31" s="212">
        <v>347.7</v>
      </c>
      <c r="V31" s="212">
        <v>477.5</v>
      </c>
      <c r="W31" s="212">
        <v>97.1</v>
      </c>
      <c r="X31" s="212">
        <v>59.5</v>
      </c>
      <c r="Z31">
        <v>2238</v>
      </c>
      <c r="AA31" s="212">
        <v>85.5</v>
      </c>
      <c r="AB31" s="212">
        <v>54.8</v>
      </c>
      <c r="AC31" s="212">
        <v>96.2</v>
      </c>
      <c r="AD31" s="212">
        <v>93.2</v>
      </c>
      <c r="AE31" s="212">
        <v>99.2</v>
      </c>
      <c r="AF31" s="212">
        <v>334.9</v>
      </c>
      <c r="AG31" s="212">
        <v>452.5</v>
      </c>
      <c r="AH31" s="212">
        <v>96.3</v>
      </c>
      <c r="AI31" s="212">
        <v>55</v>
      </c>
    </row>
    <row r="32" spans="2:35" x14ac:dyDescent="0.2">
      <c r="B32" t="s">
        <v>72</v>
      </c>
      <c r="D32">
        <v>1788</v>
      </c>
      <c r="E32" s="212">
        <v>85</v>
      </c>
      <c r="F32" s="212">
        <v>57.3</v>
      </c>
      <c r="G32" s="212">
        <v>94.9</v>
      </c>
      <c r="H32" s="212">
        <v>94.1</v>
      </c>
      <c r="I32" s="212">
        <v>99.1</v>
      </c>
      <c r="J32" s="212">
        <v>333.5</v>
      </c>
      <c r="K32" s="212">
        <v>435.6</v>
      </c>
      <c r="L32" s="212">
        <v>96.8</v>
      </c>
      <c r="M32" s="212">
        <v>57.8</v>
      </c>
      <c r="O32">
        <v>1693</v>
      </c>
      <c r="P32" s="212">
        <v>89.4</v>
      </c>
      <c r="Q32" s="212">
        <v>64.7</v>
      </c>
      <c r="R32" s="212">
        <v>97.6</v>
      </c>
      <c r="S32" s="212">
        <v>96.8</v>
      </c>
      <c r="T32" s="212">
        <v>99.7</v>
      </c>
      <c r="U32" s="212">
        <v>357.1</v>
      </c>
      <c r="V32" s="212">
        <v>470.1</v>
      </c>
      <c r="W32" s="212">
        <v>98.8</v>
      </c>
      <c r="X32" s="212">
        <v>65.099999999999994</v>
      </c>
      <c r="Z32">
        <v>3481</v>
      </c>
      <c r="AA32" s="212">
        <v>87.1</v>
      </c>
      <c r="AB32" s="212">
        <v>60.9</v>
      </c>
      <c r="AC32" s="212">
        <v>96.2</v>
      </c>
      <c r="AD32" s="212">
        <v>95.4</v>
      </c>
      <c r="AE32" s="212">
        <v>99.4</v>
      </c>
      <c r="AF32" s="212">
        <v>345</v>
      </c>
      <c r="AG32" s="212">
        <v>452.4</v>
      </c>
      <c r="AH32" s="212">
        <v>97.8</v>
      </c>
      <c r="AI32" s="212">
        <v>61.3</v>
      </c>
    </row>
    <row r="33" spans="2:35" x14ac:dyDescent="0.2">
      <c r="B33" t="s">
        <v>74</v>
      </c>
      <c r="D33">
        <v>987</v>
      </c>
      <c r="E33" s="212">
        <v>83.9</v>
      </c>
      <c r="F33" s="212">
        <v>49.1</v>
      </c>
      <c r="G33" s="212">
        <v>95.3</v>
      </c>
      <c r="H33" s="212">
        <v>92.7</v>
      </c>
      <c r="I33" s="212">
        <v>99.4</v>
      </c>
      <c r="J33" s="212">
        <v>330.7</v>
      </c>
      <c r="K33" s="212">
        <v>434.6</v>
      </c>
      <c r="L33" s="212">
        <v>95.6</v>
      </c>
      <c r="M33" s="212">
        <v>49.8</v>
      </c>
      <c r="O33">
        <v>955</v>
      </c>
      <c r="P33" s="212">
        <v>89.9</v>
      </c>
      <c r="Q33" s="212">
        <v>62.1</v>
      </c>
      <c r="R33" s="212">
        <v>98.2</v>
      </c>
      <c r="S33" s="212">
        <v>96.1</v>
      </c>
      <c r="T33" s="212">
        <v>99.7</v>
      </c>
      <c r="U33" s="212">
        <v>356.7</v>
      </c>
      <c r="V33" s="212">
        <v>492.8</v>
      </c>
      <c r="W33" s="212">
        <v>98.7</v>
      </c>
      <c r="X33" s="212">
        <v>62.3</v>
      </c>
      <c r="Z33">
        <v>1942</v>
      </c>
      <c r="AA33" s="212">
        <v>86.9</v>
      </c>
      <c r="AB33" s="212">
        <v>55.5</v>
      </c>
      <c r="AC33" s="212">
        <v>96.8</v>
      </c>
      <c r="AD33" s="212">
        <v>94.4</v>
      </c>
      <c r="AE33" s="212">
        <v>99.5</v>
      </c>
      <c r="AF33" s="212">
        <v>343.5</v>
      </c>
      <c r="AG33" s="212">
        <v>463.2</v>
      </c>
      <c r="AH33" s="212">
        <v>97.2</v>
      </c>
      <c r="AI33" s="212">
        <v>56</v>
      </c>
    </row>
    <row r="34" spans="2:35" x14ac:dyDescent="0.2">
      <c r="B34" t="s">
        <v>76</v>
      </c>
      <c r="D34">
        <v>1540</v>
      </c>
      <c r="E34" s="212">
        <v>81.400000000000006</v>
      </c>
      <c r="F34" s="212">
        <v>60.3</v>
      </c>
      <c r="G34" s="212">
        <v>94.9</v>
      </c>
      <c r="H34" s="212">
        <v>94.2</v>
      </c>
      <c r="I34" s="212">
        <v>99.2</v>
      </c>
      <c r="J34" s="212">
        <v>333</v>
      </c>
      <c r="K34" s="212">
        <v>449.6</v>
      </c>
      <c r="L34" s="212">
        <v>96.6</v>
      </c>
      <c r="M34" s="212">
        <v>61.7</v>
      </c>
      <c r="O34">
        <v>1444</v>
      </c>
      <c r="P34" s="212">
        <v>88.3</v>
      </c>
      <c r="Q34" s="212">
        <v>71.599999999999994</v>
      </c>
      <c r="R34" s="212">
        <v>96.5</v>
      </c>
      <c r="S34" s="212">
        <v>95.6</v>
      </c>
      <c r="T34" s="212">
        <v>99.2</v>
      </c>
      <c r="U34" s="212">
        <v>357.1</v>
      </c>
      <c r="V34" s="212">
        <v>500.1</v>
      </c>
      <c r="W34" s="212">
        <v>97.6</v>
      </c>
      <c r="X34" s="212">
        <v>72.2</v>
      </c>
      <c r="Z34">
        <v>2984</v>
      </c>
      <c r="AA34" s="212">
        <v>84.7</v>
      </c>
      <c r="AB34" s="212">
        <v>65.8</v>
      </c>
      <c r="AC34" s="212">
        <v>95.6</v>
      </c>
      <c r="AD34" s="212">
        <v>94.9</v>
      </c>
      <c r="AE34" s="212">
        <v>99.2</v>
      </c>
      <c r="AF34" s="212">
        <v>344.7</v>
      </c>
      <c r="AG34" s="212">
        <v>474.1</v>
      </c>
      <c r="AH34" s="212">
        <v>97.1</v>
      </c>
      <c r="AI34" s="212">
        <v>66.8</v>
      </c>
    </row>
    <row r="35" spans="2:35" x14ac:dyDescent="0.2">
      <c r="B35" t="s">
        <v>78</v>
      </c>
      <c r="D35">
        <v>1347</v>
      </c>
      <c r="E35" s="212">
        <v>80.7</v>
      </c>
      <c r="F35" s="212">
        <v>54.6</v>
      </c>
      <c r="G35" s="212">
        <v>95.2</v>
      </c>
      <c r="H35" s="212">
        <v>93</v>
      </c>
      <c r="I35" s="212">
        <v>99.1</v>
      </c>
      <c r="J35" s="212">
        <v>326.60000000000002</v>
      </c>
      <c r="K35" s="212">
        <v>432</v>
      </c>
      <c r="L35" s="212">
        <v>95.6</v>
      </c>
      <c r="M35" s="212">
        <v>55.6</v>
      </c>
      <c r="O35">
        <v>1361</v>
      </c>
      <c r="P35" s="212">
        <v>85.5</v>
      </c>
      <c r="Q35" s="212">
        <v>64.099999999999994</v>
      </c>
      <c r="R35" s="212">
        <v>95.8</v>
      </c>
      <c r="S35" s="212">
        <v>94.8</v>
      </c>
      <c r="T35" s="212">
        <v>99.4</v>
      </c>
      <c r="U35" s="212">
        <v>346.3</v>
      </c>
      <c r="V35" s="212">
        <v>474.6</v>
      </c>
      <c r="W35" s="212">
        <v>97.2</v>
      </c>
      <c r="X35" s="212">
        <v>64.900000000000006</v>
      </c>
      <c r="Z35">
        <v>2708</v>
      </c>
      <c r="AA35" s="212">
        <v>83.1</v>
      </c>
      <c r="AB35" s="212">
        <v>59.4</v>
      </c>
      <c r="AC35" s="212">
        <v>95.5</v>
      </c>
      <c r="AD35" s="212">
        <v>93.9</v>
      </c>
      <c r="AE35" s="212">
        <v>99.3</v>
      </c>
      <c r="AF35" s="212">
        <v>336.5</v>
      </c>
      <c r="AG35" s="212">
        <v>453.4</v>
      </c>
      <c r="AH35" s="212">
        <v>96.4</v>
      </c>
      <c r="AI35" s="212">
        <v>60.3</v>
      </c>
    </row>
    <row r="36" spans="2:35" x14ac:dyDescent="0.2">
      <c r="B36" t="s">
        <v>80</v>
      </c>
      <c r="D36">
        <v>1533</v>
      </c>
      <c r="E36" s="212">
        <v>86.5</v>
      </c>
      <c r="F36" s="212">
        <v>64.3</v>
      </c>
      <c r="G36" s="212">
        <v>97</v>
      </c>
      <c r="H36" s="212">
        <v>96.5</v>
      </c>
      <c r="I36" s="212">
        <v>99.6</v>
      </c>
      <c r="J36" s="212">
        <v>351</v>
      </c>
      <c r="K36" s="212">
        <v>498.7</v>
      </c>
      <c r="L36" s="212">
        <v>97.7</v>
      </c>
      <c r="M36" s="212">
        <v>65</v>
      </c>
      <c r="O36">
        <v>1380</v>
      </c>
      <c r="P36" s="212">
        <v>90.7</v>
      </c>
      <c r="Q36" s="212">
        <v>77.5</v>
      </c>
      <c r="R36" s="212">
        <v>97.9</v>
      </c>
      <c r="S36" s="212">
        <v>97.6</v>
      </c>
      <c r="T36" s="212">
        <v>99.9</v>
      </c>
      <c r="U36" s="212">
        <v>376.1</v>
      </c>
      <c r="V36" s="212">
        <v>503.6</v>
      </c>
      <c r="W36" s="212">
        <v>98.5</v>
      </c>
      <c r="X36" s="212">
        <v>78</v>
      </c>
      <c r="Z36">
        <v>2913</v>
      </c>
      <c r="AA36" s="212">
        <v>88.5</v>
      </c>
      <c r="AB36" s="212">
        <v>70.5</v>
      </c>
      <c r="AC36" s="212">
        <v>97.4</v>
      </c>
      <c r="AD36" s="212">
        <v>97</v>
      </c>
      <c r="AE36" s="212">
        <v>99.7</v>
      </c>
      <c r="AF36" s="212">
        <v>362.9</v>
      </c>
      <c r="AG36" s="212">
        <v>501</v>
      </c>
      <c r="AH36" s="212">
        <v>98</v>
      </c>
      <c r="AI36" s="212">
        <v>71.099999999999994</v>
      </c>
    </row>
    <row r="37" spans="2:35" x14ac:dyDescent="0.2">
      <c r="B37" t="s">
        <v>82</v>
      </c>
      <c r="D37">
        <v>1260</v>
      </c>
      <c r="E37" s="212">
        <v>80</v>
      </c>
      <c r="F37" s="212">
        <v>60.2</v>
      </c>
      <c r="G37" s="212">
        <v>96.2</v>
      </c>
      <c r="H37" s="212">
        <v>95.2</v>
      </c>
      <c r="I37" s="212">
        <v>99.4</v>
      </c>
      <c r="J37" s="212">
        <v>332.7</v>
      </c>
      <c r="K37" s="212">
        <v>435.1</v>
      </c>
      <c r="L37" s="212">
        <v>97.6</v>
      </c>
      <c r="M37" s="212">
        <v>61.8</v>
      </c>
      <c r="O37">
        <v>1195</v>
      </c>
      <c r="P37" s="212">
        <v>86.9</v>
      </c>
      <c r="Q37" s="212">
        <v>71.5</v>
      </c>
      <c r="R37" s="212">
        <v>97.2</v>
      </c>
      <c r="S37" s="212">
        <v>96.5</v>
      </c>
      <c r="T37" s="212">
        <v>99.4</v>
      </c>
      <c r="U37" s="212">
        <v>353.8</v>
      </c>
      <c r="V37" s="212">
        <v>468.1</v>
      </c>
      <c r="W37" s="212">
        <v>98.3</v>
      </c>
      <c r="X37" s="212">
        <v>72.5</v>
      </c>
      <c r="Z37">
        <v>2455</v>
      </c>
      <c r="AA37" s="212">
        <v>83.4</v>
      </c>
      <c r="AB37" s="212">
        <v>65.7</v>
      </c>
      <c r="AC37" s="212">
        <v>96.7</v>
      </c>
      <c r="AD37" s="212">
        <v>95.8</v>
      </c>
      <c r="AE37" s="212">
        <v>99.4</v>
      </c>
      <c r="AF37" s="212">
        <v>342.9</v>
      </c>
      <c r="AG37" s="212">
        <v>451.1</v>
      </c>
      <c r="AH37" s="212">
        <v>98</v>
      </c>
      <c r="AI37" s="212">
        <v>67</v>
      </c>
    </row>
    <row r="38" spans="2:35" x14ac:dyDescent="0.2">
      <c r="B38" t="s">
        <v>84</v>
      </c>
      <c r="D38">
        <v>1895</v>
      </c>
      <c r="E38" s="212">
        <v>79</v>
      </c>
      <c r="F38" s="212">
        <v>58</v>
      </c>
      <c r="G38" s="212">
        <v>95.9</v>
      </c>
      <c r="H38" s="212">
        <v>94.8</v>
      </c>
      <c r="I38" s="212">
        <v>99.5</v>
      </c>
      <c r="J38" s="212">
        <v>328.7</v>
      </c>
      <c r="K38" s="212">
        <v>434.6</v>
      </c>
      <c r="L38" s="212">
        <v>97.5</v>
      </c>
      <c r="M38" s="212">
        <v>59.5</v>
      </c>
      <c r="O38">
        <v>1868</v>
      </c>
      <c r="P38" s="212">
        <v>84.4</v>
      </c>
      <c r="Q38" s="212">
        <v>69.5</v>
      </c>
      <c r="R38" s="212">
        <v>97.2</v>
      </c>
      <c r="S38" s="212">
        <v>96</v>
      </c>
      <c r="T38" s="212">
        <v>99.6</v>
      </c>
      <c r="U38" s="212">
        <v>348.8</v>
      </c>
      <c r="V38" s="212">
        <v>473.3</v>
      </c>
      <c r="W38" s="212">
        <v>98.3</v>
      </c>
      <c r="X38" s="212">
        <v>70.3</v>
      </c>
      <c r="Z38">
        <v>3763</v>
      </c>
      <c r="AA38" s="212">
        <v>81.7</v>
      </c>
      <c r="AB38" s="212">
        <v>63.8</v>
      </c>
      <c r="AC38" s="212">
        <v>96.5</v>
      </c>
      <c r="AD38" s="212">
        <v>95.4</v>
      </c>
      <c r="AE38" s="212">
        <v>99.5</v>
      </c>
      <c r="AF38" s="212">
        <v>338.7</v>
      </c>
      <c r="AG38" s="212">
        <v>453.8</v>
      </c>
      <c r="AH38" s="212">
        <v>97.9</v>
      </c>
      <c r="AI38" s="212">
        <v>64.900000000000006</v>
      </c>
    </row>
    <row r="39" spans="2:35" x14ac:dyDescent="0.2">
      <c r="B39" t="s">
        <v>86</v>
      </c>
      <c r="D39">
        <v>1897</v>
      </c>
      <c r="E39" s="212">
        <v>83.3</v>
      </c>
      <c r="F39" s="212">
        <v>60.5</v>
      </c>
      <c r="G39" s="212">
        <v>95.2</v>
      </c>
      <c r="H39" s="212">
        <v>94.4</v>
      </c>
      <c r="I39" s="212">
        <v>99.7</v>
      </c>
      <c r="J39" s="212">
        <v>336.5</v>
      </c>
      <c r="K39" s="212">
        <v>438.9</v>
      </c>
      <c r="L39" s="212">
        <v>96.4</v>
      </c>
      <c r="M39" s="212">
        <v>61.8</v>
      </c>
      <c r="O39">
        <v>1832</v>
      </c>
      <c r="P39" s="212">
        <v>90.5</v>
      </c>
      <c r="Q39" s="212">
        <v>72.099999999999994</v>
      </c>
      <c r="R39" s="212">
        <v>97.3</v>
      </c>
      <c r="S39" s="212">
        <v>96.6</v>
      </c>
      <c r="T39" s="212">
        <v>99.6</v>
      </c>
      <c r="U39" s="212">
        <v>364.4</v>
      </c>
      <c r="V39" s="212">
        <v>493.4</v>
      </c>
      <c r="W39" s="212">
        <v>97.8</v>
      </c>
      <c r="X39" s="212">
        <v>72.400000000000006</v>
      </c>
      <c r="Z39">
        <v>3729</v>
      </c>
      <c r="AA39" s="212">
        <v>86.9</v>
      </c>
      <c r="AB39" s="212">
        <v>66.2</v>
      </c>
      <c r="AC39" s="212">
        <v>96.2</v>
      </c>
      <c r="AD39" s="212">
        <v>95.5</v>
      </c>
      <c r="AE39" s="212">
        <v>99.6</v>
      </c>
      <c r="AF39" s="212">
        <v>350.2</v>
      </c>
      <c r="AG39" s="212">
        <v>465.6</v>
      </c>
      <c r="AH39" s="212">
        <v>97.1</v>
      </c>
      <c r="AI39" s="212">
        <v>67</v>
      </c>
    </row>
    <row r="40" spans="2:35" x14ac:dyDescent="0.2">
      <c r="B40" s="127" t="s">
        <v>382</v>
      </c>
      <c r="D40">
        <v>29721</v>
      </c>
      <c r="E40" s="212">
        <v>81</v>
      </c>
      <c r="F40" s="212">
        <v>54.7</v>
      </c>
      <c r="G40" s="212">
        <v>95.1</v>
      </c>
      <c r="H40" s="212">
        <v>93.2</v>
      </c>
      <c r="I40" s="212">
        <v>99.3</v>
      </c>
      <c r="J40" s="212">
        <v>329.8</v>
      </c>
      <c r="K40" s="212">
        <v>459.4</v>
      </c>
      <c r="L40" s="212">
        <v>96.4</v>
      </c>
      <c r="M40" s="212">
        <v>55.4</v>
      </c>
      <c r="O40">
        <v>28540</v>
      </c>
      <c r="P40" s="212">
        <v>88.5</v>
      </c>
      <c r="Q40" s="212">
        <v>64.599999999999994</v>
      </c>
      <c r="R40" s="212">
        <v>97.2</v>
      </c>
      <c r="S40" s="212">
        <v>95.5</v>
      </c>
      <c r="T40" s="212">
        <v>99.5</v>
      </c>
      <c r="U40" s="212">
        <v>356.3</v>
      </c>
      <c r="V40" s="212">
        <v>511.9</v>
      </c>
      <c r="W40" s="212">
        <v>98.1</v>
      </c>
      <c r="X40" s="212">
        <v>65</v>
      </c>
      <c r="Z40">
        <v>58261</v>
      </c>
      <c r="AA40" s="212">
        <v>84.7</v>
      </c>
      <c r="AB40" s="212">
        <v>59.5</v>
      </c>
      <c r="AC40" s="212">
        <v>96.1</v>
      </c>
      <c r="AD40" s="212">
        <v>94.3</v>
      </c>
      <c r="AE40" s="212">
        <v>99.4</v>
      </c>
      <c r="AF40" s="212">
        <v>342.7</v>
      </c>
      <c r="AG40" s="212">
        <v>485.1</v>
      </c>
      <c r="AH40" s="212">
        <v>97.2</v>
      </c>
      <c r="AI40" s="212">
        <v>60.1</v>
      </c>
    </row>
    <row r="41" spans="2:35" x14ac:dyDescent="0.2">
      <c r="B41" t="s">
        <v>89</v>
      </c>
      <c r="D41">
        <v>1285</v>
      </c>
      <c r="E41" s="212">
        <v>71.8</v>
      </c>
      <c r="F41" s="212">
        <v>45.1</v>
      </c>
      <c r="G41" s="212">
        <v>94.2</v>
      </c>
      <c r="H41" s="212">
        <v>91.4</v>
      </c>
      <c r="I41" s="212">
        <v>99.9</v>
      </c>
      <c r="J41" s="212">
        <v>307.3</v>
      </c>
      <c r="K41" s="212">
        <v>401.6</v>
      </c>
      <c r="L41" s="212">
        <v>97</v>
      </c>
      <c r="M41" s="212">
        <v>46</v>
      </c>
      <c r="O41">
        <v>1271</v>
      </c>
      <c r="P41" s="212">
        <v>84.2</v>
      </c>
      <c r="Q41" s="212">
        <v>55.6</v>
      </c>
      <c r="R41" s="212">
        <v>97.2</v>
      </c>
      <c r="S41" s="212">
        <v>95.6</v>
      </c>
      <c r="T41" s="212">
        <v>100</v>
      </c>
      <c r="U41" s="212">
        <v>337.2</v>
      </c>
      <c r="V41" s="212">
        <v>456.8</v>
      </c>
      <c r="W41" s="212">
        <v>99.1</v>
      </c>
      <c r="X41" s="212">
        <v>56.1</v>
      </c>
      <c r="Z41">
        <v>2556</v>
      </c>
      <c r="AA41" s="212">
        <v>77.900000000000006</v>
      </c>
      <c r="AB41" s="212">
        <v>50.3</v>
      </c>
      <c r="AC41" s="212">
        <v>95.7</v>
      </c>
      <c r="AD41" s="212">
        <v>93.5</v>
      </c>
      <c r="AE41" s="212">
        <v>100</v>
      </c>
      <c r="AF41" s="212">
        <v>322.2</v>
      </c>
      <c r="AG41" s="212">
        <v>429.1</v>
      </c>
      <c r="AH41" s="212">
        <v>98</v>
      </c>
      <c r="AI41" s="212">
        <v>51</v>
      </c>
    </row>
    <row r="42" spans="2:35" x14ac:dyDescent="0.2">
      <c r="B42" t="s">
        <v>91</v>
      </c>
      <c r="D42">
        <v>2810</v>
      </c>
      <c r="E42" s="212">
        <v>80.3</v>
      </c>
      <c r="F42" s="212">
        <v>49.4</v>
      </c>
      <c r="G42" s="212">
        <v>94.3</v>
      </c>
      <c r="H42" s="212">
        <v>91.5</v>
      </c>
      <c r="I42" s="212">
        <v>98.8</v>
      </c>
      <c r="J42" s="212">
        <v>326.39999999999998</v>
      </c>
      <c r="K42" s="212">
        <v>438.6</v>
      </c>
      <c r="L42" s="212">
        <v>96.2</v>
      </c>
      <c r="M42" s="212">
        <v>50.3</v>
      </c>
      <c r="O42">
        <v>2810</v>
      </c>
      <c r="P42" s="212">
        <v>86.5</v>
      </c>
      <c r="Q42" s="212">
        <v>56.6</v>
      </c>
      <c r="R42" s="212">
        <v>96.1</v>
      </c>
      <c r="S42" s="212">
        <v>93.5</v>
      </c>
      <c r="T42" s="212">
        <v>99.3</v>
      </c>
      <c r="U42" s="212">
        <v>347.7</v>
      </c>
      <c r="V42" s="212">
        <v>484.9</v>
      </c>
      <c r="W42" s="212">
        <v>97.4</v>
      </c>
      <c r="X42" s="212">
        <v>56.9</v>
      </c>
      <c r="Z42">
        <v>5620</v>
      </c>
      <c r="AA42" s="212">
        <v>83.4</v>
      </c>
      <c r="AB42" s="212">
        <v>53</v>
      </c>
      <c r="AC42" s="212">
        <v>95.2</v>
      </c>
      <c r="AD42" s="212">
        <v>92.5</v>
      </c>
      <c r="AE42" s="212">
        <v>99</v>
      </c>
      <c r="AF42" s="212">
        <v>337.1</v>
      </c>
      <c r="AG42" s="212">
        <v>461.8</v>
      </c>
      <c r="AH42" s="212">
        <v>96.8</v>
      </c>
      <c r="AI42" s="212">
        <v>53.6</v>
      </c>
    </row>
    <row r="43" spans="2:35" x14ac:dyDescent="0.2">
      <c r="B43" t="s">
        <v>93</v>
      </c>
      <c r="D43">
        <v>1354</v>
      </c>
      <c r="E43" s="212">
        <v>88.3</v>
      </c>
      <c r="F43" s="212">
        <v>60.9</v>
      </c>
      <c r="G43" s="212">
        <v>97.3</v>
      </c>
      <c r="H43" s="212">
        <v>95.6</v>
      </c>
      <c r="I43" s="212">
        <v>99</v>
      </c>
      <c r="J43" s="212">
        <v>345.2</v>
      </c>
      <c r="K43" s="212">
        <v>489.8</v>
      </c>
      <c r="L43" s="212">
        <v>97.3</v>
      </c>
      <c r="M43" s="212">
        <v>61</v>
      </c>
      <c r="O43">
        <v>1252</v>
      </c>
      <c r="P43" s="212">
        <v>93.7</v>
      </c>
      <c r="Q43" s="212">
        <v>70.8</v>
      </c>
      <c r="R43" s="212">
        <v>98.7</v>
      </c>
      <c r="S43" s="212">
        <v>96.8</v>
      </c>
      <c r="T43" s="212">
        <v>99.8</v>
      </c>
      <c r="U43" s="212">
        <v>374.7</v>
      </c>
      <c r="V43" s="212">
        <v>545.9</v>
      </c>
      <c r="W43" s="212">
        <v>99.1</v>
      </c>
      <c r="X43" s="212">
        <v>71</v>
      </c>
      <c r="Z43">
        <v>2606</v>
      </c>
      <c r="AA43" s="212">
        <v>90.9</v>
      </c>
      <c r="AB43" s="212">
        <v>65.7</v>
      </c>
      <c r="AC43" s="212">
        <v>98</v>
      </c>
      <c r="AD43" s="212">
        <v>96.2</v>
      </c>
      <c r="AE43" s="212">
        <v>99.4</v>
      </c>
      <c r="AF43" s="212">
        <v>359.4</v>
      </c>
      <c r="AG43" s="212">
        <v>516.79999999999995</v>
      </c>
      <c r="AH43" s="212">
        <v>98.2</v>
      </c>
      <c r="AI43" s="212">
        <v>65.8</v>
      </c>
    </row>
    <row r="44" spans="2:35" x14ac:dyDescent="0.2">
      <c r="B44" t="s">
        <v>95</v>
      </c>
      <c r="D44">
        <v>1731</v>
      </c>
      <c r="E44" s="212">
        <v>83.4</v>
      </c>
      <c r="F44" s="212">
        <v>51.5</v>
      </c>
      <c r="G44" s="212">
        <v>93.9</v>
      </c>
      <c r="H44" s="212">
        <v>91.5</v>
      </c>
      <c r="I44" s="212">
        <v>99.4</v>
      </c>
      <c r="J44" s="212">
        <v>323.8</v>
      </c>
      <c r="K44" s="212">
        <v>455.7</v>
      </c>
      <c r="L44" s="212">
        <v>95.3</v>
      </c>
      <c r="M44" s="212">
        <v>52.2</v>
      </c>
      <c r="O44">
        <v>1706</v>
      </c>
      <c r="P44" s="212">
        <v>89.7</v>
      </c>
      <c r="Q44" s="212">
        <v>61.7</v>
      </c>
      <c r="R44" s="212">
        <v>97.7</v>
      </c>
      <c r="S44" s="212">
        <v>95.3</v>
      </c>
      <c r="T44" s="212">
        <v>99.8</v>
      </c>
      <c r="U44" s="212">
        <v>356.3</v>
      </c>
      <c r="V44" s="212">
        <v>519.79999999999995</v>
      </c>
      <c r="W44" s="212">
        <v>98.5</v>
      </c>
      <c r="X44" s="212">
        <v>62</v>
      </c>
      <c r="Z44">
        <v>3437</v>
      </c>
      <c r="AA44" s="212">
        <v>86.5</v>
      </c>
      <c r="AB44" s="212">
        <v>56.6</v>
      </c>
      <c r="AC44" s="212">
        <v>95.8</v>
      </c>
      <c r="AD44" s="212">
        <v>93.4</v>
      </c>
      <c r="AE44" s="212">
        <v>99.6</v>
      </c>
      <c r="AF44" s="212">
        <v>340</v>
      </c>
      <c r="AG44" s="212">
        <v>487.6</v>
      </c>
      <c r="AH44" s="212">
        <v>96.9</v>
      </c>
      <c r="AI44" s="212">
        <v>57.1</v>
      </c>
    </row>
    <row r="45" spans="2:35" x14ac:dyDescent="0.2">
      <c r="B45" t="s">
        <v>97</v>
      </c>
      <c r="D45">
        <v>1976</v>
      </c>
      <c r="E45" s="212">
        <v>80</v>
      </c>
      <c r="F45" s="212">
        <v>55</v>
      </c>
      <c r="G45" s="212">
        <v>97.1</v>
      </c>
      <c r="H45" s="212">
        <v>95.7</v>
      </c>
      <c r="I45" s="212">
        <v>99.5</v>
      </c>
      <c r="J45" s="212">
        <v>332.8</v>
      </c>
      <c r="K45" s="212">
        <v>452.7</v>
      </c>
      <c r="L45" s="212">
        <v>97.9</v>
      </c>
      <c r="M45" s="212">
        <v>55.9</v>
      </c>
      <c r="O45">
        <v>1905</v>
      </c>
      <c r="P45" s="212">
        <v>86.6</v>
      </c>
      <c r="Q45" s="212">
        <v>67.2</v>
      </c>
      <c r="R45" s="212">
        <v>98.2</v>
      </c>
      <c r="S45" s="212">
        <v>97.3</v>
      </c>
      <c r="T45" s="212">
        <v>99.6</v>
      </c>
      <c r="U45" s="212">
        <v>355.6</v>
      </c>
      <c r="V45" s="212">
        <v>489.2</v>
      </c>
      <c r="W45" s="212">
        <v>98.5</v>
      </c>
      <c r="X45" s="212">
        <v>67.7</v>
      </c>
      <c r="Z45">
        <v>3881</v>
      </c>
      <c r="AA45" s="212">
        <v>83.2</v>
      </c>
      <c r="AB45" s="212">
        <v>61</v>
      </c>
      <c r="AC45" s="212">
        <v>97.6</v>
      </c>
      <c r="AD45" s="212">
        <v>96.5</v>
      </c>
      <c r="AE45" s="212">
        <v>99.6</v>
      </c>
      <c r="AF45" s="212">
        <v>344</v>
      </c>
      <c r="AG45" s="212">
        <v>470.6</v>
      </c>
      <c r="AH45" s="212">
        <v>98.2</v>
      </c>
      <c r="AI45" s="212">
        <v>61.7</v>
      </c>
    </row>
    <row r="46" spans="2:35" x14ac:dyDescent="0.2">
      <c r="B46" t="s">
        <v>99</v>
      </c>
      <c r="D46">
        <v>1276</v>
      </c>
      <c r="E46" s="212">
        <v>86.4</v>
      </c>
      <c r="F46" s="212">
        <v>47.6</v>
      </c>
      <c r="G46" s="212">
        <v>94.4</v>
      </c>
      <c r="H46" s="212">
        <v>92.4</v>
      </c>
      <c r="I46" s="212">
        <v>99.4</v>
      </c>
      <c r="J46" s="212">
        <v>329.5</v>
      </c>
      <c r="K46" s="212">
        <v>480.2</v>
      </c>
      <c r="L46" s="212">
        <v>95.5</v>
      </c>
      <c r="M46" s="212">
        <v>47.9</v>
      </c>
      <c r="O46">
        <v>1182</v>
      </c>
      <c r="P46" s="212">
        <v>89.8</v>
      </c>
      <c r="Q46" s="212">
        <v>52.6</v>
      </c>
      <c r="R46" s="212">
        <v>97.6</v>
      </c>
      <c r="S46" s="212">
        <v>94</v>
      </c>
      <c r="T46" s="212">
        <v>99.6</v>
      </c>
      <c r="U46" s="212">
        <v>350.1</v>
      </c>
      <c r="V46" s="212">
        <v>522.29999999999995</v>
      </c>
      <c r="W46" s="212">
        <v>97.3</v>
      </c>
      <c r="X46" s="212">
        <v>52.8</v>
      </c>
      <c r="Z46">
        <v>2458</v>
      </c>
      <c r="AA46" s="212">
        <v>88</v>
      </c>
      <c r="AB46" s="212">
        <v>50</v>
      </c>
      <c r="AC46" s="212">
        <v>96</v>
      </c>
      <c r="AD46" s="212">
        <v>93.2</v>
      </c>
      <c r="AE46" s="212">
        <v>99.5</v>
      </c>
      <c r="AF46" s="212">
        <v>339.4</v>
      </c>
      <c r="AG46" s="212">
        <v>500.4</v>
      </c>
      <c r="AH46" s="212">
        <v>96.4</v>
      </c>
      <c r="AI46" s="212">
        <v>50.2</v>
      </c>
    </row>
    <row r="47" spans="2:35" x14ac:dyDescent="0.2">
      <c r="B47" t="s">
        <v>101</v>
      </c>
      <c r="D47">
        <v>2416</v>
      </c>
      <c r="E47" s="212">
        <v>80.599999999999994</v>
      </c>
      <c r="F47" s="212">
        <v>58.6</v>
      </c>
      <c r="G47" s="212">
        <v>96.2</v>
      </c>
      <c r="H47" s="212">
        <v>95.6</v>
      </c>
      <c r="I47" s="212">
        <v>99.7</v>
      </c>
      <c r="J47" s="212">
        <v>334.7</v>
      </c>
      <c r="K47" s="212">
        <v>466.7</v>
      </c>
      <c r="L47" s="212">
        <v>97.2</v>
      </c>
      <c r="M47" s="212">
        <v>60</v>
      </c>
      <c r="O47">
        <v>2221</v>
      </c>
      <c r="P47" s="212">
        <v>88.7</v>
      </c>
      <c r="Q47" s="212">
        <v>67</v>
      </c>
      <c r="R47" s="212">
        <v>98.7</v>
      </c>
      <c r="S47" s="212">
        <v>97.7</v>
      </c>
      <c r="T47" s="212">
        <v>99.9</v>
      </c>
      <c r="U47" s="212">
        <v>359.2</v>
      </c>
      <c r="V47" s="212">
        <v>515.4</v>
      </c>
      <c r="W47" s="212">
        <v>99.2</v>
      </c>
      <c r="X47" s="212">
        <v>67.400000000000006</v>
      </c>
      <c r="Z47">
        <v>4637</v>
      </c>
      <c r="AA47" s="212">
        <v>84.5</v>
      </c>
      <c r="AB47" s="212">
        <v>62.6</v>
      </c>
      <c r="AC47" s="212">
        <v>97.4</v>
      </c>
      <c r="AD47" s="212">
        <v>96.6</v>
      </c>
      <c r="AE47" s="212">
        <v>99.8</v>
      </c>
      <c r="AF47" s="212">
        <v>346.4</v>
      </c>
      <c r="AG47" s="212">
        <v>490</v>
      </c>
      <c r="AH47" s="212">
        <v>98.1</v>
      </c>
      <c r="AI47" s="212">
        <v>63.5</v>
      </c>
    </row>
    <row r="48" spans="2:35" x14ac:dyDescent="0.2">
      <c r="B48" t="s">
        <v>103</v>
      </c>
      <c r="D48">
        <v>4035</v>
      </c>
      <c r="E48" s="212">
        <v>82.1</v>
      </c>
      <c r="F48" s="212">
        <v>52.4</v>
      </c>
      <c r="G48" s="212">
        <v>94.5</v>
      </c>
      <c r="H48" s="212">
        <v>91.7</v>
      </c>
      <c r="I48" s="212">
        <v>98.7</v>
      </c>
      <c r="J48" s="212">
        <v>327.8</v>
      </c>
      <c r="K48" s="212">
        <v>460.9</v>
      </c>
      <c r="L48" s="212">
        <v>96.1</v>
      </c>
      <c r="M48" s="212">
        <v>53</v>
      </c>
      <c r="O48">
        <v>3788</v>
      </c>
      <c r="P48" s="212">
        <v>90.4</v>
      </c>
      <c r="Q48" s="212">
        <v>62.5</v>
      </c>
      <c r="R48" s="212">
        <v>97</v>
      </c>
      <c r="S48" s="212">
        <v>95.1</v>
      </c>
      <c r="T48" s="212">
        <v>99.2</v>
      </c>
      <c r="U48" s="212">
        <v>357</v>
      </c>
      <c r="V48" s="212">
        <v>518.9</v>
      </c>
      <c r="W48" s="212">
        <v>98.1</v>
      </c>
      <c r="X48" s="212">
        <v>62.8</v>
      </c>
      <c r="Z48">
        <v>7823</v>
      </c>
      <c r="AA48" s="212">
        <v>86.1</v>
      </c>
      <c r="AB48" s="212">
        <v>57.3</v>
      </c>
      <c r="AC48" s="212">
        <v>95.7</v>
      </c>
      <c r="AD48" s="212">
        <v>93.4</v>
      </c>
      <c r="AE48" s="212">
        <v>98.9</v>
      </c>
      <c r="AF48" s="212">
        <v>341.9</v>
      </c>
      <c r="AG48" s="212">
        <v>489</v>
      </c>
      <c r="AH48" s="212">
        <v>97</v>
      </c>
      <c r="AI48" s="212">
        <v>57.7</v>
      </c>
    </row>
    <row r="49" spans="2:35" x14ac:dyDescent="0.2">
      <c r="B49" t="s">
        <v>105</v>
      </c>
      <c r="D49">
        <v>898</v>
      </c>
      <c r="E49" s="212">
        <v>83.9</v>
      </c>
      <c r="F49" s="212">
        <v>53.9</v>
      </c>
      <c r="G49" s="212">
        <v>93.3</v>
      </c>
      <c r="H49" s="212">
        <v>92</v>
      </c>
      <c r="I49" s="212">
        <v>99.4</v>
      </c>
      <c r="J49" s="212">
        <v>327.10000000000002</v>
      </c>
      <c r="K49" s="212">
        <v>478.8</v>
      </c>
      <c r="L49" s="212">
        <v>95.1</v>
      </c>
      <c r="M49" s="212">
        <v>54.1</v>
      </c>
      <c r="O49">
        <v>947</v>
      </c>
      <c r="P49" s="212">
        <v>90.2</v>
      </c>
      <c r="Q49" s="212">
        <v>62.8</v>
      </c>
      <c r="R49" s="212">
        <v>95.7</v>
      </c>
      <c r="S49" s="212">
        <v>93.5</v>
      </c>
      <c r="T49" s="212">
        <v>99.3</v>
      </c>
      <c r="U49" s="212">
        <v>351</v>
      </c>
      <c r="V49" s="212">
        <v>528.70000000000005</v>
      </c>
      <c r="W49" s="212">
        <v>97.3</v>
      </c>
      <c r="X49" s="212">
        <v>62.9</v>
      </c>
      <c r="Z49">
        <v>1845</v>
      </c>
      <c r="AA49" s="212">
        <v>87.1</v>
      </c>
      <c r="AB49" s="212">
        <v>58.5</v>
      </c>
      <c r="AC49" s="212">
        <v>94.5</v>
      </c>
      <c r="AD49" s="212">
        <v>92.7</v>
      </c>
      <c r="AE49" s="212">
        <v>99.3</v>
      </c>
      <c r="AF49" s="212">
        <v>339.3</v>
      </c>
      <c r="AG49" s="212">
        <v>504.4</v>
      </c>
      <c r="AH49" s="212">
        <v>96.2</v>
      </c>
      <c r="AI49" s="212">
        <v>58.6</v>
      </c>
    </row>
    <row r="50" spans="2:35" x14ac:dyDescent="0.2">
      <c r="B50" t="s">
        <v>107</v>
      </c>
      <c r="D50">
        <v>987</v>
      </c>
      <c r="E50" s="212">
        <v>85.3</v>
      </c>
      <c r="F50" s="212">
        <v>49</v>
      </c>
      <c r="G50" s="212">
        <v>96.5</v>
      </c>
      <c r="H50" s="212">
        <v>94.7</v>
      </c>
      <c r="I50" s="212">
        <v>99.7</v>
      </c>
      <c r="J50" s="212">
        <v>341.5</v>
      </c>
      <c r="K50" s="212">
        <v>470.4</v>
      </c>
      <c r="L50" s="212">
        <v>97.3</v>
      </c>
      <c r="M50" s="212">
        <v>49.4</v>
      </c>
      <c r="O50">
        <v>958</v>
      </c>
      <c r="P50" s="212">
        <v>93.5</v>
      </c>
      <c r="Q50" s="212">
        <v>64.7</v>
      </c>
      <c r="R50" s="212">
        <v>98.4</v>
      </c>
      <c r="S50" s="212">
        <v>97.1</v>
      </c>
      <c r="T50" s="212">
        <v>100</v>
      </c>
      <c r="U50" s="212">
        <v>369.4</v>
      </c>
      <c r="V50" s="212">
        <v>530.79999999999995</v>
      </c>
      <c r="W50" s="212">
        <v>98.5</v>
      </c>
      <c r="X50" s="212">
        <v>64.900000000000006</v>
      </c>
      <c r="Z50">
        <v>1945</v>
      </c>
      <c r="AA50" s="212">
        <v>89.4</v>
      </c>
      <c r="AB50" s="212">
        <v>56.8</v>
      </c>
      <c r="AC50" s="212">
        <v>97.4</v>
      </c>
      <c r="AD50" s="212">
        <v>95.9</v>
      </c>
      <c r="AE50" s="212">
        <v>99.8</v>
      </c>
      <c r="AF50" s="212">
        <v>355.2</v>
      </c>
      <c r="AG50" s="212">
        <v>500.2</v>
      </c>
      <c r="AH50" s="212">
        <v>97.9</v>
      </c>
      <c r="AI50" s="212">
        <v>57.1</v>
      </c>
    </row>
    <row r="51" spans="2:35" x14ac:dyDescent="0.2">
      <c r="B51" t="s">
        <v>109</v>
      </c>
      <c r="D51">
        <v>3448</v>
      </c>
      <c r="E51" s="212">
        <v>80.900000000000006</v>
      </c>
      <c r="F51" s="212">
        <v>59.3</v>
      </c>
      <c r="G51" s="212">
        <v>96.9</v>
      </c>
      <c r="H51" s="212">
        <v>94.9</v>
      </c>
      <c r="I51" s="212">
        <v>99.2</v>
      </c>
      <c r="J51" s="212">
        <v>340.4</v>
      </c>
      <c r="K51" s="212">
        <v>468.6</v>
      </c>
      <c r="L51" s="212">
        <v>97.2</v>
      </c>
      <c r="M51" s="212">
        <v>60</v>
      </c>
      <c r="O51">
        <v>3332</v>
      </c>
      <c r="P51" s="212">
        <v>88</v>
      </c>
      <c r="Q51" s="212">
        <v>71.7</v>
      </c>
      <c r="R51" s="212">
        <v>98.2</v>
      </c>
      <c r="S51" s="212">
        <v>97</v>
      </c>
      <c r="T51" s="212">
        <v>99.6</v>
      </c>
      <c r="U51" s="212">
        <v>363.8</v>
      </c>
      <c r="V51" s="212">
        <v>518.29999999999995</v>
      </c>
      <c r="W51" s="212">
        <v>98.4</v>
      </c>
      <c r="X51" s="212">
        <v>72.3</v>
      </c>
      <c r="Z51">
        <v>6780</v>
      </c>
      <c r="AA51" s="212">
        <v>84.4</v>
      </c>
      <c r="AB51" s="212">
        <v>65.400000000000006</v>
      </c>
      <c r="AC51" s="212">
        <v>97.5</v>
      </c>
      <c r="AD51" s="212">
        <v>95.9</v>
      </c>
      <c r="AE51" s="212">
        <v>99.4</v>
      </c>
      <c r="AF51" s="212">
        <v>351.9</v>
      </c>
      <c r="AG51" s="212">
        <v>493</v>
      </c>
      <c r="AH51" s="212">
        <v>97.8</v>
      </c>
      <c r="AI51" s="212">
        <v>66</v>
      </c>
    </row>
    <row r="52" spans="2:35" x14ac:dyDescent="0.2">
      <c r="B52" t="s">
        <v>111</v>
      </c>
      <c r="D52">
        <v>1827</v>
      </c>
      <c r="E52" s="212">
        <v>80.3</v>
      </c>
      <c r="F52" s="212">
        <v>58.8</v>
      </c>
      <c r="G52" s="212">
        <v>94.3</v>
      </c>
      <c r="H52" s="212">
        <v>92.5</v>
      </c>
      <c r="I52" s="212">
        <v>99.2</v>
      </c>
      <c r="J52" s="212">
        <v>323.89999999999998</v>
      </c>
      <c r="K52" s="212">
        <v>447.5</v>
      </c>
      <c r="L52" s="212">
        <v>95.3</v>
      </c>
      <c r="M52" s="212">
        <v>59.4</v>
      </c>
      <c r="O52">
        <v>1669</v>
      </c>
      <c r="P52" s="212">
        <v>89.7</v>
      </c>
      <c r="Q52" s="212">
        <v>68.900000000000006</v>
      </c>
      <c r="R52" s="212">
        <v>96.9</v>
      </c>
      <c r="S52" s="212">
        <v>95.1</v>
      </c>
      <c r="T52" s="212">
        <v>99.5</v>
      </c>
      <c r="U52" s="212">
        <v>356.5</v>
      </c>
      <c r="V52" s="212">
        <v>509.9</v>
      </c>
      <c r="W52" s="212">
        <v>97.7</v>
      </c>
      <c r="X52" s="212">
        <v>69.2</v>
      </c>
      <c r="Z52">
        <v>3496</v>
      </c>
      <c r="AA52" s="212">
        <v>84.8</v>
      </c>
      <c r="AB52" s="212">
        <v>63.6</v>
      </c>
      <c r="AC52" s="212">
        <v>95.5</v>
      </c>
      <c r="AD52" s="212">
        <v>93.7</v>
      </c>
      <c r="AE52" s="212">
        <v>99.4</v>
      </c>
      <c r="AF52" s="212">
        <v>339.5</v>
      </c>
      <c r="AG52" s="212">
        <v>477.3</v>
      </c>
      <c r="AH52" s="212">
        <v>96.5</v>
      </c>
      <c r="AI52" s="212">
        <v>64.099999999999994</v>
      </c>
    </row>
    <row r="53" spans="2:35" x14ac:dyDescent="0.2">
      <c r="B53" t="s">
        <v>113</v>
      </c>
      <c r="D53">
        <v>2794</v>
      </c>
      <c r="E53" s="212">
        <v>70.7</v>
      </c>
      <c r="F53" s="212">
        <v>51.8</v>
      </c>
      <c r="G53" s="212">
        <v>92.4</v>
      </c>
      <c r="H53" s="212">
        <v>90.6</v>
      </c>
      <c r="I53" s="212">
        <v>99.2</v>
      </c>
      <c r="J53" s="212">
        <v>311.7</v>
      </c>
      <c r="K53" s="212">
        <v>424.1</v>
      </c>
      <c r="L53" s="212">
        <v>94.3</v>
      </c>
      <c r="M53" s="212">
        <v>53.7</v>
      </c>
      <c r="O53">
        <v>2735</v>
      </c>
      <c r="P53" s="212">
        <v>82</v>
      </c>
      <c r="Q53" s="212">
        <v>62.9</v>
      </c>
      <c r="R53" s="212">
        <v>94.6</v>
      </c>
      <c r="S53" s="212">
        <v>92.4</v>
      </c>
      <c r="T53" s="212">
        <v>98.8</v>
      </c>
      <c r="U53" s="212">
        <v>342.3</v>
      </c>
      <c r="V53" s="212">
        <v>481.4</v>
      </c>
      <c r="W53" s="212">
        <v>96.5</v>
      </c>
      <c r="X53" s="212">
        <v>63.9</v>
      </c>
      <c r="Z53">
        <v>5529</v>
      </c>
      <c r="AA53" s="212">
        <v>76.3</v>
      </c>
      <c r="AB53" s="212">
        <v>57.3</v>
      </c>
      <c r="AC53" s="212">
        <v>93.5</v>
      </c>
      <c r="AD53" s="212">
        <v>91.5</v>
      </c>
      <c r="AE53" s="212">
        <v>99</v>
      </c>
      <c r="AF53" s="212">
        <v>326.89999999999998</v>
      </c>
      <c r="AG53" s="212">
        <v>452.4</v>
      </c>
      <c r="AH53" s="212">
        <v>95.4</v>
      </c>
      <c r="AI53" s="212">
        <v>58.7</v>
      </c>
    </row>
    <row r="54" spans="2:35" x14ac:dyDescent="0.2">
      <c r="B54" t="s">
        <v>115</v>
      </c>
      <c r="D54">
        <v>2005</v>
      </c>
      <c r="E54" s="212">
        <v>86.4</v>
      </c>
      <c r="F54" s="212">
        <v>62.4</v>
      </c>
      <c r="G54" s="212">
        <v>95.1</v>
      </c>
      <c r="H54" s="212">
        <v>93.8</v>
      </c>
      <c r="I54" s="212">
        <v>99.6</v>
      </c>
      <c r="J54" s="212">
        <v>339</v>
      </c>
      <c r="K54" s="212">
        <v>513.1</v>
      </c>
      <c r="L54" s="212">
        <v>96.8</v>
      </c>
      <c r="M54" s="212">
        <v>62.5</v>
      </c>
      <c r="O54">
        <v>1917</v>
      </c>
      <c r="P54" s="212">
        <v>91.7</v>
      </c>
      <c r="Q54" s="212">
        <v>70.400000000000006</v>
      </c>
      <c r="R54" s="212">
        <v>97.1</v>
      </c>
      <c r="S54" s="212">
        <v>96.3</v>
      </c>
      <c r="T54" s="212">
        <v>99.4</v>
      </c>
      <c r="U54" s="212">
        <v>367.4</v>
      </c>
      <c r="V54" s="212">
        <v>572.4</v>
      </c>
      <c r="W54" s="212">
        <v>98.4</v>
      </c>
      <c r="X54" s="212">
        <v>70.599999999999994</v>
      </c>
      <c r="Z54">
        <v>3922</v>
      </c>
      <c r="AA54" s="212">
        <v>89</v>
      </c>
      <c r="AB54" s="212">
        <v>66.3</v>
      </c>
      <c r="AC54" s="212">
        <v>96.1</v>
      </c>
      <c r="AD54" s="212">
        <v>95</v>
      </c>
      <c r="AE54" s="212">
        <v>99.5</v>
      </c>
      <c r="AF54" s="212">
        <v>352.9</v>
      </c>
      <c r="AG54" s="212">
        <v>542.1</v>
      </c>
      <c r="AH54" s="212">
        <v>97.6</v>
      </c>
      <c r="AI54" s="212">
        <v>66.5</v>
      </c>
    </row>
    <row r="55" spans="2:35" x14ac:dyDescent="0.2">
      <c r="B55" t="s">
        <v>117</v>
      </c>
      <c r="D55">
        <v>879</v>
      </c>
      <c r="E55" s="212">
        <v>85</v>
      </c>
      <c r="F55" s="212">
        <v>63.4</v>
      </c>
      <c r="G55" s="212">
        <v>97.6</v>
      </c>
      <c r="H55" s="212">
        <v>96.8</v>
      </c>
      <c r="I55" s="212">
        <v>99.5</v>
      </c>
      <c r="J55" s="212">
        <v>346.5</v>
      </c>
      <c r="K55" s="212">
        <v>474.8</v>
      </c>
      <c r="L55" s="212">
        <v>98</v>
      </c>
      <c r="M55" s="212">
        <v>63.6</v>
      </c>
      <c r="O55">
        <v>847</v>
      </c>
      <c r="P55" s="212">
        <v>90</v>
      </c>
      <c r="Q55" s="212">
        <v>71.7</v>
      </c>
      <c r="R55" s="212">
        <v>98.6</v>
      </c>
      <c r="S55" s="212">
        <v>97.6</v>
      </c>
      <c r="T55" s="212">
        <v>99.8</v>
      </c>
      <c r="U55" s="212">
        <v>365.5</v>
      </c>
      <c r="V55" s="212">
        <v>514.70000000000005</v>
      </c>
      <c r="W55" s="212">
        <v>98.8</v>
      </c>
      <c r="X55" s="212">
        <v>72</v>
      </c>
      <c r="Z55">
        <v>1726</v>
      </c>
      <c r="AA55" s="212">
        <v>87.4</v>
      </c>
      <c r="AB55" s="212">
        <v>67.400000000000006</v>
      </c>
      <c r="AC55" s="212">
        <v>98.1</v>
      </c>
      <c r="AD55" s="212">
        <v>97.2</v>
      </c>
      <c r="AE55" s="212">
        <v>99.7</v>
      </c>
      <c r="AF55" s="212">
        <v>355.8</v>
      </c>
      <c r="AG55" s="212">
        <v>494.4</v>
      </c>
      <c r="AH55" s="212">
        <v>98.4</v>
      </c>
      <c r="AI55" s="212">
        <v>67.7</v>
      </c>
    </row>
    <row r="56" spans="2:35" x14ac:dyDescent="0.2">
      <c r="B56" t="s">
        <v>385</v>
      </c>
      <c r="D56">
        <v>25559</v>
      </c>
      <c r="E56" s="212">
        <v>79.2</v>
      </c>
      <c r="F56" s="212">
        <v>53.8</v>
      </c>
      <c r="G56" s="212">
        <v>94.7</v>
      </c>
      <c r="H56" s="212">
        <v>93.1</v>
      </c>
      <c r="I56" s="212">
        <v>99.1</v>
      </c>
      <c r="J56" s="212">
        <v>328.4</v>
      </c>
      <c r="K56" s="212">
        <v>443.3</v>
      </c>
      <c r="L56" s="212">
        <v>95.7</v>
      </c>
      <c r="M56" s="212">
        <v>54.6</v>
      </c>
      <c r="O56">
        <v>24627</v>
      </c>
      <c r="P56" s="212">
        <v>86.4</v>
      </c>
      <c r="Q56" s="212">
        <v>65</v>
      </c>
      <c r="R56" s="212">
        <v>97</v>
      </c>
      <c r="S56" s="212">
        <v>95.7</v>
      </c>
      <c r="T56" s="212">
        <v>99.5</v>
      </c>
      <c r="U56" s="212">
        <v>353.6</v>
      </c>
      <c r="V56" s="212">
        <v>485.6</v>
      </c>
      <c r="W56" s="212">
        <v>97.9</v>
      </c>
      <c r="X56" s="212">
        <v>65.599999999999994</v>
      </c>
      <c r="Z56">
        <v>50186</v>
      </c>
      <c r="AA56" s="212">
        <v>82.8</v>
      </c>
      <c r="AB56" s="212">
        <v>59.3</v>
      </c>
      <c r="AC56" s="212">
        <v>95.8</v>
      </c>
      <c r="AD56" s="212">
        <v>94.3</v>
      </c>
      <c r="AE56" s="212">
        <v>99.3</v>
      </c>
      <c r="AF56" s="212">
        <v>340.8</v>
      </c>
      <c r="AG56" s="212">
        <v>464.1</v>
      </c>
      <c r="AH56" s="212">
        <v>96.8</v>
      </c>
      <c r="AI56" s="212">
        <v>60</v>
      </c>
    </row>
    <row r="57" spans="2:35" x14ac:dyDescent="0.2">
      <c r="B57" t="s">
        <v>120</v>
      </c>
      <c r="D57">
        <v>1464</v>
      </c>
      <c r="E57" s="212">
        <v>77.400000000000006</v>
      </c>
      <c r="F57" s="212">
        <v>49.2</v>
      </c>
      <c r="G57" s="212">
        <v>94.5</v>
      </c>
      <c r="H57" s="212">
        <v>93.6</v>
      </c>
      <c r="I57" s="212">
        <v>98.9</v>
      </c>
      <c r="J57" s="212">
        <v>329.7</v>
      </c>
      <c r="K57" s="212">
        <v>443</v>
      </c>
      <c r="L57" s="212">
        <v>95.1</v>
      </c>
      <c r="M57" s="212">
        <v>50.5</v>
      </c>
      <c r="O57">
        <v>1478</v>
      </c>
      <c r="P57" s="212">
        <v>86.1</v>
      </c>
      <c r="Q57" s="212">
        <v>62</v>
      </c>
      <c r="R57" s="212">
        <v>96.7</v>
      </c>
      <c r="S57" s="212">
        <v>94.7</v>
      </c>
      <c r="T57" s="212">
        <v>98.8</v>
      </c>
      <c r="U57" s="212">
        <v>354</v>
      </c>
      <c r="V57" s="212">
        <v>493.7</v>
      </c>
      <c r="W57" s="212">
        <v>97.5</v>
      </c>
      <c r="X57" s="212">
        <v>62.9</v>
      </c>
      <c r="Z57">
        <v>2942</v>
      </c>
      <c r="AA57" s="212">
        <v>81.8</v>
      </c>
      <c r="AB57" s="212">
        <v>55.6</v>
      </c>
      <c r="AC57" s="212">
        <v>95.6</v>
      </c>
      <c r="AD57" s="212">
        <v>94.2</v>
      </c>
      <c r="AE57" s="212">
        <v>98.9</v>
      </c>
      <c r="AF57" s="212">
        <v>341.9</v>
      </c>
      <c r="AG57" s="212">
        <v>468.5</v>
      </c>
      <c r="AH57" s="212">
        <v>96.3</v>
      </c>
      <c r="AI57" s="212">
        <v>56.7</v>
      </c>
    </row>
    <row r="58" spans="2:35" x14ac:dyDescent="0.2">
      <c r="B58" t="s">
        <v>122</v>
      </c>
      <c r="D58">
        <v>4216</v>
      </c>
      <c r="E58" s="212">
        <v>78</v>
      </c>
      <c r="F58" s="212">
        <v>52.7</v>
      </c>
      <c r="G58" s="212">
        <v>95.5</v>
      </c>
      <c r="H58" s="212">
        <v>94</v>
      </c>
      <c r="I58" s="212">
        <v>99.2</v>
      </c>
      <c r="J58" s="212">
        <v>326.3</v>
      </c>
      <c r="K58" s="212">
        <v>431.4</v>
      </c>
      <c r="L58" s="212">
        <v>96.3</v>
      </c>
      <c r="M58" s="212">
        <v>53.4</v>
      </c>
      <c r="O58">
        <v>4168</v>
      </c>
      <c r="P58" s="212">
        <v>85.3</v>
      </c>
      <c r="Q58" s="212">
        <v>65.7</v>
      </c>
      <c r="R58" s="212">
        <v>97.3</v>
      </c>
      <c r="S58" s="212">
        <v>96.4</v>
      </c>
      <c r="T58" s="212">
        <v>99.7</v>
      </c>
      <c r="U58" s="212">
        <v>351.7</v>
      </c>
      <c r="V58" s="212">
        <v>471.8</v>
      </c>
      <c r="W58" s="212">
        <v>98.4</v>
      </c>
      <c r="X58" s="212">
        <v>66.3</v>
      </c>
      <c r="Z58">
        <v>8384</v>
      </c>
      <c r="AA58" s="212">
        <v>81.599999999999994</v>
      </c>
      <c r="AB58" s="212">
        <v>59.1</v>
      </c>
      <c r="AC58" s="212">
        <v>96.4</v>
      </c>
      <c r="AD58" s="212">
        <v>95.2</v>
      </c>
      <c r="AE58" s="212">
        <v>99.5</v>
      </c>
      <c r="AF58" s="212">
        <v>338.9</v>
      </c>
      <c r="AG58" s="212">
        <v>451.5</v>
      </c>
      <c r="AH58" s="212">
        <v>97.4</v>
      </c>
      <c r="AI58" s="212">
        <v>59.8</v>
      </c>
    </row>
    <row r="59" spans="2:35" x14ac:dyDescent="0.2">
      <c r="B59" t="s">
        <v>124</v>
      </c>
      <c r="D59">
        <v>1811</v>
      </c>
      <c r="E59" s="212">
        <v>75.5</v>
      </c>
      <c r="F59" s="212">
        <v>50.4</v>
      </c>
      <c r="G59" s="212">
        <v>91.7</v>
      </c>
      <c r="H59" s="212">
        <v>89.8</v>
      </c>
      <c r="I59" s="212">
        <v>98.1</v>
      </c>
      <c r="J59" s="212">
        <v>317.89999999999998</v>
      </c>
      <c r="K59" s="212">
        <v>430</v>
      </c>
      <c r="L59" s="212">
        <v>92.9</v>
      </c>
      <c r="M59" s="212">
        <v>50.6</v>
      </c>
      <c r="O59">
        <v>1667</v>
      </c>
      <c r="P59" s="212">
        <v>84.2</v>
      </c>
      <c r="Q59" s="212">
        <v>59.6</v>
      </c>
      <c r="R59" s="212">
        <v>95.4</v>
      </c>
      <c r="S59" s="212">
        <v>92.8</v>
      </c>
      <c r="T59" s="212">
        <v>99.3</v>
      </c>
      <c r="U59" s="212">
        <v>344.1</v>
      </c>
      <c r="V59" s="212">
        <v>475.3</v>
      </c>
      <c r="W59" s="212">
        <v>96.2</v>
      </c>
      <c r="X59" s="212">
        <v>60.1</v>
      </c>
      <c r="Z59">
        <v>3478</v>
      </c>
      <c r="AA59" s="212">
        <v>79.599999999999994</v>
      </c>
      <c r="AB59" s="212">
        <v>54.8</v>
      </c>
      <c r="AC59" s="212">
        <v>93.4</v>
      </c>
      <c r="AD59" s="212">
        <v>91.3</v>
      </c>
      <c r="AE59" s="212">
        <v>98.6</v>
      </c>
      <c r="AF59" s="212">
        <v>330.4</v>
      </c>
      <c r="AG59" s="212">
        <v>451.7</v>
      </c>
      <c r="AH59" s="212">
        <v>94.5</v>
      </c>
      <c r="AI59" s="212">
        <v>55.2</v>
      </c>
    </row>
    <row r="60" spans="2:35" x14ac:dyDescent="0.2">
      <c r="B60" t="s">
        <v>126</v>
      </c>
      <c r="D60">
        <v>3729</v>
      </c>
      <c r="E60" s="212">
        <v>78.7</v>
      </c>
      <c r="F60" s="212">
        <v>55.3</v>
      </c>
      <c r="G60" s="212">
        <v>95.8</v>
      </c>
      <c r="H60" s="212">
        <v>94.7</v>
      </c>
      <c r="I60" s="212">
        <v>99.4</v>
      </c>
      <c r="J60" s="212">
        <v>332.2</v>
      </c>
      <c r="K60" s="212">
        <v>441.1</v>
      </c>
      <c r="L60" s="212">
        <v>96.8</v>
      </c>
      <c r="M60" s="212">
        <v>56.1</v>
      </c>
      <c r="O60">
        <v>3546</v>
      </c>
      <c r="P60" s="212">
        <v>85.5</v>
      </c>
      <c r="Q60" s="212">
        <v>63.9</v>
      </c>
      <c r="R60" s="212">
        <v>96.8</v>
      </c>
      <c r="S60" s="212">
        <v>96</v>
      </c>
      <c r="T60" s="212">
        <v>99.4</v>
      </c>
      <c r="U60" s="212">
        <v>352.5</v>
      </c>
      <c r="V60" s="212">
        <v>469.4</v>
      </c>
      <c r="W60" s="212">
        <v>97.9</v>
      </c>
      <c r="X60" s="212">
        <v>64.400000000000006</v>
      </c>
      <c r="Z60">
        <v>7275</v>
      </c>
      <c r="AA60" s="212">
        <v>82</v>
      </c>
      <c r="AB60" s="212">
        <v>59.5</v>
      </c>
      <c r="AC60" s="212">
        <v>96.3</v>
      </c>
      <c r="AD60" s="212">
        <v>95.3</v>
      </c>
      <c r="AE60" s="212">
        <v>99.4</v>
      </c>
      <c r="AF60" s="212">
        <v>342.1</v>
      </c>
      <c r="AG60" s="212">
        <v>454.9</v>
      </c>
      <c r="AH60" s="212">
        <v>97.3</v>
      </c>
      <c r="AI60" s="212">
        <v>60.2</v>
      </c>
    </row>
    <row r="61" spans="2:35" x14ac:dyDescent="0.2">
      <c r="B61" t="s">
        <v>128</v>
      </c>
      <c r="D61">
        <v>4239</v>
      </c>
      <c r="E61" s="212">
        <v>81.099999999999994</v>
      </c>
      <c r="F61" s="212">
        <v>55.7</v>
      </c>
      <c r="G61" s="212">
        <v>95.4</v>
      </c>
      <c r="H61" s="212">
        <v>93.7</v>
      </c>
      <c r="I61" s="212">
        <v>99.5</v>
      </c>
      <c r="J61" s="212">
        <v>334.2</v>
      </c>
      <c r="K61" s="212">
        <v>456.1</v>
      </c>
      <c r="L61" s="212">
        <v>96.3</v>
      </c>
      <c r="M61" s="212">
        <v>56.7</v>
      </c>
      <c r="O61">
        <v>4035</v>
      </c>
      <c r="P61" s="212">
        <v>88.2</v>
      </c>
      <c r="Q61" s="212">
        <v>68.099999999999994</v>
      </c>
      <c r="R61" s="212">
        <v>98</v>
      </c>
      <c r="S61" s="212">
        <v>96.9</v>
      </c>
      <c r="T61" s="212">
        <v>99.7</v>
      </c>
      <c r="U61" s="212">
        <v>359.6</v>
      </c>
      <c r="V61" s="212">
        <v>492.8</v>
      </c>
      <c r="W61" s="212">
        <v>98.5</v>
      </c>
      <c r="X61" s="212">
        <v>68.599999999999994</v>
      </c>
      <c r="Z61">
        <v>8274</v>
      </c>
      <c r="AA61" s="212">
        <v>84.5</v>
      </c>
      <c r="AB61" s="212">
        <v>61.8</v>
      </c>
      <c r="AC61" s="212">
        <v>96.7</v>
      </c>
      <c r="AD61" s="212">
        <v>95.3</v>
      </c>
      <c r="AE61" s="212">
        <v>99.6</v>
      </c>
      <c r="AF61" s="212">
        <v>346.6</v>
      </c>
      <c r="AG61" s="212">
        <v>474</v>
      </c>
      <c r="AH61" s="212">
        <v>97.4</v>
      </c>
      <c r="AI61" s="212">
        <v>62.5</v>
      </c>
    </row>
    <row r="62" spans="2:35" x14ac:dyDescent="0.2">
      <c r="B62" t="s">
        <v>130</v>
      </c>
      <c r="D62">
        <v>4047</v>
      </c>
      <c r="E62" s="212">
        <v>76.2</v>
      </c>
      <c r="F62" s="212">
        <v>53.3</v>
      </c>
      <c r="G62" s="212">
        <v>94.4</v>
      </c>
      <c r="H62" s="212">
        <v>92.8</v>
      </c>
      <c r="I62" s="212">
        <v>99</v>
      </c>
      <c r="J62" s="212">
        <v>324.3</v>
      </c>
      <c r="K62" s="212">
        <v>435.4</v>
      </c>
      <c r="L62" s="212">
        <v>95.5</v>
      </c>
      <c r="M62" s="212">
        <v>54.4</v>
      </c>
      <c r="O62">
        <v>3925</v>
      </c>
      <c r="P62" s="212">
        <v>84</v>
      </c>
      <c r="Q62" s="212">
        <v>63</v>
      </c>
      <c r="R62" s="212">
        <v>96.6</v>
      </c>
      <c r="S62" s="212">
        <v>95.4</v>
      </c>
      <c r="T62" s="212">
        <v>99.5</v>
      </c>
      <c r="U62" s="212">
        <v>349.4</v>
      </c>
      <c r="V62" s="212">
        <v>481.2</v>
      </c>
      <c r="W62" s="212">
        <v>97.3</v>
      </c>
      <c r="X62" s="212">
        <v>63.9</v>
      </c>
      <c r="Z62">
        <v>7972</v>
      </c>
      <c r="AA62" s="212">
        <v>80</v>
      </c>
      <c r="AB62" s="212">
        <v>58.1</v>
      </c>
      <c r="AC62" s="212">
        <v>95.5</v>
      </c>
      <c r="AD62" s="212">
        <v>94.1</v>
      </c>
      <c r="AE62" s="212">
        <v>99.2</v>
      </c>
      <c r="AF62" s="212">
        <v>336.7</v>
      </c>
      <c r="AG62" s="212">
        <v>457.9</v>
      </c>
      <c r="AH62" s="212">
        <v>96.4</v>
      </c>
      <c r="AI62" s="212">
        <v>59.1</v>
      </c>
    </row>
    <row r="63" spans="2:35" x14ac:dyDescent="0.2">
      <c r="B63" t="s">
        <v>132</v>
      </c>
      <c r="D63">
        <v>1414</v>
      </c>
      <c r="E63" s="212">
        <v>72.3</v>
      </c>
      <c r="F63" s="212">
        <v>45.1</v>
      </c>
      <c r="G63" s="212">
        <v>87.3</v>
      </c>
      <c r="H63" s="212">
        <v>84</v>
      </c>
      <c r="I63" s="212">
        <v>97.9</v>
      </c>
      <c r="J63" s="212">
        <v>297</v>
      </c>
      <c r="K63" s="212">
        <v>384.1</v>
      </c>
      <c r="L63" s="212">
        <v>91.1</v>
      </c>
      <c r="M63" s="212">
        <v>45.9</v>
      </c>
      <c r="O63">
        <v>1305</v>
      </c>
      <c r="P63" s="212">
        <v>83.9</v>
      </c>
      <c r="Q63" s="212">
        <v>55.9</v>
      </c>
      <c r="R63" s="212">
        <v>94.3</v>
      </c>
      <c r="S63" s="212">
        <v>91.3</v>
      </c>
      <c r="T63" s="212">
        <v>99.2</v>
      </c>
      <c r="U63" s="212">
        <v>340.5</v>
      </c>
      <c r="V63" s="212">
        <v>467.8</v>
      </c>
      <c r="W63" s="212">
        <v>96.8</v>
      </c>
      <c r="X63" s="212">
        <v>56.4</v>
      </c>
      <c r="Z63">
        <v>2719</v>
      </c>
      <c r="AA63" s="212">
        <v>77.900000000000006</v>
      </c>
      <c r="AB63" s="212">
        <v>50.3</v>
      </c>
      <c r="AC63" s="212">
        <v>90.7</v>
      </c>
      <c r="AD63" s="212">
        <v>87.5</v>
      </c>
      <c r="AE63" s="212">
        <v>98.5</v>
      </c>
      <c r="AF63" s="212">
        <v>317.89999999999998</v>
      </c>
      <c r="AG63" s="212">
        <v>424.3</v>
      </c>
      <c r="AH63" s="212">
        <v>93.8</v>
      </c>
      <c r="AI63" s="212">
        <v>50.9</v>
      </c>
    </row>
    <row r="64" spans="2:35" x14ac:dyDescent="0.2">
      <c r="B64" t="s">
        <v>134</v>
      </c>
      <c r="D64">
        <v>4389</v>
      </c>
      <c r="E64" s="212">
        <v>86.2</v>
      </c>
      <c r="F64" s="212">
        <v>57.4</v>
      </c>
      <c r="G64" s="212">
        <v>95.8</v>
      </c>
      <c r="H64" s="212">
        <v>94.2</v>
      </c>
      <c r="I64" s="212">
        <v>99.4</v>
      </c>
      <c r="J64" s="212">
        <v>338.9</v>
      </c>
      <c r="K64" s="212">
        <v>476.4</v>
      </c>
      <c r="L64" s="212">
        <v>96.7</v>
      </c>
      <c r="M64" s="212">
        <v>57.8</v>
      </c>
      <c r="O64">
        <v>4280</v>
      </c>
      <c r="P64" s="212">
        <v>90.6</v>
      </c>
      <c r="Q64" s="212">
        <v>69.400000000000006</v>
      </c>
      <c r="R64" s="212">
        <v>97.8</v>
      </c>
      <c r="S64" s="212">
        <v>96.3</v>
      </c>
      <c r="T64" s="212">
        <v>99.6</v>
      </c>
      <c r="U64" s="212">
        <v>361.5</v>
      </c>
      <c r="V64" s="212">
        <v>516.29999999999995</v>
      </c>
      <c r="W64" s="212">
        <v>98.4</v>
      </c>
      <c r="X64" s="212">
        <v>69.8</v>
      </c>
      <c r="Z64">
        <v>8669</v>
      </c>
      <c r="AA64" s="212">
        <v>88.4</v>
      </c>
      <c r="AB64" s="212">
        <v>63.4</v>
      </c>
      <c r="AC64" s="212">
        <v>96.7</v>
      </c>
      <c r="AD64" s="212">
        <v>95.2</v>
      </c>
      <c r="AE64" s="212">
        <v>99.5</v>
      </c>
      <c r="AF64" s="212">
        <v>350</v>
      </c>
      <c r="AG64" s="212">
        <v>496.1</v>
      </c>
      <c r="AH64" s="212">
        <v>97.5</v>
      </c>
      <c r="AI64" s="212">
        <v>63.7</v>
      </c>
    </row>
    <row r="65" spans="2:35" x14ac:dyDescent="0.2">
      <c r="B65" t="s">
        <v>136</v>
      </c>
      <c r="D65">
        <v>250</v>
      </c>
      <c r="E65" s="212">
        <v>81.599999999999994</v>
      </c>
      <c r="F65" s="212">
        <v>58.4</v>
      </c>
      <c r="G65" s="212">
        <v>98.8</v>
      </c>
      <c r="H65" s="212">
        <v>98.8</v>
      </c>
      <c r="I65" s="212">
        <v>100</v>
      </c>
      <c r="J65" s="212">
        <v>337.3</v>
      </c>
      <c r="K65" s="212">
        <v>439</v>
      </c>
      <c r="L65" s="212">
        <v>98.8</v>
      </c>
      <c r="M65" s="212">
        <v>60</v>
      </c>
      <c r="O65">
        <v>223</v>
      </c>
      <c r="P65" s="212">
        <v>87.4</v>
      </c>
      <c r="Q65" s="212">
        <v>77.099999999999994</v>
      </c>
      <c r="R65" s="212">
        <v>100</v>
      </c>
      <c r="S65" s="212">
        <v>100</v>
      </c>
      <c r="T65" s="212">
        <v>100</v>
      </c>
      <c r="U65" s="212">
        <v>367.6</v>
      </c>
      <c r="V65" s="212">
        <v>492.4</v>
      </c>
      <c r="W65" s="212">
        <v>100</v>
      </c>
      <c r="X65" s="212">
        <v>77.599999999999994</v>
      </c>
      <c r="Z65">
        <v>473</v>
      </c>
      <c r="AA65" s="212">
        <v>84.4</v>
      </c>
      <c r="AB65" s="212">
        <v>67.2</v>
      </c>
      <c r="AC65" s="212">
        <v>99.4</v>
      </c>
      <c r="AD65" s="212">
        <v>99.4</v>
      </c>
      <c r="AE65" s="212">
        <v>100</v>
      </c>
      <c r="AF65" s="212">
        <v>351.5</v>
      </c>
      <c r="AG65" s="212">
        <v>464.2</v>
      </c>
      <c r="AH65" s="212">
        <v>99.4</v>
      </c>
      <c r="AI65" s="212">
        <v>68.3</v>
      </c>
    </row>
    <row r="66" spans="2:35" x14ac:dyDescent="0.2">
      <c r="B66" t="s">
        <v>386</v>
      </c>
      <c r="D66">
        <v>33086</v>
      </c>
      <c r="E66" s="212">
        <v>82.7</v>
      </c>
      <c r="F66" s="212">
        <v>55</v>
      </c>
      <c r="G66" s="212">
        <v>95.3</v>
      </c>
      <c r="H66" s="212">
        <v>93.1</v>
      </c>
      <c r="I66" s="212">
        <v>99.3</v>
      </c>
      <c r="J66" s="212">
        <v>333.4</v>
      </c>
      <c r="K66" s="212">
        <v>463.6</v>
      </c>
      <c r="L66" s="212">
        <v>95.7</v>
      </c>
      <c r="M66" s="212">
        <v>55.5</v>
      </c>
      <c r="O66">
        <v>31344</v>
      </c>
      <c r="P66" s="212">
        <v>88.6</v>
      </c>
      <c r="Q66" s="212">
        <v>65.099999999999994</v>
      </c>
      <c r="R66" s="212">
        <v>97.3</v>
      </c>
      <c r="S66" s="212">
        <v>95.7</v>
      </c>
      <c r="T66" s="212">
        <v>99.6</v>
      </c>
      <c r="U66" s="212">
        <v>357.5</v>
      </c>
      <c r="V66" s="212">
        <v>509.7</v>
      </c>
      <c r="W66" s="212">
        <v>97.8</v>
      </c>
      <c r="X66" s="212">
        <v>65.5</v>
      </c>
      <c r="Z66">
        <v>64430</v>
      </c>
      <c r="AA66" s="212">
        <v>85.6</v>
      </c>
      <c r="AB66" s="212">
        <v>59.9</v>
      </c>
      <c r="AC66" s="212">
        <v>96.3</v>
      </c>
      <c r="AD66" s="212">
        <v>94.4</v>
      </c>
      <c r="AE66" s="212">
        <v>99.4</v>
      </c>
      <c r="AF66" s="212">
        <v>345.1</v>
      </c>
      <c r="AG66" s="212">
        <v>486</v>
      </c>
      <c r="AH66" s="212">
        <v>96.7</v>
      </c>
      <c r="AI66" s="212">
        <v>60.4</v>
      </c>
    </row>
    <row r="67" spans="2:35" x14ac:dyDescent="0.2">
      <c r="B67" t="s">
        <v>139</v>
      </c>
      <c r="D67">
        <v>6309</v>
      </c>
      <c r="E67" s="212">
        <v>85.4</v>
      </c>
      <c r="F67" s="212">
        <v>55</v>
      </c>
      <c r="G67" s="212">
        <v>95.4</v>
      </c>
      <c r="H67" s="212">
        <v>91.6</v>
      </c>
      <c r="I67" s="212">
        <v>99.2</v>
      </c>
      <c r="J67" s="212">
        <v>338.2</v>
      </c>
      <c r="K67" s="212">
        <v>474</v>
      </c>
      <c r="L67" s="212">
        <v>94.1</v>
      </c>
      <c r="M67" s="212">
        <v>55.7</v>
      </c>
      <c r="O67">
        <v>6152</v>
      </c>
      <c r="P67" s="212">
        <v>89.8</v>
      </c>
      <c r="Q67" s="212">
        <v>64.8</v>
      </c>
      <c r="R67" s="212">
        <v>97.6</v>
      </c>
      <c r="S67" s="212">
        <v>95.7</v>
      </c>
      <c r="T67" s="212">
        <v>99.6</v>
      </c>
      <c r="U67" s="212">
        <v>361.5</v>
      </c>
      <c r="V67" s="212">
        <v>520.9</v>
      </c>
      <c r="W67" s="212">
        <v>97.9</v>
      </c>
      <c r="X67" s="212">
        <v>65.2</v>
      </c>
      <c r="Z67">
        <v>12461</v>
      </c>
      <c r="AA67" s="212">
        <v>87.6</v>
      </c>
      <c r="AB67" s="212">
        <v>59.8</v>
      </c>
      <c r="AC67" s="212">
        <v>96.5</v>
      </c>
      <c r="AD67" s="212">
        <v>93.6</v>
      </c>
      <c r="AE67" s="212">
        <v>99.4</v>
      </c>
      <c r="AF67" s="212">
        <v>349.7</v>
      </c>
      <c r="AG67" s="212">
        <v>497.2</v>
      </c>
      <c r="AH67" s="212">
        <v>95.9</v>
      </c>
      <c r="AI67" s="212">
        <v>60.4</v>
      </c>
    </row>
    <row r="68" spans="2:35" x14ac:dyDescent="0.2">
      <c r="B68" t="s">
        <v>141</v>
      </c>
      <c r="D68">
        <v>1811</v>
      </c>
      <c r="E68" s="212">
        <v>86.2</v>
      </c>
      <c r="F68" s="212">
        <v>51.8</v>
      </c>
      <c r="G68" s="212">
        <v>95.9</v>
      </c>
      <c r="H68" s="212">
        <v>93.7</v>
      </c>
      <c r="I68" s="212">
        <v>99.1</v>
      </c>
      <c r="J68" s="212">
        <v>339.1</v>
      </c>
      <c r="K68" s="212">
        <v>503.1</v>
      </c>
      <c r="L68" s="212">
        <v>96.1</v>
      </c>
      <c r="M68" s="212">
        <v>52.1</v>
      </c>
      <c r="O68">
        <v>1777</v>
      </c>
      <c r="P68" s="212">
        <v>88.5</v>
      </c>
      <c r="Q68" s="212">
        <v>60.9</v>
      </c>
      <c r="R68" s="212">
        <v>96.5</v>
      </c>
      <c r="S68" s="212">
        <v>94.7</v>
      </c>
      <c r="T68" s="212">
        <v>99.2</v>
      </c>
      <c r="U68" s="212">
        <v>354.1</v>
      </c>
      <c r="V68" s="212">
        <v>516.4</v>
      </c>
      <c r="W68" s="212">
        <v>97.3</v>
      </c>
      <c r="X68" s="212">
        <v>61.4</v>
      </c>
      <c r="Z68">
        <v>3588</v>
      </c>
      <c r="AA68" s="212">
        <v>87.3</v>
      </c>
      <c r="AB68" s="212">
        <v>56.4</v>
      </c>
      <c r="AC68" s="212">
        <v>96.2</v>
      </c>
      <c r="AD68" s="212">
        <v>94.2</v>
      </c>
      <c r="AE68" s="212">
        <v>99.1</v>
      </c>
      <c r="AF68" s="212">
        <v>346.5</v>
      </c>
      <c r="AG68" s="212">
        <v>509.7</v>
      </c>
      <c r="AH68" s="212">
        <v>96.7</v>
      </c>
      <c r="AI68" s="212">
        <v>56.7</v>
      </c>
    </row>
    <row r="69" spans="2:35" x14ac:dyDescent="0.2">
      <c r="B69" t="s">
        <v>143</v>
      </c>
      <c r="D69">
        <v>2073</v>
      </c>
      <c r="E69" s="212">
        <v>77.5</v>
      </c>
      <c r="F69" s="212">
        <v>55.6</v>
      </c>
      <c r="G69" s="212">
        <v>95.5</v>
      </c>
      <c r="H69" s="212">
        <v>93</v>
      </c>
      <c r="I69" s="212">
        <v>99.3</v>
      </c>
      <c r="J69" s="212">
        <v>328</v>
      </c>
      <c r="K69" s="212">
        <v>441.8</v>
      </c>
      <c r="L69" s="212">
        <v>96.1</v>
      </c>
      <c r="M69" s="212">
        <v>56.3</v>
      </c>
      <c r="O69">
        <v>1856</v>
      </c>
      <c r="P69" s="212">
        <v>85.5</v>
      </c>
      <c r="Q69" s="212">
        <v>64.3</v>
      </c>
      <c r="R69" s="212">
        <v>97.1</v>
      </c>
      <c r="S69" s="212">
        <v>95.5</v>
      </c>
      <c r="T69" s="212">
        <v>99.8</v>
      </c>
      <c r="U69" s="212">
        <v>350.6</v>
      </c>
      <c r="V69" s="212">
        <v>484.2</v>
      </c>
      <c r="W69" s="212">
        <v>98.3</v>
      </c>
      <c r="X69" s="212">
        <v>65</v>
      </c>
      <c r="Z69">
        <v>3929</v>
      </c>
      <c r="AA69" s="212">
        <v>81.2</v>
      </c>
      <c r="AB69" s="212">
        <v>59.7</v>
      </c>
      <c r="AC69" s="212">
        <v>96.3</v>
      </c>
      <c r="AD69" s="212">
        <v>94.1</v>
      </c>
      <c r="AE69" s="212">
        <v>99.5</v>
      </c>
      <c r="AF69" s="212">
        <v>338.7</v>
      </c>
      <c r="AG69" s="212">
        <v>461.8</v>
      </c>
      <c r="AH69" s="212">
        <v>97.1</v>
      </c>
      <c r="AI69" s="212">
        <v>60.4</v>
      </c>
    </row>
    <row r="70" spans="2:35" x14ac:dyDescent="0.2">
      <c r="B70" t="s">
        <v>355</v>
      </c>
      <c r="D70">
        <v>940</v>
      </c>
      <c r="E70" s="212">
        <v>80.5</v>
      </c>
      <c r="F70" s="212">
        <v>50.1</v>
      </c>
      <c r="G70" s="212">
        <v>95.3</v>
      </c>
      <c r="H70" s="212">
        <v>92.3</v>
      </c>
      <c r="I70" s="212">
        <v>98.6</v>
      </c>
      <c r="J70" s="212">
        <v>329.6</v>
      </c>
      <c r="K70" s="212">
        <v>447.8</v>
      </c>
      <c r="L70" s="212">
        <v>94.4</v>
      </c>
      <c r="M70" s="212">
        <v>50.6</v>
      </c>
      <c r="O70">
        <v>885</v>
      </c>
      <c r="P70" s="212">
        <v>88.7</v>
      </c>
      <c r="Q70" s="212">
        <v>62.5</v>
      </c>
      <c r="R70" s="212">
        <v>97.6</v>
      </c>
      <c r="S70" s="212">
        <v>95.5</v>
      </c>
      <c r="T70" s="212">
        <v>99.1</v>
      </c>
      <c r="U70" s="212">
        <v>359.1</v>
      </c>
      <c r="V70" s="212">
        <v>509.9</v>
      </c>
      <c r="W70" s="212">
        <v>96.7</v>
      </c>
      <c r="X70" s="212">
        <v>62.5</v>
      </c>
      <c r="Z70">
        <v>1825</v>
      </c>
      <c r="AA70" s="212">
        <v>84.5</v>
      </c>
      <c r="AB70" s="212">
        <v>56.1</v>
      </c>
      <c r="AC70" s="212">
        <v>96.4</v>
      </c>
      <c r="AD70" s="212">
        <v>93.9</v>
      </c>
      <c r="AE70" s="212">
        <v>98.8</v>
      </c>
      <c r="AF70" s="212">
        <v>343.9</v>
      </c>
      <c r="AG70" s="212">
        <v>477.9</v>
      </c>
      <c r="AH70" s="212">
        <v>95.5</v>
      </c>
      <c r="AI70" s="212">
        <v>56.4</v>
      </c>
    </row>
    <row r="71" spans="2:35" x14ac:dyDescent="0.2">
      <c r="B71" t="s">
        <v>146</v>
      </c>
      <c r="D71">
        <v>1977</v>
      </c>
      <c r="E71" s="212">
        <v>85.7</v>
      </c>
      <c r="F71" s="212">
        <v>48.9</v>
      </c>
      <c r="G71" s="212">
        <v>95.3</v>
      </c>
      <c r="H71" s="212">
        <v>92.9</v>
      </c>
      <c r="I71" s="212">
        <v>99.4</v>
      </c>
      <c r="J71" s="212">
        <v>326.89999999999998</v>
      </c>
      <c r="K71" s="212">
        <v>461.2</v>
      </c>
      <c r="L71" s="212">
        <v>96.4</v>
      </c>
      <c r="M71" s="212">
        <v>49.1</v>
      </c>
      <c r="O71">
        <v>1691</v>
      </c>
      <c r="P71" s="212">
        <v>90.1</v>
      </c>
      <c r="Q71" s="212">
        <v>60.3</v>
      </c>
      <c r="R71" s="212">
        <v>97.2</v>
      </c>
      <c r="S71" s="212">
        <v>94.9</v>
      </c>
      <c r="T71" s="212">
        <v>99.6</v>
      </c>
      <c r="U71" s="212">
        <v>352.7</v>
      </c>
      <c r="V71" s="212">
        <v>520.5</v>
      </c>
      <c r="W71" s="212">
        <v>97.8</v>
      </c>
      <c r="X71" s="212">
        <v>60.5</v>
      </c>
      <c r="Z71">
        <v>3668</v>
      </c>
      <c r="AA71" s="212">
        <v>87.7</v>
      </c>
      <c r="AB71" s="212">
        <v>54.1</v>
      </c>
      <c r="AC71" s="212">
        <v>96.2</v>
      </c>
      <c r="AD71" s="212">
        <v>93.8</v>
      </c>
      <c r="AE71" s="212">
        <v>99.5</v>
      </c>
      <c r="AF71" s="212">
        <v>338.8</v>
      </c>
      <c r="AG71" s="212">
        <v>488.5</v>
      </c>
      <c r="AH71" s="212">
        <v>97</v>
      </c>
      <c r="AI71" s="212">
        <v>54.4</v>
      </c>
    </row>
    <row r="72" spans="2:35" x14ac:dyDescent="0.2">
      <c r="B72" t="s">
        <v>148</v>
      </c>
      <c r="D72">
        <v>1650</v>
      </c>
      <c r="E72" s="212">
        <v>75.099999999999994</v>
      </c>
      <c r="F72" s="212">
        <v>54.7</v>
      </c>
      <c r="G72" s="212">
        <v>96.4</v>
      </c>
      <c r="H72" s="212">
        <v>94.7</v>
      </c>
      <c r="I72" s="212">
        <v>99.2</v>
      </c>
      <c r="J72" s="212">
        <v>325.10000000000002</v>
      </c>
      <c r="K72" s="212">
        <v>431</v>
      </c>
      <c r="L72" s="212">
        <v>96.9</v>
      </c>
      <c r="M72" s="212">
        <v>55.3</v>
      </c>
      <c r="O72">
        <v>1608</v>
      </c>
      <c r="P72" s="212">
        <v>83</v>
      </c>
      <c r="Q72" s="212">
        <v>66.2</v>
      </c>
      <c r="R72" s="212">
        <v>97.5</v>
      </c>
      <c r="S72" s="212">
        <v>96.5</v>
      </c>
      <c r="T72" s="212">
        <v>99.4</v>
      </c>
      <c r="U72" s="212">
        <v>349.4</v>
      </c>
      <c r="V72" s="212">
        <v>475.6</v>
      </c>
      <c r="W72" s="212">
        <v>98.1</v>
      </c>
      <c r="X72" s="212">
        <v>66.8</v>
      </c>
      <c r="Z72">
        <v>3258</v>
      </c>
      <c r="AA72" s="212">
        <v>79</v>
      </c>
      <c r="AB72" s="212">
        <v>60.4</v>
      </c>
      <c r="AC72" s="212">
        <v>96.9</v>
      </c>
      <c r="AD72" s="212">
        <v>95.6</v>
      </c>
      <c r="AE72" s="212">
        <v>99.3</v>
      </c>
      <c r="AF72" s="212">
        <v>337.1</v>
      </c>
      <c r="AG72" s="212">
        <v>453</v>
      </c>
      <c r="AH72" s="212">
        <v>97.5</v>
      </c>
      <c r="AI72" s="212">
        <v>61</v>
      </c>
    </row>
    <row r="73" spans="2:35" x14ac:dyDescent="0.2">
      <c r="B73" t="s">
        <v>150</v>
      </c>
      <c r="D73">
        <v>1584</v>
      </c>
      <c r="E73" s="212">
        <v>87.4</v>
      </c>
      <c r="F73" s="212">
        <v>63.3</v>
      </c>
      <c r="G73" s="212">
        <v>97.2</v>
      </c>
      <c r="H73" s="212">
        <v>96</v>
      </c>
      <c r="I73" s="212">
        <v>99.6</v>
      </c>
      <c r="J73" s="212">
        <v>343.5</v>
      </c>
      <c r="K73" s="212">
        <v>484.8</v>
      </c>
      <c r="L73" s="212">
        <v>97.9</v>
      </c>
      <c r="M73" s="212">
        <v>63.9</v>
      </c>
      <c r="O73">
        <v>1446</v>
      </c>
      <c r="P73" s="212">
        <v>92</v>
      </c>
      <c r="Q73" s="212">
        <v>71.2</v>
      </c>
      <c r="R73" s="212">
        <v>98.3</v>
      </c>
      <c r="S73" s="212">
        <v>97.2</v>
      </c>
      <c r="T73" s="212">
        <v>99.7</v>
      </c>
      <c r="U73" s="212">
        <v>362.7</v>
      </c>
      <c r="V73" s="212">
        <v>529</v>
      </c>
      <c r="W73" s="212">
        <v>99</v>
      </c>
      <c r="X73" s="212">
        <v>71.400000000000006</v>
      </c>
      <c r="Z73">
        <v>3030</v>
      </c>
      <c r="AA73" s="212">
        <v>89.6</v>
      </c>
      <c r="AB73" s="212">
        <v>67.099999999999994</v>
      </c>
      <c r="AC73" s="212">
        <v>97.7</v>
      </c>
      <c r="AD73" s="212">
        <v>96.5</v>
      </c>
      <c r="AE73" s="212">
        <v>99.6</v>
      </c>
      <c r="AF73" s="212">
        <v>352.7</v>
      </c>
      <c r="AG73" s="212">
        <v>505.9</v>
      </c>
      <c r="AH73" s="212">
        <v>98.4</v>
      </c>
      <c r="AI73" s="212">
        <v>67.5</v>
      </c>
    </row>
    <row r="74" spans="2:35" x14ac:dyDescent="0.2">
      <c r="B74" t="s">
        <v>152</v>
      </c>
      <c r="D74">
        <v>4922</v>
      </c>
      <c r="E74" s="212">
        <v>80</v>
      </c>
      <c r="F74" s="212">
        <v>54</v>
      </c>
      <c r="G74" s="212">
        <v>95.2</v>
      </c>
      <c r="H74" s="212">
        <v>93.4</v>
      </c>
      <c r="I74" s="212">
        <v>99.5</v>
      </c>
      <c r="J74" s="212">
        <v>330</v>
      </c>
      <c r="K74" s="212">
        <v>452.4</v>
      </c>
      <c r="L74" s="212">
        <v>96.1</v>
      </c>
      <c r="M74" s="212">
        <v>54.8</v>
      </c>
      <c r="O74">
        <v>4782</v>
      </c>
      <c r="P74" s="212">
        <v>87.9</v>
      </c>
      <c r="Q74" s="212">
        <v>65.900000000000006</v>
      </c>
      <c r="R74" s="212">
        <v>97.2</v>
      </c>
      <c r="S74" s="212">
        <v>95.6</v>
      </c>
      <c r="T74" s="212">
        <v>99.7</v>
      </c>
      <c r="U74" s="212">
        <v>355.4</v>
      </c>
      <c r="V74" s="212">
        <v>503.4</v>
      </c>
      <c r="W74" s="212">
        <v>97.7</v>
      </c>
      <c r="X74" s="212">
        <v>66.5</v>
      </c>
      <c r="Z74">
        <v>9704</v>
      </c>
      <c r="AA74" s="212">
        <v>83.9</v>
      </c>
      <c r="AB74" s="212">
        <v>59.9</v>
      </c>
      <c r="AC74" s="212">
        <v>96.2</v>
      </c>
      <c r="AD74" s="212">
        <v>94.5</v>
      </c>
      <c r="AE74" s="212">
        <v>99.6</v>
      </c>
      <c r="AF74" s="212">
        <v>342.5</v>
      </c>
      <c r="AG74" s="212">
        <v>477.5</v>
      </c>
      <c r="AH74" s="212">
        <v>96.9</v>
      </c>
      <c r="AI74" s="212">
        <v>60.6</v>
      </c>
    </row>
    <row r="75" spans="2:35" x14ac:dyDescent="0.2">
      <c r="B75" t="s">
        <v>154</v>
      </c>
      <c r="D75">
        <v>1383</v>
      </c>
      <c r="E75" s="212">
        <v>78.3</v>
      </c>
      <c r="F75" s="212">
        <v>44.8</v>
      </c>
      <c r="G75" s="212">
        <v>92.8</v>
      </c>
      <c r="H75" s="212">
        <v>91.4</v>
      </c>
      <c r="I75" s="212">
        <v>98.9</v>
      </c>
      <c r="J75" s="212">
        <v>316.5</v>
      </c>
      <c r="K75" s="212">
        <v>433.4</v>
      </c>
      <c r="L75" s="212">
        <v>95.2</v>
      </c>
      <c r="M75" s="212">
        <v>45.2</v>
      </c>
      <c r="O75">
        <v>1255</v>
      </c>
      <c r="P75" s="212">
        <v>87.5</v>
      </c>
      <c r="Q75" s="212">
        <v>55.5</v>
      </c>
      <c r="R75" s="212">
        <v>96.9</v>
      </c>
      <c r="S75" s="212">
        <v>95</v>
      </c>
      <c r="T75" s="212">
        <v>99.4</v>
      </c>
      <c r="U75" s="212">
        <v>347.2</v>
      </c>
      <c r="V75" s="212">
        <v>487.8</v>
      </c>
      <c r="W75" s="212">
        <v>97.9</v>
      </c>
      <c r="X75" s="212">
        <v>55.8</v>
      </c>
      <c r="Z75">
        <v>2638</v>
      </c>
      <c r="AA75" s="212">
        <v>82.7</v>
      </c>
      <c r="AB75" s="212">
        <v>49.9</v>
      </c>
      <c r="AC75" s="212">
        <v>94.7</v>
      </c>
      <c r="AD75" s="212">
        <v>93.1</v>
      </c>
      <c r="AE75" s="212">
        <v>99.2</v>
      </c>
      <c r="AF75" s="212">
        <v>331.1</v>
      </c>
      <c r="AG75" s="212">
        <v>459.3</v>
      </c>
      <c r="AH75" s="212">
        <v>96.5</v>
      </c>
      <c r="AI75" s="212">
        <v>50.2</v>
      </c>
    </row>
    <row r="76" spans="2:35" x14ac:dyDescent="0.2">
      <c r="B76" t="s">
        <v>156</v>
      </c>
      <c r="D76">
        <v>1081</v>
      </c>
      <c r="E76" s="212">
        <v>85.4</v>
      </c>
      <c r="F76" s="212">
        <v>55</v>
      </c>
      <c r="G76" s="212">
        <v>94.6</v>
      </c>
      <c r="H76" s="212">
        <v>92.6</v>
      </c>
      <c r="I76" s="212">
        <v>99.6</v>
      </c>
      <c r="J76" s="212">
        <v>340</v>
      </c>
      <c r="K76" s="212">
        <v>483.2</v>
      </c>
      <c r="L76" s="212">
        <v>95.6</v>
      </c>
      <c r="M76" s="212">
        <v>55.3</v>
      </c>
      <c r="O76">
        <v>1017</v>
      </c>
      <c r="P76" s="212">
        <v>91.1</v>
      </c>
      <c r="Q76" s="212">
        <v>62.3</v>
      </c>
      <c r="R76" s="212">
        <v>97.2</v>
      </c>
      <c r="S76" s="212">
        <v>95.7</v>
      </c>
      <c r="T76" s="212">
        <v>99.9</v>
      </c>
      <c r="U76" s="212">
        <v>359.1</v>
      </c>
      <c r="V76" s="212">
        <v>528.29999999999995</v>
      </c>
      <c r="W76" s="212">
        <v>97.3</v>
      </c>
      <c r="X76" s="212">
        <v>62.3</v>
      </c>
      <c r="Z76">
        <v>2098</v>
      </c>
      <c r="AA76" s="212">
        <v>88.1</v>
      </c>
      <c r="AB76" s="212">
        <v>58.6</v>
      </c>
      <c r="AC76" s="212">
        <v>95.9</v>
      </c>
      <c r="AD76" s="212">
        <v>94.1</v>
      </c>
      <c r="AE76" s="212">
        <v>99.8</v>
      </c>
      <c r="AF76" s="212">
        <v>349.3</v>
      </c>
      <c r="AG76" s="212">
        <v>505.1</v>
      </c>
      <c r="AH76" s="212">
        <v>96.4</v>
      </c>
      <c r="AI76" s="212">
        <v>58.7</v>
      </c>
    </row>
    <row r="77" spans="2:35" x14ac:dyDescent="0.2">
      <c r="B77" t="s">
        <v>158</v>
      </c>
      <c r="D77">
        <v>1789</v>
      </c>
      <c r="E77" s="212">
        <v>85.2</v>
      </c>
      <c r="F77" s="212">
        <v>53.2</v>
      </c>
      <c r="G77" s="212">
        <v>93.5</v>
      </c>
      <c r="H77" s="212">
        <v>91.6</v>
      </c>
      <c r="I77" s="212">
        <v>98.8</v>
      </c>
      <c r="J77" s="212">
        <v>331.8</v>
      </c>
      <c r="K77" s="212">
        <v>470.1</v>
      </c>
      <c r="L77" s="212">
        <v>95.8</v>
      </c>
      <c r="M77" s="212">
        <v>53.8</v>
      </c>
      <c r="O77">
        <v>1671</v>
      </c>
      <c r="P77" s="212">
        <v>89.2</v>
      </c>
      <c r="Q77" s="212">
        <v>64.5</v>
      </c>
      <c r="R77" s="212">
        <v>96.1</v>
      </c>
      <c r="S77" s="212">
        <v>94.3</v>
      </c>
      <c r="T77" s="212">
        <v>99.3</v>
      </c>
      <c r="U77" s="212">
        <v>357.2</v>
      </c>
      <c r="V77" s="212">
        <v>516.79999999999995</v>
      </c>
      <c r="W77" s="212">
        <v>97.3</v>
      </c>
      <c r="X77" s="212">
        <v>64.8</v>
      </c>
      <c r="Z77">
        <v>3460</v>
      </c>
      <c r="AA77" s="212">
        <v>87.1</v>
      </c>
      <c r="AB77" s="212">
        <v>58.7</v>
      </c>
      <c r="AC77" s="212">
        <v>94.7</v>
      </c>
      <c r="AD77" s="212">
        <v>92.9</v>
      </c>
      <c r="AE77" s="212">
        <v>99</v>
      </c>
      <c r="AF77" s="212">
        <v>344.1</v>
      </c>
      <c r="AG77" s="212">
        <v>492.7</v>
      </c>
      <c r="AH77" s="212">
        <v>96.5</v>
      </c>
      <c r="AI77" s="212">
        <v>59.1</v>
      </c>
    </row>
    <row r="78" spans="2:35" x14ac:dyDescent="0.2">
      <c r="B78" t="s">
        <v>160</v>
      </c>
      <c r="D78">
        <v>3093</v>
      </c>
      <c r="E78" s="212">
        <v>82.9</v>
      </c>
      <c r="F78" s="212">
        <v>61.4</v>
      </c>
      <c r="G78" s="212">
        <v>96.2</v>
      </c>
      <c r="H78" s="212">
        <v>94.6</v>
      </c>
      <c r="I78" s="212">
        <v>99.4</v>
      </c>
      <c r="J78" s="212">
        <v>342</v>
      </c>
      <c r="K78" s="212">
        <v>484.6</v>
      </c>
      <c r="L78" s="212">
        <v>96.2</v>
      </c>
      <c r="M78" s="212">
        <v>61.8</v>
      </c>
      <c r="O78">
        <v>2969</v>
      </c>
      <c r="P78" s="212">
        <v>90.3</v>
      </c>
      <c r="Q78" s="212">
        <v>69.2</v>
      </c>
      <c r="R78" s="212">
        <v>97.7</v>
      </c>
      <c r="S78" s="212">
        <v>96.9</v>
      </c>
      <c r="T78" s="212">
        <v>99.7</v>
      </c>
      <c r="U78" s="212">
        <v>368.1</v>
      </c>
      <c r="V78" s="212">
        <v>531.29999999999995</v>
      </c>
      <c r="W78" s="212">
        <v>98</v>
      </c>
      <c r="X78" s="212">
        <v>69.5</v>
      </c>
      <c r="Z78">
        <v>6062</v>
      </c>
      <c r="AA78" s="212">
        <v>86.5</v>
      </c>
      <c r="AB78" s="212">
        <v>65.3</v>
      </c>
      <c r="AC78" s="212">
        <v>96.9</v>
      </c>
      <c r="AD78" s="212">
        <v>95.8</v>
      </c>
      <c r="AE78" s="212">
        <v>99.5</v>
      </c>
      <c r="AF78" s="212">
        <v>354.8</v>
      </c>
      <c r="AG78" s="212">
        <v>507.5</v>
      </c>
      <c r="AH78" s="212">
        <v>97.1</v>
      </c>
      <c r="AI78" s="212">
        <v>65.5</v>
      </c>
    </row>
    <row r="79" spans="2:35" x14ac:dyDescent="0.2">
      <c r="B79" t="s">
        <v>162</v>
      </c>
      <c r="D79">
        <v>1294</v>
      </c>
      <c r="E79" s="212">
        <v>85.2</v>
      </c>
      <c r="F79" s="212">
        <v>55.3</v>
      </c>
      <c r="G79" s="212">
        <v>93.7</v>
      </c>
      <c r="H79" s="212">
        <v>92.1</v>
      </c>
      <c r="I79" s="212">
        <v>99</v>
      </c>
      <c r="J79" s="212">
        <v>331.9</v>
      </c>
      <c r="K79" s="212">
        <v>468.2</v>
      </c>
      <c r="L79" s="212">
        <v>94</v>
      </c>
      <c r="M79" s="212">
        <v>55.6</v>
      </c>
      <c r="O79">
        <v>1358</v>
      </c>
      <c r="P79" s="212">
        <v>89.2</v>
      </c>
      <c r="Q79" s="212">
        <v>66.400000000000006</v>
      </c>
      <c r="R79" s="212">
        <v>96.2</v>
      </c>
      <c r="S79" s="212">
        <v>94.8</v>
      </c>
      <c r="T79" s="212">
        <v>99.3</v>
      </c>
      <c r="U79" s="212">
        <v>360.8</v>
      </c>
      <c r="V79" s="212">
        <v>516</v>
      </c>
      <c r="W79" s="212">
        <v>96.9</v>
      </c>
      <c r="X79" s="212">
        <v>66.599999999999994</v>
      </c>
      <c r="Z79">
        <v>2652</v>
      </c>
      <c r="AA79" s="212">
        <v>87.3</v>
      </c>
      <c r="AB79" s="212">
        <v>61</v>
      </c>
      <c r="AC79" s="212">
        <v>95</v>
      </c>
      <c r="AD79" s="212">
        <v>93.5</v>
      </c>
      <c r="AE79" s="212">
        <v>99.1</v>
      </c>
      <c r="AF79" s="212">
        <v>346.7</v>
      </c>
      <c r="AG79" s="212">
        <v>492.6</v>
      </c>
      <c r="AH79" s="212">
        <v>95.5</v>
      </c>
      <c r="AI79" s="212">
        <v>61.3</v>
      </c>
    </row>
    <row r="80" spans="2:35" x14ac:dyDescent="0.2">
      <c r="B80" t="s">
        <v>164</v>
      </c>
      <c r="D80">
        <v>3180</v>
      </c>
      <c r="E80" s="212">
        <v>81.599999999999994</v>
      </c>
      <c r="F80" s="212">
        <v>57.8</v>
      </c>
      <c r="G80" s="212">
        <v>95.8</v>
      </c>
      <c r="H80" s="212">
        <v>94.6</v>
      </c>
      <c r="I80" s="212">
        <v>99.5</v>
      </c>
      <c r="J80" s="212">
        <v>331.9</v>
      </c>
      <c r="K80" s="212">
        <v>445.5</v>
      </c>
      <c r="L80" s="212">
        <v>96.7</v>
      </c>
      <c r="M80" s="212">
        <v>58.4</v>
      </c>
      <c r="O80">
        <v>2877</v>
      </c>
      <c r="P80" s="212">
        <v>87.1</v>
      </c>
      <c r="Q80" s="212">
        <v>68.5</v>
      </c>
      <c r="R80" s="212">
        <v>97.3</v>
      </c>
      <c r="S80" s="212">
        <v>96.4</v>
      </c>
      <c r="T80" s="212">
        <v>99.7</v>
      </c>
      <c r="U80" s="212">
        <v>354.6</v>
      </c>
      <c r="V80" s="212">
        <v>484.9</v>
      </c>
      <c r="W80" s="212">
        <v>98.1</v>
      </c>
      <c r="X80" s="212">
        <v>69.2</v>
      </c>
      <c r="Z80">
        <v>6057</v>
      </c>
      <c r="AA80" s="212">
        <v>84.2</v>
      </c>
      <c r="AB80" s="212">
        <v>62.9</v>
      </c>
      <c r="AC80" s="212">
        <v>96.5</v>
      </c>
      <c r="AD80" s="212">
        <v>95.4</v>
      </c>
      <c r="AE80" s="212">
        <v>99.6</v>
      </c>
      <c r="AF80" s="212">
        <v>342.7</v>
      </c>
      <c r="AG80" s="212">
        <v>464.2</v>
      </c>
      <c r="AH80" s="212">
        <v>97.3</v>
      </c>
      <c r="AI80" s="212">
        <v>63.5</v>
      </c>
    </row>
    <row r="81" spans="2:35" x14ac:dyDescent="0.2">
      <c r="B81" t="s">
        <v>383</v>
      </c>
      <c r="D81">
        <v>33186</v>
      </c>
      <c r="E81" s="212">
        <v>76.099999999999994</v>
      </c>
      <c r="F81" s="212">
        <v>54.8</v>
      </c>
      <c r="G81" s="212">
        <v>94.9</v>
      </c>
      <c r="H81" s="212">
        <v>93.2</v>
      </c>
      <c r="I81" s="212">
        <v>99.2</v>
      </c>
      <c r="J81" s="212">
        <v>327.39999999999998</v>
      </c>
      <c r="K81" s="212">
        <v>436.5</v>
      </c>
      <c r="L81" s="212">
        <v>96.1</v>
      </c>
      <c r="M81" s="212">
        <v>55.9</v>
      </c>
      <c r="O81">
        <v>31769</v>
      </c>
      <c r="P81" s="212">
        <v>83.2</v>
      </c>
      <c r="Q81" s="212">
        <v>65.099999999999994</v>
      </c>
      <c r="R81" s="212">
        <v>96.7</v>
      </c>
      <c r="S81" s="212">
        <v>95.5</v>
      </c>
      <c r="T81" s="212">
        <v>99.5</v>
      </c>
      <c r="U81" s="212">
        <v>350</v>
      </c>
      <c r="V81" s="212">
        <v>476.8</v>
      </c>
      <c r="W81" s="212">
        <v>97.6</v>
      </c>
      <c r="X81" s="212">
        <v>65.900000000000006</v>
      </c>
      <c r="Z81">
        <v>64955</v>
      </c>
      <c r="AA81" s="212">
        <v>79.599999999999994</v>
      </c>
      <c r="AB81" s="212">
        <v>59.8</v>
      </c>
      <c r="AC81" s="212">
        <v>95.8</v>
      </c>
      <c r="AD81" s="212">
        <v>94.3</v>
      </c>
      <c r="AE81" s="212">
        <v>99.3</v>
      </c>
      <c r="AF81" s="212">
        <v>338.5</v>
      </c>
      <c r="AG81" s="212">
        <v>456.2</v>
      </c>
      <c r="AH81" s="212">
        <v>96.8</v>
      </c>
      <c r="AI81" s="212">
        <v>60.8</v>
      </c>
    </row>
    <row r="82" spans="2:35" x14ac:dyDescent="0.2">
      <c r="B82" t="s">
        <v>167</v>
      </c>
      <c r="D82">
        <v>989</v>
      </c>
      <c r="E82" s="212">
        <v>73.900000000000006</v>
      </c>
      <c r="F82" s="212">
        <v>54.2</v>
      </c>
      <c r="G82" s="212">
        <v>93.9</v>
      </c>
      <c r="H82" s="212">
        <v>93.2</v>
      </c>
      <c r="I82" s="212">
        <v>99.1</v>
      </c>
      <c r="J82" s="212">
        <v>320.10000000000002</v>
      </c>
      <c r="K82" s="212">
        <v>436.7</v>
      </c>
      <c r="L82" s="212">
        <v>97.1</v>
      </c>
      <c r="M82" s="212">
        <v>56</v>
      </c>
      <c r="O82">
        <v>902</v>
      </c>
      <c r="P82" s="212">
        <v>87.1</v>
      </c>
      <c r="Q82" s="212">
        <v>65.7</v>
      </c>
      <c r="R82" s="212">
        <v>97.8</v>
      </c>
      <c r="S82" s="212">
        <v>96.3</v>
      </c>
      <c r="T82" s="212">
        <v>99.9</v>
      </c>
      <c r="U82" s="212">
        <v>357.5</v>
      </c>
      <c r="V82" s="212">
        <v>499</v>
      </c>
      <c r="W82" s="212">
        <v>98.6</v>
      </c>
      <c r="X82" s="212">
        <v>66.3</v>
      </c>
      <c r="Z82">
        <v>1891</v>
      </c>
      <c r="AA82" s="212">
        <v>80.2</v>
      </c>
      <c r="AB82" s="212">
        <v>59.7</v>
      </c>
      <c r="AC82" s="212">
        <v>95.8</v>
      </c>
      <c r="AD82" s="212">
        <v>94.7</v>
      </c>
      <c r="AE82" s="212">
        <v>99.5</v>
      </c>
      <c r="AF82" s="212">
        <v>337.9</v>
      </c>
      <c r="AG82" s="212">
        <v>466.4</v>
      </c>
      <c r="AH82" s="212">
        <v>97.8</v>
      </c>
      <c r="AI82" s="212">
        <v>60.9</v>
      </c>
    </row>
    <row r="83" spans="2:35" x14ac:dyDescent="0.2">
      <c r="B83" t="s">
        <v>169</v>
      </c>
      <c r="D83">
        <v>3094</v>
      </c>
      <c r="E83" s="212">
        <v>76</v>
      </c>
      <c r="F83" s="212">
        <v>55.8</v>
      </c>
      <c r="G83" s="212">
        <v>93.9</v>
      </c>
      <c r="H83" s="212">
        <v>92.7</v>
      </c>
      <c r="I83" s="212">
        <v>99.3</v>
      </c>
      <c r="J83" s="212">
        <v>327.2</v>
      </c>
      <c r="K83" s="212">
        <v>419.9</v>
      </c>
      <c r="L83" s="212">
        <v>95</v>
      </c>
      <c r="M83" s="212">
        <v>57.5</v>
      </c>
      <c r="O83">
        <v>2964</v>
      </c>
      <c r="P83" s="212">
        <v>82.1</v>
      </c>
      <c r="Q83" s="212">
        <v>66.400000000000006</v>
      </c>
      <c r="R83" s="212">
        <v>96.1</v>
      </c>
      <c r="S83" s="212">
        <v>95</v>
      </c>
      <c r="T83" s="212">
        <v>99.3</v>
      </c>
      <c r="U83" s="212">
        <v>347.4</v>
      </c>
      <c r="V83" s="212">
        <v>454.2</v>
      </c>
      <c r="W83" s="212">
        <v>97</v>
      </c>
      <c r="X83" s="212">
        <v>67.599999999999994</v>
      </c>
      <c r="Z83">
        <v>6058</v>
      </c>
      <c r="AA83" s="212">
        <v>79</v>
      </c>
      <c r="AB83" s="212">
        <v>61</v>
      </c>
      <c r="AC83" s="212">
        <v>95</v>
      </c>
      <c r="AD83" s="212">
        <v>93.8</v>
      </c>
      <c r="AE83" s="212">
        <v>99.3</v>
      </c>
      <c r="AF83" s="212">
        <v>337.1</v>
      </c>
      <c r="AG83" s="212">
        <v>436.7</v>
      </c>
      <c r="AH83" s="212">
        <v>95.9</v>
      </c>
      <c r="AI83" s="212">
        <v>62.4</v>
      </c>
    </row>
    <row r="84" spans="2:35" x14ac:dyDescent="0.2">
      <c r="B84" t="s">
        <v>171</v>
      </c>
      <c r="D84">
        <v>1502</v>
      </c>
      <c r="E84" s="212">
        <v>77.8</v>
      </c>
      <c r="F84" s="212">
        <v>52.1</v>
      </c>
      <c r="G84" s="212">
        <v>94.9</v>
      </c>
      <c r="H84" s="212">
        <v>93.3</v>
      </c>
      <c r="I84" s="212">
        <v>98.7</v>
      </c>
      <c r="J84" s="212">
        <v>327.10000000000002</v>
      </c>
      <c r="K84" s="212">
        <v>451.5</v>
      </c>
      <c r="L84" s="212">
        <v>95.6</v>
      </c>
      <c r="M84" s="212">
        <v>52.7</v>
      </c>
      <c r="O84">
        <v>1344</v>
      </c>
      <c r="P84" s="212">
        <v>86.5</v>
      </c>
      <c r="Q84" s="212">
        <v>64</v>
      </c>
      <c r="R84" s="212">
        <v>97.1</v>
      </c>
      <c r="S84" s="212">
        <v>96.3</v>
      </c>
      <c r="T84" s="212">
        <v>99.5</v>
      </c>
      <c r="U84" s="212">
        <v>353.4</v>
      </c>
      <c r="V84" s="212">
        <v>499</v>
      </c>
      <c r="W84" s="212">
        <v>97.1</v>
      </c>
      <c r="X84" s="212">
        <v>64.400000000000006</v>
      </c>
      <c r="Z84">
        <v>2846</v>
      </c>
      <c r="AA84" s="212">
        <v>81.900000000000006</v>
      </c>
      <c r="AB84" s="212">
        <v>57.7</v>
      </c>
      <c r="AC84" s="212">
        <v>96</v>
      </c>
      <c r="AD84" s="212">
        <v>94.7</v>
      </c>
      <c r="AE84" s="212">
        <v>99.1</v>
      </c>
      <c r="AF84" s="212">
        <v>339.5</v>
      </c>
      <c r="AG84" s="212">
        <v>473.9</v>
      </c>
      <c r="AH84" s="212">
        <v>96.3</v>
      </c>
      <c r="AI84" s="212">
        <v>58.2</v>
      </c>
    </row>
    <row r="85" spans="2:35" x14ac:dyDescent="0.2">
      <c r="B85" t="s">
        <v>173</v>
      </c>
      <c r="D85">
        <v>8079</v>
      </c>
      <c r="E85" s="212">
        <v>76.7</v>
      </c>
      <c r="F85" s="212">
        <v>55.4</v>
      </c>
      <c r="G85" s="212">
        <v>94.2</v>
      </c>
      <c r="H85" s="212">
        <v>92.6</v>
      </c>
      <c r="I85" s="212">
        <v>99.1</v>
      </c>
      <c r="J85" s="212">
        <v>326</v>
      </c>
      <c r="K85" s="212">
        <v>438.9</v>
      </c>
      <c r="L85" s="212">
        <v>96.1</v>
      </c>
      <c r="M85" s="212">
        <v>56.5</v>
      </c>
      <c r="O85">
        <v>7623</v>
      </c>
      <c r="P85" s="212">
        <v>83.7</v>
      </c>
      <c r="Q85" s="212">
        <v>65.8</v>
      </c>
      <c r="R85" s="212">
        <v>96.4</v>
      </c>
      <c r="S85" s="212">
        <v>95.1</v>
      </c>
      <c r="T85" s="212">
        <v>99.4</v>
      </c>
      <c r="U85" s="212">
        <v>350.1</v>
      </c>
      <c r="V85" s="212">
        <v>483.8</v>
      </c>
      <c r="W85" s="212">
        <v>97.7</v>
      </c>
      <c r="X85" s="212">
        <v>66.599999999999994</v>
      </c>
      <c r="Z85">
        <v>15702</v>
      </c>
      <c r="AA85" s="212">
        <v>80.099999999999994</v>
      </c>
      <c r="AB85" s="212">
        <v>60.5</v>
      </c>
      <c r="AC85" s="212">
        <v>95.3</v>
      </c>
      <c r="AD85" s="212">
        <v>93.8</v>
      </c>
      <c r="AE85" s="212">
        <v>99.2</v>
      </c>
      <c r="AF85" s="212">
        <v>337.7</v>
      </c>
      <c r="AG85" s="212">
        <v>460.7</v>
      </c>
      <c r="AH85" s="212">
        <v>96.9</v>
      </c>
      <c r="AI85" s="212">
        <v>61.4</v>
      </c>
    </row>
    <row r="86" spans="2:35" x14ac:dyDescent="0.2">
      <c r="B86" t="s">
        <v>175</v>
      </c>
      <c r="D86">
        <v>6599</v>
      </c>
      <c r="E86" s="212">
        <v>81</v>
      </c>
      <c r="F86" s="212">
        <v>61.1</v>
      </c>
      <c r="G86" s="212">
        <v>96.1</v>
      </c>
      <c r="H86" s="212">
        <v>94.7</v>
      </c>
      <c r="I86" s="212">
        <v>99.4</v>
      </c>
      <c r="J86" s="212">
        <v>342.3</v>
      </c>
      <c r="K86" s="212">
        <v>454.3</v>
      </c>
      <c r="L86" s="212">
        <v>96.5</v>
      </c>
      <c r="M86" s="212">
        <v>61.8</v>
      </c>
      <c r="O86">
        <v>6366</v>
      </c>
      <c r="P86" s="212">
        <v>86.9</v>
      </c>
      <c r="Q86" s="212">
        <v>71.7</v>
      </c>
      <c r="R86" s="212">
        <v>97.9</v>
      </c>
      <c r="S86" s="212">
        <v>97.1</v>
      </c>
      <c r="T86" s="212">
        <v>99.7</v>
      </c>
      <c r="U86" s="212">
        <v>363.4</v>
      </c>
      <c r="V86" s="212">
        <v>489.8</v>
      </c>
      <c r="W86" s="212">
        <v>98.2</v>
      </c>
      <c r="X86" s="212">
        <v>72.5</v>
      </c>
      <c r="Z86">
        <v>12965</v>
      </c>
      <c r="AA86" s="212">
        <v>83.9</v>
      </c>
      <c r="AB86" s="212">
        <v>66.3</v>
      </c>
      <c r="AC86" s="212">
        <v>97</v>
      </c>
      <c r="AD86" s="212">
        <v>95.9</v>
      </c>
      <c r="AE86" s="212">
        <v>99.5</v>
      </c>
      <c r="AF86" s="212">
        <v>352.6</v>
      </c>
      <c r="AG86" s="212">
        <v>471.7</v>
      </c>
      <c r="AH86" s="212">
        <v>97.4</v>
      </c>
      <c r="AI86" s="212">
        <v>67.099999999999994</v>
      </c>
    </row>
    <row r="87" spans="2:35" x14ac:dyDescent="0.2">
      <c r="B87" t="s">
        <v>177</v>
      </c>
      <c r="D87">
        <v>1245</v>
      </c>
      <c r="E87" s="212">
        <v>85</v>
      </c>
      <c r="F87" s="212">
        <v>53.2</v>
      </c>
      <c r="G87" s="212">
        <v>96.9</v>
      </c>
      <c r="H87" s="212">
        <v>94.6</v>
      </c>
      <c r="I87" s="212">
        <v>99</v>
      </c>
      <c r="J87" s="212">
        <v>338</v>
      </c>
      <c r="K87" s="212">
        <v>467.9</v>
      </c>
      <c r="L87" s="212">
        <v>96.8</v>
      </c>
      <c r="M87" s="212">
        <v>54</v>
      </c>
      <c r="O87">
        <v>1191</v>
      </c>
      <c r="P87" s="212">
        <v>85.6</v>
      </c>
      <c r="Q87" s="212">
        <v>64.400000000000006</v>
      </c>
      <c r="R87" s="212">
        <v>96.7</v>
      </c>
      <c r="S87" s="212">
        <v>95.3</v>
      </c>
      <c r="T87" s="212">
        <v>99.2</v>
      </c>
      <c r="U87" s="212">
        <v>350.9</v>
      </c>
      <c r="V87" s="212">
        <v>493.7</v>
      </c>
      <c r="W87" s="212">
        <v>97.8</v>
      </c>
      <c r="X87" s="212">
        <v>65.400000000000006</v>
      </c>
      <c r="Z87">
        <v>2436</v>
      </c>
      <c r="AA87" s="212">
        <v>85.3</v>
      </c>
      <c r="AB87" s="212">
        <v>58.7</v>
      </c>
      <c r="AC87" s="212">
        <v>96.8</v>
      </c>
      <c r="AD87" s="212">
        <v>95</v>
      </c>
      <c r="AE87" s="212">
        <v>99.1</v>
      </c>
      <c r="AF87" s="212">
        <v>344.3</v>
      </c>
      <c r="AG87" s="212">
        <v>480.5</v>
      </c>
      <c r="AH87" s="212">
        <v>97.3</v>
      </c>
      <c r="AI87" s="212">
        <v>59.6</v>
      </c>
    </row>
    <row r="88" spans="2:35" x14ac:dyDescent="0.2">
      <c r="B88" t="s">
        <v>179</v>
      </c>
      <c r="D88">
        <v>4565</v>
      </c>
      <c r="E88" s="212">
        <v>67.7</v>
      </c>
      <c r="F88" s="212">
        <v>49.5</v>
      </c>
      <c r="G88" s="212">
        <v>95</v>
      </c>
      <c r="H88" s="212">
        <v>92.6</v>
      </c>
      <c r="I88" s="212">
        <v>99</v>
      </c>
      <c r="J88" s="212">
        <v>314.5</v>
      </c>
      <c r="K88" s="212">
        <v>407.4</v>
      </c>
      <c r="L88" s="212">
        <v>96.1</v>
      </c>
      <c r="M88" s="212">
        <v>50.9</v>
      </c>
      <c r="O88">
        <v>4379</v>
      </c>
      <c r="P88" s="212">
        <v>75.2</v>
      </c>
      <c r="Q88" s="212">
        <v>59.4</v>
      </c>
      <c r="R88" s="212">
        <v>96.6</v>
      </c>
      <c r="S88" s="212">
        <v>94.8</v>
      </c>
      <c r="T88" s="212">
        <v>99.3</v>
      </c>
      <c r="U88" s="212">
        <v>335.5</v>
      </c>
      <c r="V88" s="212">
        <v>443.2</v>
      </c>
      <c r="W88" s="212">
        <v>97.2</v>
      </c>
      <c r="X88" s="212">
        <v>60.3</v>
      </c>
      <c r="Z88">
        <v>8944</v>
      </c>
      <c r="AA88" s="212">
        <v>71.400000000000006</v>
      </c>
      <c r="AB88" s="212">
        <v>54.4</v>
      </c>
      <c r="AC88" s="212">
        <v>95.8</v>
      </c>
      <c r="AD88" s="212">
        <v>93.6</v>
      </c>
      <c r="AE88" s="212">
        <v>99.2</v>
      </c>
      <c r="AF88" s="212">
        <v>324.8</v>
      </c>
      <c r="AG88" s="212">
        <v>424.9</v>
      </c>
      <c r="AH88" s="212">
        <v>96.7</v>
      </c>
      <c r="AI88" s="212">
        <v>55.5</v>
      </c>
    </row>
    <row r="89" spans="2:35" x14ac:dyDescent="0.2">
      <c r="B89" t="s">
        <v>181</v>
      </c>
      <c r="D89">
        <v>1118</v>
      </c>
      <c r="E89" s="212">
        <v>83.6</v>
      </c>
      <c r="F89" s="212">
        <v>50.5</v>
      </c>
      <c r="G89" s="212">
        <v>93.7</v>
      </c>
      <c r="H89" s="212">
        <v>92.1</v>
      </c>
      <c r="I89" s="212">
        <v>99.3</v>
      </c>
      <c r="J89" s="212">
        <v>326.3</v>
      </c>
      <c r="K89" s="212">
        <v>444.1</v>
      </c>
      <c r="L89" s="212">
        <v>95.9</v>
      </c>
      <c r="M89" s="212">
        <v>51.8</v>
      </c>
      <c r="O89">
        <v>1128</v>
      </c>
      <c r="P89" s="212">
        <v>88.7</v>
      </c>
      <c r="Q89" s="212">
        <v>61.8</v>
      </c>
      <c r="R89" s="212">
        <v>95.4</v>
      </c>
      <c r="S89" s="212">
        <v>93.4</v>
      </c>
      <c r="T89" s="212">
        <v>99.6</v>
      </c>
      <c r="U89" s="212">
        <v>347.7</v>
      </c>
      <c r="V89" s="212">
        <v>483.7</v>
      </c>
      <c r="W89" s="212">
        <v>96.9</v>
      </c>
      <c r="X89" s="212">
        <v>62.3</v>
      </c>
      <c r="Z89">
        <v>2246</v>
      </c>
      <c r="AA89" s="212">
        <v>86.2</v>
      </c>
      <c r="AB89" s="212">
        <v>56.2</v>
      </c>
      <c r="AC89" s="212">
        <v>94.6</v>
      </c>
      <c r="AD89" s="212">
        <v>92.8</v>
      </c>
      <c r="AE89" s="212">
        <v>99.4</v>
      </c>
      <c r="AF89" s="212">
        <v>337.1</v>
      </c>
      <c r="AG89" s="212">
        <v>464</v>
      </c>
      <c r="AH89" s="212">
        <v>96.4</v>
      </c>
      <c r="AI89" s="212">
        <v>57.1</v>
      </c>
    </row>
    <row r="90" spans="2:35" x14ac:dyDescent="0.2">
      <c r="B90" t="s">
        <v>183</v>
      </c>
      <c r="D90">
        <v>1159</v>
      </c>
      <c r="E90" s="212">
        <v>78.3</v>
      </c>
      <c r="F90" s="212">
        <v>58.1</v>
      </c>
      <c r="G90" s="212">
        <v>91.5</v>
      </c>
      <c r="H90" s="212">
        <v>90</v>
      </c>
      <c r="I90" s="212">
        <v>98.6</v>
      </c>
      <c r="J90" s="212">
        <v>330.9</v>
      </c>
      <c r="K90" s="212">
        <v>450.6</v>
      </c>
      <c r="L90" s="212">
        <v>93.4</v>
      </c>
      <c r="M90" s="212">
        <v>58.8</v>
      </c>
      <c r="O90">
        <v>1067</v>
      </c>
      <c r="P90" s="212">
        <v>86.5</v>
      </c>
      <c r="Q90" s="212">
        <v>66.099999999999994</v>
      </c>
      <c r="R90" s="212">
        <v>95</v>
      </c>
      <c r="S90" s="212">
        <v>93.5</v>
      </c>
      <c r="T90" s="212">
        <v>99.3</v>
      </c>
      <c r="U90" s="212">
        <v>358.9</v>
      </c>
      <c r="V90" s="212">
        <v>522.1</v>
      </c>
      <c r="W90" s="212">
        <v>96.3</v>
      </c>
      <c r="X90" s="212">
        <v>66.400000000000006</v>
      </c>
      <c r="Z90">
        <v>2226</v>
      </c>
      <c r="AA90" s="212">
        <v>82.2</v>
      </c>
      <c r="AB90" s="212">
        <v>61.9</v>
      </c>
      <c r="AC90" s="212">
        <v>93.2</v>
      </c>
      <c r="AD90" s="212">
        <v>91.7</v>
      </c>
      <c r="AE90" s="212">
        <v>99</v>
      </c>
      <c r="AF90" s="212">
        <v>344.3</v>
      </c>
      <c r="AG90" s="212">
        <v>484.9</v>
      </c>
      <c r="AH90" s="212">
        <v>94.8</v>
      </c>
      <c r="AI90" s="212">
        <v>62.4</v>
      </c>
    </row>
    <row r="91" spans="2:35" x14ac:dyDescent="0.2">
      <c r="B91" t="s">
        <v>185</v>
      </c>
      <c r="D91">
        <v>3958</v>
      </c>
      <c r="E91" s="212">
        <v>68.400000000000006</v>
      </c>
      <c r="F91" s="212">
        <v>49.7</v>
      </c>
      <c r="G91" s="212">
        <v>95.3</v>
      </c>
      <c r="H91" s="212">
        <v>93.4</v>
      </c>
      <c r="I91" s="212">
        <v>99.2</v>
      </c>
      <c r="J91" s="212">
        <v>316.5</v>
      </c>
      <c r="K91" s="212">
        <v>417.5</v>
      </c>
      <c r="L91" s="212">
        <v>96.7</v>
      </c>
      <c r="M91" s="212">
        <v>51.1</v>
      </c>
      <c r="O91">
        <v>3837</v>
      </c>
      <c r="P91" s="212">
        <v>79.099999999999994</v>
      </c>
      <c r="Q91" s="212">
        <v>59.7</v>
      </c>
      <c r="R91" s="212">
        <v>96.3</v>
      </c>
      <c r="S91" s="212">
        <v>95.2</v>
      </c>
      <c r="T91" s="212">
        <v>99.5</v>
      </c>
      <c r="U91" s="212">
        <v>340.9</v>
      </c>
      <c r="V91" s="212">
        <v>459.6</v>
      </c>
      <c r="W91" s="212">
        <v>97.2</v>
      </c>
      <c r="X91" s="212">
        <v>60.5</v>
      </c>
      <c r="Z91">
        <v>7795</v>
      </c>
      <c r="AA91" s="212">
        <v>73.599999999999994</v>
      </c>
      <c r="AB91" s="212">
        <v>54.6</v>
      </c>
      <c r="AC91" s="212">
        <v>95.8</v>
      </c>
      <c r="AD91" s="212">
        <v>94.3</v>
      </c>
      <c r="AE91" s="212">
        <v>99.4</v>
      </c>
      <c r="AF91" s="212">
        <v>328.5</v>
      </c>
      <c r="AG91" s="212">
        <v>438.3</v>
      </c>
      <c r="AH91" s="212">
        <v>96.9</v>
      </c>
      <c r="AI91" s="212">
        <v>55.8</v>
      </c>
    </row>
    <row r="92" spans="2:35" x14ac:dyDescent="0.2">
      <c r="B92" t="s">
        <v>187</v>
      </c>
      <c r="D92">
        <v>878</v>
      </c>
      <c r="E92" s="212">
        <v>86.7</v>
      </c>
      <c r="F92" s="212">
        <v>56</v>
      </c>
      <c r="G92" s="212">
        <v>97</v>
      </c>
      <c r="H92" s="212">
        <v>94.1</v>
      </c>
      <c r="I92" s="212">
        <v>99.7</v>
      </c>
      <c r="J92" s="212">
        <v>337.8</v>
      </c>
      <c r="K92" s="212">
        <v>475.5</v>
      </c>
      <c r="L92" s="212">
        <v>96.5</v>
      </c>
      <c r="M92" s="212">
        <v>56.2</v>
      </c>
      <c r="O92">
        <v>968</v>
      </c>
      <c r="P92" s="212">
        <v>88.8</v>
      </c>
      <c r="Q92" s="212">
        <v>62.6</v>
      </c>
      <c r="R92" s="212">
        <v>97.7</v>
      </c>
      <c r="S92" s="212">
        <v>96.3</v>
      </c>
      <c r="T92" s="212">
        <v>99.9</v>
      </c>
      <c r="U92" s="212">
        <v>351.8</v>
      </c>
      <c r="V92" s="212">
        <v>495.8</v>
      </c>
      <c r="W92" s="212">
        <v>98.2</v>
      </c>
      <c r="X92" s="212">
        <v>63.2</v>
      </c>
      <c r="Z92">
        <v>1846</v>
      </c>
      <c r="AA92" s="212">
        <v>87.8</v>
      </c>
      <c r="AB92" s="212">
        <v>59.5</v>
      </c>
      <c r="AC92" s="212">
        <v>97.4</v>
      </c>
      <c r="AD92" s="212">
        <v>95.2</v>
      </c>
      <c r="AE92" s="212">
        <v>99.8</v>
      </c>
      <c r="AF92" s="212">
        <v>345.2</v>
      </c>
      <c r="AG92" s="212">
        <v>486.2</v>
      </c>
      <c r="AH92" s="212">
        <v>97.4</v>
      </c>
      <c r="AI92" s="212">
        <v>59.9</v>
      </c>
    </row>
    <row r="93" spans="2:35" x14ac:dyDescent="0.2">
      <c r="B93" t="s">
        <v>190</v>
      </c>
      <c r="D93">
        <v>12002</v>
      </c>
      <c r="E93" s="212">
        <v>80.2</v>
      </c>
      <c r="F93" s="212">
        <v>59.3</v>
      </c>
      <c r="G93" s="212">
        <v>94.7</v>
      </c>
      <c r="H93" s="212">
        <v>93.2</v>
      </c>
      <c r="I93" s="212">
        <v>98.9</v>
      </c>
      <c r="J93" s="212">
        <v>329.5</v>
      </c>
      <c r="K93" s="212">
        <v>434.2</v>
      </c>
      <c r="L93" s="212">
        <v>95.9</v>
      </c>
      <c r="M93" s="212">
        <v>60.5</v>
      </c>
      <c r="O93">
        <v>12362</v>
      </c>
      <c r="P93" s="212">
        <v>85.3</v>
      </c>
      <c r="Q93" s="212">
        <v>66.8</v>
      </c>
      <c r="R93" s="212">
        <v>97.2</v>
      </c>
      <c r="S93" s="212">
        <v>95.5</v>
      </c>
      <c r="T93" s="212">
        <v>99.4</v>
      </c>
      <c r="U93" s="212">
        <v>351.4</v>
      </c>
      <c r="V93" s="212">
        <v>470.7</v>
      </c>
      <c r="W93" s="212">
        <v>97.6</v>
      </c>
      <c r="X93" s="212">
        <v>67.599999999999994</v>
      </c>
      <c r="Z93">
        <v>24364</v>
      </c>
      <c r="AA93" s="212">
        <v>82.8</v>
      </c>
      <c r="AB93" s="212">
        <v>63.1</v>
      </c>
      <c r="AC93" s="212">
        <v>96</v>
      </c>
      <c r="AD93" s="212">
        <v>94.4</v>
      </c>
      <c r="AE93" s="212">
        <v>99.2</v>
      </c>
      <c r="AF93" s="212">
        <v>340.6</v>
      </c>
      <c r="AG93" s="212">
        <v>452.8</v>
      </c>
      <c r="AH93" s="212">
        <v>96.8</v>
      </c>
      <c r="AI93" s="212">
        <v>64.099999999999994</v>
      </c>
    </row>
    <row r="94" spans="2:35" x14ac:dyDescent="0.2">
      <c r="B94" t="s">
        <v>192</v>
      </c>
      <c r="D94">
        <v>627</v>
      </c>
      <c r="E94" s="212">
        <v>69.099999999999994</v>
      </c>
      <c r="F94" s="212">
        <v>49.6</v>
      </c>
      <c r="G94" s="212">
        <v>92.7</v>
      </c>
      <c r="H94" s="212">
        <v>91.7</v>
      </c>
      <c r="I94" s="212">
        <v>97.9</v>
      </c>
      <c r="J94" s="212">
        <v>316.2</v>
      </c>
      <c r="K94" s="212">
        <v>408.9</v>
      </c>
      <c r="L94" s="212">
        <v>94.4</v>
      </c>
      <c r="M94" s="212">
        <v>51.7</v>
      </c>
      <c r="O94">
        <v>881</v>
      </c>
      <c r="P94" s="212">
        <v>83.5</v>
      </c>
      <c r="Q94" s="212">
        <v>68.099999999999994</v>
      </c>
      <c r="R94" s="212">
        <v>97.3</v>
      </c>
      <c r="S94" s="212">
        <v>96</v>
      </c>
      <c r="T94" s="212">
        <v>99.8</v>
      </c>
      <c r="U94" s="212">
        <v>353.6</v>
      </c>
      <c r="V94" s="212">
        <v>461.2</v>
      </c>
      <c r="W94" s="212">
        <v>98.3</v>
      </c>
      <c r="X94" s="212">
        <v>69.099999999999994</v>
      </c>
      <c r="Z94">
        <v>1508</v>
      </c>
      <c r="AA94" s="212">
        <v>77.5</v>
      </c>
      <c r="AB94" s="212">
        <v>60.4</v>
      </c>
      <c r="AC94" s="212">
        <v>95.4</v>
      </c>
      <c r="AD94" s="212">
        <v>94.2</v>
      </c>
      <c r="AE94" s="212">
        <v>99</v>
      </c>
      <c r="AF94" s="212">
        <v>338.1</v>
      </c>
      <c r="AG94" s="212">
        <v>439.5</v>
      </c>
      <c r="AH94" s="212">
        <v>96.7</v>
      </c>
      <c r="AI94" s="212">
        <v>61.9</v>
      </c>
    </row>
    <row r="95" spans="2:35" x14ac:dyDescent="0.2">
      <c r="B95" t="s">
        <v>197</v>
      </c>
      <c r="D95">
        <v>682</v>
      </c>
      <c r="E95" s="212">
        <v>77.599999999999994</v>
      </c>
      <c r="F95" s="212">
        <v>58.7</v>
      </c>
      <c r="G95" s="212">
        <v>94.3</v>
      </c>
      <c r="H95" s="212">
        <v>91.5</v>
      </c>
      <c r="I95" s="212">
        <v>98.8</v>
      </c>
      <c r="J95" s="212">
        <v>325.3</v>
      </c>
      <c r="K95" s="212">
        <v>404.5</v>
      </c>
      <c r="L95" s="212">
        <v>94.3</v>
      </c>
      <c r="M95" s="212">
        <v>60</v>
      </c>
      <c r="O95">
        <v>967</v>
      </c>
      <c r="P95" s="212">
        <v>81.099999999999994</v>
      </c>
      <c r="Q95" s="212">
        <v>63.1</v>
      </c>
      <c r="R95" s="212">
        <v>95.8</v>
      </c>
      <c r="S95" s="212">
        <v>94</v>
      </c>
      <c r="T95" s="212">
        <v>99.1</v>
      </c>
      <c r="U95" s="212">
        <v>341</v>
      </c>
      <c r="V95" s="212">
        <v>431.5</v>
      </c>
      <c r="W95" s="212">
        <v>96.4</v>
      </c>
      <c r="X95" s="212">
        <v>64.099999999999994</v>
      </c>
      <c r="Z95">
        <v>1649</v>
      </c>
      <c r="AA95" s="212">
        <v>79.599999999999994</v>
      </c>
      <c r="AB95" s="212">
        <v>61.2</v>
      </c>
      <c r="AC95" s="212">
        <v>95.1</v>
      </c>
      <c r="AD95" s="212">
        <v>93</v>
      </c>
      <c r="AE95" s="212">
        <v>99</v>
      </c>
      <c r="AF95" s="212">
        <v>334.5</v>
      </c>
      <c r="AG95" s="212">
        <v>420.3</v>
      </c>
      <c r="AH95" s="212">
        <v>95.5</v>
      </c>
      <c r="AI95" s="212">
        <v>62.4</v>
      </c>
    </row>
    <row r="96" spans="2:35" x14ac:dyDescent="0.2">
      <c r="B96" t="s">
        <v>199</v>
      </c>
      <c r="D96">
        <v>558</v>
      </c>
      <c r="E96" s="212">
        <v>79.900000000000006</v>
      </c>
      <c r="F96" s="212">
        <v>60.8</v>
      </c>
      <c r="G96" s="212">
        <v>95</v>
      </c>
      <c r="H96" s="212">
        <v>93.9</v>
      </c>
      <c r="I96" s="212">
        <v>99.8</v>
      </c>
      <c r="J96" s="212">
        <v>347.1</v>
      </c>
      <c r="K96" s="212">
        <v>448.5</v>
      </c>
      <c r="L96" s="212">
        <v>96.6</v>
      </c>
      <c r="M96" s="212">
        <v>61.1</v>
      </c>
      <c r="O96">
        <v>597</v>
      </c>
      <c r="P96" s="212">
        <v>86.8</v>
      </c>
      <c r="Q96" s="212">
        <v>71.900000000000006</v>
      </c>
      <c r="R96" s="212">
        <v>97.3</v>
      </c>
      <c r="S96" s="212">
        <v>96.6</v>
      </c>
      <c r="T96" s="212">
        <v>100</v>
      </c>
      <c r="U96" s="212">
        <v>363.9</v>
      </c>
      <c r="V96" s="212">
        <v>471.6</v>
      </c>
      <c r="W96" s="212">
        <v>98</v>
      </c>
      <c r="X96" s="212">
        <v>72</v>
      </c>
      <c r="Z96">
        <v>1155</v>
      </c>
      <c r="AA96" s="212">
        <v>83.5</v>
      </c>
      <c r="AB96" s="212">
        <v>66.5</v>
      </c>
      <c r="AC96" s="212">
        <v>96.2</v>
      </c>
      <c r="AD96" s="212">
        <v>95.3</v>
      </c>
      <c r="AE96" s="212">
        <v>99.9</v>
      </c>
      <c r="AF96" s="212">
        <v>355.8</v>
      </c>
      <c r="AG96" s="212">
        <v>460.4</v>
      </c>
      <c r="AH96" s="212">
        <v>97.3</v>
      </c>
      <c r="AI96" s="212">
        <v>66.8</v>
      </c>
    </row>
    <row r="97" spans="2:35" x14ac:dyDescent="0.2">
      <c r="B97" t="s">
        <v>201</v>
      </c>
      <c r="D97">
        <v>1107</v>
      </c>
      <c r="E97" s="212">
        <v>81.400000000000006</v>
      </c>
      <c r="F97" s="212">
        <v>60.4</v>
      </c>
      <c r="G97" s="212">
        <v>93.6</v>
      </c>
      <c r="H97" s="212">
        <v>91.8</v>
      </c>
      <c r="I97" s="212">
        <v>99.3</v>
      </c>
      <c r="J97" s="212">
        <v>328.7</v>
      </c>
      <c r="K97" s="212">
        <v>416</v>
      </c>
      <c r="L97" s="212">
        <v>94.9</v>
      </c>
      <c r="M97" s="212">
        <v>61.3</v>
      </c>
      <c r="O97">
        <v>1076</v>
      </c>
      <c r="P97" s="212">
        <v>85.6</v>
      </c>
      <c r="Q97" s="212">
        <v>66.599999999999994</v>
      </c>
      <c r="R97" s="212">
        <v>96.4</v>
      </c>
      <c r="S97" s="212">
        <v>95.5</v>
      </c>
      <c r="T97" s="212">
        <v>99.3</v>
      </c>
      <c r="U97" s="212">
        <v>351.6</v>
      </c>
      <c r="V97" s="212">
        <v>448.8</v>
      </c>
      <c r="W97" s="212">
        <v>97</v>
      </c>
      <c r="X97" s="212">
        <v>67.3</v>
      </c>
      <c r="Z97">
        <v>2183</v>
      </c>
      <c r="AA97" s="212">
        <v>83.5</v>
      </c>
      <c r="AB97" s="212">
        <v>63.5</v>
      </c>
      <c r="AC97" s="212">
        <v>95</v>
      </c>
      <c r="AD97" s="212">
        <v>93.6</v>
      </c>
      <c r="AE97" s="212">
        <v>99.3</v>
      </c>
      <c r="AF97" s="212">
        <v>340</v>
      </c>
      <c r="AG97" s="212">
        <v>432.2</v>
      </c>
      <c r="AH97" s="212">
        <v>95.9</v>
      </c>
      <c r="AI97" s="212">
        <v>64.3</v>
      </c>
    </row>
    <row r="98" spans="2:35" x14ac:dyDescent="0.2">
      <c r="B98" t="s">
        <v>203</v>
      </c>
      <c r="D98">
        <v>772</v>
      </c>
      <c r="E98" s="212">
        <v>85.8</v>
      </c>
      <c r="F98" s="212">
        <v>63.7</v>
      </c>
      <c r="G98" s="212">
        <v>96.6</v>
      </c>
      <c r="H98" s="212">
        <v>95.3</v>
      </c>
      <c r="I98" s="212">
        <v>98.6</v>
      </c>
      <c r="J98" s="212">
        <v>336.8</v>
      </c>
      <c r="K98" s="212">
        <v>440.7</v>
      </c>
      <c r="L98" s="212">
        <v>97.2</v>
      </c>
      <c r="M98" s="212">
        <v>64.8</v>
      </c>
      <c r="O98">
        <v>664</v>
      </c>
      <c r="P98" s="212">
        <v>79.7</v>
      </c>
      <c r="Q98" s="212">
        <v>63.3</v>
      </c>
      <c r="R98" s="212">
        <v>97.6</v>
      </c>
      <c r="S98" s="212">
        <v>97</v>
      </c>
      <c r="T98" s="212">
        <v>99.1</v>
      </c>
      <c r="U98" s="212">
        <v>343.4</v>
      </c>
      <c r="V98" s="212">
        <v>452.7</v>
      </c>
      <c r="W98" s="212">
        <v>97.6</v>
      </c>
      <c r="X98" s="212">
        <v>64.5</v>
      </c>
      <c r="Z98">
        <v>1436</v>
      </c>
      <c r="AA98" s="212">
        <v>82.9</v>
      </c>
      <c r="AB98" s="212">
        <v>63.5</v>
      </c>
      <c r="AC98" s="212">
        <v>97.1</v>
      </c>
      <c r="AD98" s="212">
        <v>96.1</v>
      </c>
      <c r="AE98" s="212">
        <v>98.8</v>
      </c>
      <c r="AF98" s="212">
        <v>339.9</v>
      </c>
      <c r="AG98" s="212">
        <v>446.3</v>
      </c>
      <c r="AH98" s="212">
        <v>97.4</v>
      </c>
      <c r="AI98" s="212">
        <v>64.599999999999994</v>
      </c>
    </row>
    <row r="99" spans="2:35" x14ac:dyDescent="0.2">
      <c r="B99" t="s">
        <v>205</v>
      </c>
      <c r="D99">
        <v>328</v>
      </c>
      <c r="E99" s="212">
        <v>94.8</v>
      </c>
      <c r="F99" s="212">
        <v>83.2</v>
      </c>
      <c r="G99" s="212">
        <v>97.6</v>
      </c>
      <c r="H99" s="212">
        <v>96.6</v>
      </c>
      <c r="I99" s="212">
        <v>99.4</v>
      </c>
      <c r="J99" s="212">
        <v>377.6</v>
      </c>
      <c r="K99" s="212">
        <v>581.29999999999995</v>
      </c>
      <c r="L99" s="212">
        <v>97.3</v>
      </c>
      <c r="M99" s="212">
        <v>83.2</v>
      </c>
      <c r="O99">
        <v>283</v>
      </c>
      <c r="P99" s="212">
        <v>89</v>
      </c>
      <c r="Q99" s="212">
        <v>76.7</v>
      </c>
      <c r="R99" s="212">
        <v>96.1</v>
      </c>
      <c r="S99" s="212">
        <v>95.4</v>
      </c>
      <c r="T99" s="212">
        <v>98.2</v>
      </c>
      <c r="U99" s="212">
        <v>365.2</v>
      </c>
      <c r="V99" s="212">
        <v>558.4</v>
      </c>
      <c r="W99" s="212">
        <v>96.8</v>
      </c>
      <c r="X99" s="212">
        <v>76.7</v>
      </c>
      <c r="Z99">
        <v>611</v>
      </c>
      <c r="AA99" s="212">
        <v>92.1</v>
      </c>
      <c r="AB99" s="212">
        <v>80.2</v>
      </c>
      <c r="AC99" s="212">
        <v>96.9</v>
      </c>
      <c r="AD99" s="212">
        <v>96.1</v>
      </c>
      <c r="AE99" s="212">
        <v>98.9</v>
      </c>
      <c r="AF99" s="212">
        <v>371.9</v>
      </c>
      <c r="AG99" s="212">
        <v>570.70000000000005</v>
      </c>
      <c r="AH99" s="212">
        <v>97.1</v>
      </c>
      <c r="AI99" s="212">
        <v>80.2</v>
      </c>
    </row>
    <row r="100" spans="2:35" x14ac:dyDescent="0.2">
      <c r="B100" t="s">
        <v>207</v>
      </c>
      <c r="D100">
        <v>935</v>
      </c>
      <c r="E100" s="212">
        <v>83.1</v>
      </c>
      <c r="F100" s="212">
        <v>63.3</v>
      </c>
      <c r="G100" s="212">
        <v>94.7</v>
      </c>
      <c r="H100" s="212">
        <v>93.6</v>
      </c>
      <c r="I100" s="212">
        <v>99.4</v>
      </c>
      <c r="J100" s="212">
        <v>328.4</v>
      </c>
      <c r="K100" s="212">
        <v>428.8</v>
      </c>
      <c r="L100" s="212">
        <v>95.9</v>
      </c>
      <c r="M100" s="212">
        <v>64.7</v>
      </c>
      <c r="O100">
        <v>946</v>
      </c>
      <c r="P100" s="212">
        <v>89.7</v>
      </c>
      <c r="Q100" s="212">
        <v>68.400000000000006</v>
      </c>
      <c r="R100" s="212">
        <v>97</v>
      </c>
      <c r="S100" s="212">
        <v>95.8</v>
      </c>
      <c r="T100" s="212">
        <v>99.5</v>
      </c>
      <c r="U100" s="212">
        <v>349.6</v>
      </c>
      <c r="V100" s="212">
        <v>468.1</v>
      </c>
      <c r="W100" s="212">
        <v>97.7</v>
      </c>
      <c r="X100" s="212">
        <v>69.7</v>
      </c>
      <c r="Z100">
        <v>1881</v>
      </c>
      <c r="AA100" s="212">
        <v>86.4</v>
      </c>
      <c r="AB100" s="212">
        <v>65.900000000000006</v>
      </c>
      <c r="AC100" s="212">
        <v>95.9</v>
      </c>
      <c r="AD100" s="212">
        <v>94.7</v>
      </c>
      <c r="AE100" s="212">
        <v>99.4</v>
      </c>
      <c r="AF100" s="212">
        <v>339</v>
      </c>
      <c r="AG100" s="212">
        <v>448.6</v>
      </c>
      <c r="AH100" s="212">
        <v>96.8</v>
      </c>
      <c r="AI100" s="212">
        <v>67.2</v>
      </c>
    </row>
    <row r="101" spans="2:35" x14ac:dyDescent="0.2">
      <c r="B101" t="s">
        <v>209</v>
      </c>
      <c r="D101">
        <v>1191</v>
      </c>
      <c r="E101" s="212">
        <v>77.2</v>
      </c>
      <c r="F101" s="212">
        <v>52.6</v>
      </c>
      <c r="G101" s="212">
        <v>93</v>
      </c>
      <c r="H101" s="212">
        <v>91</v>
      </c>
      <c r="I101" s="212">
        <v>98.3</v>
      </c>
      <c r="J101" s="212">
        <v>313.8</v>
      </c>
      <c r="K101" s="212">
        <v>405.3</v>
      </c>
      <c r="L101" s="212">
        <v>94.8</v>
      </c>
      <c r="M101" s="212">
        <v>53.7</v>
      </c>
      <c r="O101">
        <v>1155</v>
      </c>
      <c r="P101" s="212">
        <v>81</v>
      </c>
      <c r="Q101" s="212">
        <v>63.5</v>
      </c>
      <c r="R101" s="212">
        <v>95.4</v>
      </c>
      <c r="S101" s="212">
        <v>92.7</v>
      </c>
      <c r="T101" s="212">
        <v>98.8</v>
      </c>
      <c r="U101" s="212">
        <v>334.8</v>
      </c>
      <c r="V101" s="212">
        <v>444.4</v>
      </c>
      <c r="W101" s="212">
        <v>96.9</v>
      </c>
      <c r="X101" s="212">
        <v>64.8</v>
      </c>
      <c r="Z101">
        <v>2346</v>
      </c>
      <c r="AA101" s="212">
        <v>79</v>
      </c>
      <c r="AB101" s="212">
        <v>58</v>
      </c>
      <c r="AC101" s="212">
        <v>94.2</v>
      </c>
      <c r="AD101" s="212">
        <v>91.9</v>
      </c>
      <c r="AE101" s="212">
        <v>98.6</v>
      </c>
      <c r="AF101" s="212">
        <v>324.10000000000002</v>
      </c>
      <c r="AG101" s="212">
        <v>424.6</v>
      </c>
      <c r="AH101" s="212">
        <v>95.8</v>
      </c>
      <c r="AI101" s="212">
        <v>59.2</v>
      </c>
    </row>
    <row r="102" spans="2:35" x14ac:dyDescent="0.2">
      <c r="B102" t="s">
        <v>211</v>
      </c>
      <c r="D102">
        <v>1699</v>
      </c>
      <c r="E102" s="212">
        <v>75.8</v>
      </c>
      <c r="F102" s="212">
        <v>52.7</v>
      </c>
      <c r="G102" s="212">
        <v>95.4</v>
      </c>
      <c r="H102" s="212">
        <v>93.8</v>
      </c>
      <c r="I102" s="212">
        <v>99.5</v>
      </c>
      <c r="J102" s="212">
        <v>323.39999999999998</v>
      </c>
      <c r="K102" s="212">
        <v>434.6</v>
      </c>
      <c r="L102" s="212">
        <v>96.9</v>
      </c>
      <c r="M102" s="212">
        <v>53.9</v>
      </c>
      <c r="O102">
        <v>1769</v>
      </c>
      <c r="P102" s="212">
        <v>82.2</v>
      </c>
      <c r="Q102" s="212">
        <v>63.8</v>
      </c>
      <c r="R102" s="212">
        <v>97.7</v>
      </c>
      <c r="S102" s="212">
        <v>95.5</v>
      </c>
      <c r="T102" s="212">
        <v>99.7</v>
      </c>
      <c r="U102" s="212">
        <v>346.2</v>
      </c>
      <c r="V102" s="212">
        <v>463.4</v>
      </c>
      <c r="W102" s="212">
        <v>97.9</v>
      </c>
      <c r="X102" s="212">
        <v>64.2</v>
      </c>
      <c r="Z102">
        <v>3468</v>
      </c>
      <c r="AA102" s="212">
        <v>79.099999999999994</v>
      </c>
      <c r="AB102" s="212">
        <v>58.4</v>
      </c>
      <c r="AC102" s="212">
        <v>96.6</v>
      </c>
      <c r="AD102" s="212">
        <v>94.6</v>
      </c>
      <c r="AE102" s="212">
        <v>99.6</v>
      </c>
      <c r="AF102" s="212">
        <v>335</v>
      </c>
      <c r="AG102" s="212">
        <v>449.3</v>
      </c>
      <c r="AH102" s="212">
        <v>97.4</v>
      </c>
      <c r="AI102" s="212">
        <v>59.1</v>
      </c>
    </row>
    <row r="103" spans="2:35" x14ac:dyDescent="0.2">
      <c r="B103" t="s">
        <v>213</v>
      </c>
      <c r="D103">
        <v>1164</v>
      </c>
      <c r="E103" s="212">
        <v>80.8</v>
      </c>
      <c r="F103" s="212">
        <v>62.5</v>
      </c>
      <c r="G103" s="212">
        <v>93.6</v>
      </c>
      <c r="H103" s="212">
        <v>93</v>
      </c>
      <c r="I103" s="212">
        <v>98.2</v>
      </c>
      <c r="J103" s="212">
        <v>325</v>
      </c>
      <c r="K103" s="212">
        <v>431.1</v>
      </c>
      <c r="L103" s="212">
        <v>95.4</v>
      </c>
      <c r="M103" s="212">
        <v>64.5</v>
      </c>
      <c r="O103">
        <v>1182</v>
      </c>
      <c r="P103" s="212">
        <v>89.3</v>
      </c>
      <c r="Q103" s="212">
        <v>67.900000000000006</v>
      </c>
      <c r="R103" s="212">
        <v>97.5</v>
      </c>
      <c r="S103" s="212">
        <v>95.9</v>
      </c>
      <c r="T103" s="212">
        <v>99.7</v>
      </c>
      <c r="U103" s="212">
        <v>356.9</v>
      </c>
      <c r="V103" s="212">
        <v>509.7</v>
      </c>
      <c r="W103" s="212">
        <v>97.9</v>
      </c>
      <c r="X103" s="212">
        <v>68.900000000000006</v>
      </c>
      <c r="Z103">
        <v>2346</v>
      </c>
      <c r="AA103" s="212">
        <v>85.1</v>
      </c>
      <c r="AB103" s="212">
        <v>65.2</v>
      </c>
      <c r="AC103" s="212">
        <v>95.6</v>
      </c>
      <c r="AD103" s="212">
        <v>94.4</v>
      </c>
      <c r="AE103" s="212">
        <v>99</v>
      </c>
      <c r="AF103" s="212">
        <v>341.1</v>
      </c>
      <c r="AG103" s="212">
        <v>470.7</v>
      </c>
      <c r="AH103" s="212">
        <v>96.7</v>
      </c>
      <c r="AI103" s="212">
        <v>66.7</v>
      </c>
    </row>
    <row r="104" spans="2:35" x14ac:dyDescent="0.2">
      <c r="B104" t="s">
        <v>215</v>
      </c>
      <c r="D104">
        <v>1281</v>
      </c>
      <c r="E104" s="212">
        <v>81.900000000000006</v>
      </c>
      <c r="F104" s="212">
        <v>62.4</v>
      </c>
      <c r="G104" s="212">
        <v>96.6</v>
      </c>
      <c r="H104" s="212">
        <v>94.4</v>
      </c>
      <c r="I104" s="212">
        <v>99.6</v>
      </c>
      <c r="J104" s="212">
        <v>332.2</v>
      </c>
      <c r="K104" s="212">
        <v>439.9</v>
      </c>
      <c r="L104" s="212">
        <v>97.4</v>
      </c>
      <c r="M104" s="212">
        <v>62.9</v>
      </c>
      <c r="O104">
        <v>1240</v>
      </c>
      <c r="P104" s="212">
        <v>89.9</v>
      </c>
      <c r="Q104" s="212">
        <v>67.2</v>
      </c>
      <c r="R104" s="212">
        <v>98.2</v>
      </c>
      <c r="S104" s="212">
        <v>95.2</v>
      </c>
      <c r="T104" s="212">
        <v>99.4</v>
      </c>
      <c r="U104" s="212">
        <v>355.7</v>
      </c>
      <c r="V104" s="212">
        <v>477.4</v>
      </c>
      <c r="W104" s="212">
        <v>97.9</v>
      </c>
      <c r="X104" s="212">
        <v>67.400000000000006</v>
      </c>
      <c r="Z104">
        <v>2521</v>
      </c>
      <c r="AA104" s="212">
        <v>85.8</v>
      </c>
      <c r="AB104" s="212">
        <v>64.7</v>
      </c>
      <c r="AC104" s="212">
        <v>97.4</v>
      </c>
      <c r="AD104" s="212">
        <v>94.8</v>
      </c>
      <c r="AE104" s="212">
        <v>99.5</v>
      </c>
      <c r="AF104" s="212">
        <v>343.8</v>
      </c>
      <c r="AG104" s="212">
        <v>458.3</v>
      </c>
      <c r="AH104" s="212">
        <v>97.7</v>
      </c>
      <c r="AI104" s="212">
        <v>65.099999999999994</v>
      </c>
    </row>
    <row r="105" spans="2:35" x14ac:dyDescent="0.2">
      <c r="B105" t="s">
        <v>217</v>
      </c>
      <c r="D105">
        <v>1007</v>
      </c>
      <c r="E105" s="212">
        <v>81.099999999999994</v>
      </c>
      <c r="F105" s="212">
        <v>57.4</v>
      </c>
      <c r="G105" s="212">
        <v>92.6</v>
      </c>
      <c r="H105" s="212">
        <v>92.1</v>
      </c>
      <c r="I105" s="212">
        <v>97.7</v>
      </c>
      <c r="J105" s="212">
        <v>334.8</v>
      </c>
      <c r="K105" s="212">
        <v>460.3</v>
      </c>
      <c r="L105" s="212">
        <v>94</v>
      </c>
      <c r="M105" s="212">
        <v>59</v>
      </c>
      <c r="O105">
        <v>839</v>
      </c>
      <c r="P105" s="212">
        <v>85.3</v>
      </c>
      <c r="Q105" s="212">
        <v>65.900000000000006</v>
      </c>
      <c r="R105" s="212">
        <v>97.5</v>
      </c>
      <c r="S105" s="212">
        <v>96.4</v>
      </c>
      <c r="T105" s="212">
        <v>99.2</v>
      </c>
      <c r="U105" s="212">
        <v>359.2</v>
      </c>
      <c r="V105" s="212">
        <v>514.1</v>
      </c>
      <c r="W105" s="212">
        <v>97.6</v>
      </c>
      <c r="X105" s="212">
        <v>66.900000000000006</v>
      </c>
      <c r="Z105">
        <v>1846</v>
      </c>
      <c r="AA105" s="212">
        <v>83</v>
      </c>
      <c r="AB105" s="212">
        <v>61.3</v>
      </c>
      <c r="AC105" s="212">
        <v>94.8</v>
      </c>
      <c r="AD105" s="212">
        <v>94</v>
      </c>
      <c r="AE105" s="212">
        <v>98.4</v>
      </c>
      <c r="AF105" s="212">
        <v>345.9</v>
      </c>
      <c r="AG105" s="212">
        <v>484.8</v>
      </c>
      <c r="AH105" s="212">
        <v>95.7</v>
      </c>
      <c r="AI105" s="212">
        <v>62.6</v>
      </c>
    </row>
    <row r="106" spans="2:35" x14ac:dyDescent="0.2">
      <c r="B106" t="s">
        <v>219</v>
      </c>
      <c r="D106">
        <v>651</v>
      </c>
      <c r="E106" s="212">
        <v>84.3</v>
      </c>
      <c r="F106" s="212">
        <v>64.099999999999994</v>
      </c>
      <c r="G106" s="212">
        <v>97.7</v>
      </c>
      <c r="H106" s="212">
        <v>96.5</v>
      </c>
      <c r="I106" s="212">
        <v>99.2</v>
      </c>
      <c r="J106" s="212">
        <v>340.6</v>
      </c>
      <c r="K106" s="212">
        <v>441</v>
      </c>
      <c r="L106" s="212">
        <v>98</v>
      </c>
      <c r="M106" s="212">
        <v>65.900000000000006</v>
      </c>
      <c r="O106">
        <v>763</v>
      </c>
      <c r="P106" s="212">
        <v>89</v>
      </c>
      <c r="Q106" s="212">
        <v>74.3</v>
      </c>
      <c r="R106" s="212">
        <v>99.1</v>
      </c>
      <c r="S106" s="212">
        <v>98</v>
      </c>
      <c r="T106" s="212">
        <v>99.7</v>
      </c>
      <c r="U106" s="212">
        <v>369.6</v>
      </c>
      <c r="V106" s="212">
        <v>485.8</v>
      </c>
      <c r="W106" s="212">
        <v>98.7</v>
      </c>
      <c r="X106" s="212">
        <v>75.2</v>
      </c>
      <c r="Z106">
        <v>1414</v>
      </c>
      <c r="AA106" s="212">
        <v>86.8</v>
      </c>
      <c r="AB106" s="212">
        <v>69.599999999999994</v>
      </c>
      <c r="AC106" s="212">
        <v>98.4</v>
      </c>
      <c r="AD106" s="212">
        <v>97.3</v>
      </c>
      <c r="AE106" s="212">
        <v>99.5</v>
      </c>
      <c r="AF106" s="212">
        <v>356.3</v>
      </c>
      <c r="AG106" s="212">
        <v>465.2</v>
      </c>
      <c r="AH106" s="212">
        <v>98.4</v>
      </c>
      <c r="AI106" s="212">
        <v>70.900000000000006</v>
      </c>
    </row>
    <row r="107" spans="2:35" x14ac:dyDescent="0.2">
      <c r="B107" t="s">
        <v>221</v>
      </c>
      <c r="D107">
        <v>26266</v>
      </c>
      <c r="E107" s="212">
        <v>82.3</v>
      </c>
      <c r="F107" s="212">
        <v>61.9</v>
      </c>
      <c r="G107" s="212">
        <v>95.8</v>
      </c>
      <c r="H107" s="212">
        <v>94.2</v>
      </c>
      <c r="I107" s="212">
        <v>99.3</v>
      </c>
      <c r="J107" s="212">
        <v>338.8</v>
      </c>
      <c r="K107" s="212">
        <v>453.1</v>
      </c>
      <c r="L107" s="212">
        <v>96.5</v>
      </c>
      <c r="M107" s="212">
        <v>62.9</v>
      </c>
      <c r="O107">
        <v>25644</v>
      </c>
      <c r="P107" s="212">
        <v>88.2</v>
      </c>
      <c r="Q107" s="212">
        <v>70.099999999999994</v>
      </c>
      <c r="R107" s="212">
        <v>97.5</v>
      </c>
      <c r="S107" s="212">
        <v>96.1</v>
      </c>
      <c r="T107" s="212">
        <v>99.6</v>
      </c>
      <c r="U107" s="212">
        <v>361.4</v>
      </c>
      <c r="V107" s="212">
        <v>493.6</v>
      </c>
      <c r="W107" s="212">
        <v>97.9</v>
      </c>
      <c r="X107" s="212">
        <v>70.7</v>
      </c>
      <c r="Z107">
        <v>51910</v>
      </c>
      <c r="AA107" s="212">
        <v>85.2</v>
      </c>
      <c r="AB107" s="212">
        <v>66</v>
      </c>
      <c r="AC107" s="212">
        <v>96.6</v>
      </c>
      <c r="AD107" s="212">
        <v>95.1</v>
      </c>
      <c r="AE107" s="212">
        <v>99.4</v>
      </c>
      <c r="AF107" s="212">
        <v>349.9</v>
      </c>
      <c r="AG107" s="212">
        <v>473.1</v>
      </c>
      <c r="AH107" s="212">
        <v>97.2</v>
      </c>
      <c r="AI107" s="212">
        <v>66.7</v>
      </c>
    </row>
    <row r="108" spans="2:35" x14ac:dyDescent="0.2">
      <c r="B108" t="s">
        <v>223</v>
      </c>
      <c r="D108">
        <v>1153</v>
      </c>
      <c r="E108" s="212">
        <v>81.400000000000006</v>
      </c>
      <c r="F108" s="212">
        <v>57.7</v>
      </c>
      <c r="G108" s="212">
        <v>93.9</v>
      </c>
      <c r="H108" s="212">
        <v>92</v>
      </c>
      <c r="I108" s="212">
        <v>99.4</v>
      </c>
      <c r="J108" s="212">
        <v>328.4</v>
      </c>
      <c r="K108" s="212">
        <v>441</v>
      </c>
      <c r="L108" s="212">
        <v>95.6</v>
      </c>
      <c r="M108" s="212">
        <v>58.3</v>
      </c>
      <c r="O108">
        <v>1067</v>
      </c>
      <c r="P108" s="212">
        <v>83.7</v>
      </c>
      <c r="Q108" s="212">
        <v>62.9</v>
      </c>
      <c r="R108" s="212">
        <v>94.8</v>
      </c>
      <c r="S108" s="212">
        <v>92.6</v>
      </c>
      <c r="T108" s="212">
        <v>99.5</v>
      </c>
      <c r="U108" s="212">
        <v>341.3</v>
      </c>
      <c r="V108" s="212">
        <v>456.2</v>
      </c>
      <c r="W108" s="212">
        <v>95.2</v>
      </c>
      <c r="X108" s="212">
        <v>63.5</v>
      </c>
      <c r="Z108">
        <v>2220</v>
      </c>
      <c r="AA108" s="212">
        <v>82.5</v>
      </c>
      <c r="AB108" s="212">
        <v>60.2</v>
      </c>
      <c r="AC108" s="212">
        <v>94.3</v>
      </c>
      <c r="AD108" s="212">
        <v>92.3</v>
      </c>
      <c r="AE108" s="212">
        <v>99.5</v>
      </c>
      <c r="AF108" s="212">
        <v>334.6</v>
      </c>
      <c r="AG108" s="212">
        <v>448.3</v>
      </c>
      <c r="AH108" s="212">
        <v>95.4</v>
      </c>
      <c r="AI108" s="212">
        <v>60.8</v>
      </c>
    </row>
    <row r="109" spans="2:35" x14ac:dyDescent="0.2">
      <c r="B109" t="s">
        <v>225</v>
      </c>
      <c r="D109">
        <v>1841</v>
      </c>
      <c r="E109" s="212">
        <v>84</v>
      </c>
      <c r="F109" s="212">
        <v>68.5</v>
      </c>
      <c r="G109" s="212">
        <v>96.3</v>
      </c>
      <c r="H109" s="212">
        <v>94.9</v>
      </c>
      <c r="I109" s="212">
        <v>99.6</v>
      </c>
      <c r="J109" s="212">
        <v>356.8</v>
      </c>
      <c r="K109" s="212">
        <v>474.5</v>
      </c>
      <c r="L109" s="212">
        <v>96.6</v>
      </c>
      <c r="M109" s="212">
        <v>69.3</v>
      </c>
      <c r="O109">
        <v>1644</v>
      </c>
      <c r="P109" s="212">
        <v>90.3</v>
      </c>
      <c r="Q109" s="212">
        <v>74.8</v>
      </c>
      <c r="R109" s="212">
        <v>97</v>
      </c>
      <c r="S109" s="212">
        <v>95.3</v>
      </c>
      <c r="T109" s="212">
        <v>99.7</v>
      </c>
      <c r="U109" s="212">
        <v>374.6</v>
      </c>
      <c r="V109" s="212">
        <v>497.8</v>
      </c>
      <c r="W109" s="212">
        <v>97.1</v>
      </c>
      <c r="X109" s="212">
        <v>74.900000000000006</v>
      </c>
      <c r="Z109">
        <v>3485</v>
      </c>
      <c r="AA109" s="212">
        <v>87</v>
      </c>
      <c r="AB109" s="212">
        <v>71.5</v>
      </c>
      <c r="AC109" s="212">
        <v>96.6</v>
      </c>
      <c r="AD109" s="212">
        <v>95.1</v>
      </c>
      <c r="AE109" s="212">
        <v>99.6</v>
      </c>
      <c r="AF109" s="212">
        <v>365.2</v>
      </c>
      <c r="AG109" s="212">
        <v>485.5</v>
      </c>
      <c r="AH109" s="212">
        <v>96.9</v>
      </c>
      <c r="AI109" s="212">
        <v>71.900000000000006</v>
      </c>
    </row>
    <row r="110" spans="2:35" x14ac:dyDescent="0.2">
      <c r="B110" t="s">
        <v>227</v>
      </c>
      <c r="D110">
        <v>1629</v>
      </c>
      <c r="E110" s="212">
        <v>86.2</v>
      </c>
      <c r="F110" s="212">
        <v>60.8</v>
      </c>
      <c r="G110" s="212">
        <v>96.2</v>
      </c>
      <c r="H110" s="212">
        <v>94.3</v>
      </c>
      <c r="I110" s="212">
        <v>99.6</v>
      </c>
      <c r="J110" s="212">
        <v>344.1</v>
      </c>
      <c r="K110" s="212">
        <v>472.8</v>
      </c>
      <c r="L110" s="212">
        <v>97.1</v>
      </c>
      <c r="M110" s="212">
        <v>61</v>
      </c>
      <c r="O110">
        <v>1574</v>
      </c>
      <c r="P110" s="212">
        <v>91.1</v>
      </c>
      <c r="Q110" s="212">
        <v>71.3</v>
      </c>
      <c r="R110" s="212">
        <v>98.1</v>
      </c>
      <c r="S110" s="212">
        <v>96.7</v>
      </c>
      <c r="T110" s="212">
        <v>99.9</v>
      </c>
      <c r="U110" s="212">
        <v>369.7</v>
      </c>
      <c r="V110" s="212">
        <v>513.79999999999995</v>
      </c>
      <c r="W110" s="212">
        <v>98.9</v>
      </c>
      <c r="X110" s="212">
        <v>71.8</v>
      </c>
      <c r="Z110">
        <v>3203</v>
      </c>
      <c r="AA110" s="212">
        <v>88.6</v>
      </c>
      <c r="AB110" s="212">
        <v>66</v>
      </c>
      <c r="AC110" s="212">
        <v>97.1</v>
      </c>
      <c r="AD110" s="212">
        <v>95.5</v>
      </c>
      <c r="AE110" s="212">
        <v>99.7</v>
      </c>
      <c r="AF110" s="212">
        <v>356.7</v>
      </c>
      <c r="AG110" s="212">
        <v>493</v>
      </c>
      <c r="AH110" s="212">
        <v>98</v>
      </c>
      <c r="AI110" s="212">
        <v>66.3</v>
      </c>
    </row>
    <row r="111" spans="2:35" x14ac:dyDescent="0.2">
      <c r="B111" t="s">
        <v>229</v>
      </c>
      <c r="D111">
        <v>1477</v>
      </c>
      <c r="E111" s="212">
        <v>76</v>
      </c>
      <c r="F111" s="212">
        <v>57.9</v>
      </c>
      <c r="G111" s="212">
        <v>94.4</v>
      </c>
      <c r="H111" s="212">
        <v>92.3</v>
      </c>
      <c r="I111" s="212">
        <v>99.2</v>
      </c>
      <c r="J111" s="212">
        <v>328.4</v>
      </c>
      <c r="K111" s="212">
        <v>415.1</v>
      </c>
      <c r="L111" s="212">
        <v>96.1</v>
      </c>
      <c r="M111" s="212">
        <v>59.2</v>
      </c>
      <c r="O111">
        <v>1421</v>
      </c>
      <c r="P111" s="212">
        <v>86.4</v>
      </c>
      <c r="Q111" s="212">
        <v>68.099999999999994</v>
      </c>
      <c r="R111" s="212">
        <v>97.7</v>
      </c>
      <c r="S111" s="212">
        <v>96.2</v>
      </c>
      <c r="T111" s="212">
        <v>99.8</v>
      </c>
      <c r="U111" s="212">
        <v>358.1</v>
      </c>
      <c r="V111" s="212">
        <v>462</v>
      </c>
      <c r="W111" s="212">
        <v>98.1</v>
      </c>
      <c r="X111" s="212">
        <v>68.5</v>
      </c>
      <c r="Z111">
        <v>2898</v>
      </c>
      <c r="AA111" s="212">
        <v>81.099999999999994</v>
      </c>
      <c r="AB111" s="212">
        <v>62.9</v>
      </c>
      <c r="AC111" s="212">
        <v>96.1</v>
      </c>
      <c r="AD111" s="212">
        <v>94.2</v>
      </c>
      <c r="AE111" s="212">
        <v>99.5</v>
      </c>
      <c r="AF111" s="212">
        <v>343</v>
      </c>
      <c r="AG111" s="212">
        <v>438.1</v>
      </c>
      <c r="AH111" s="212">
        <v>97.1</v>
      </c>
      <c r="AI111" s="212">
        <v>63.8</v>
      </c>
    </row>
    <row r="112" spans="2:35" x14ac:dyDescent="0.2">
      <c r="B112" t="s">
        <v>231</v>
      </c>
      <c r="D112">
        <v>1685</v>
      </c>
      <c r="E112" s="212">
        <v>90.3</v>
      </c>
      <c r="F112" s="212">
        <v>71.7</v>
      </c>
      <c r="G112" s="212">
        <v>97.3</v>
      </c>
      <c r="H112" s="212">
        <v>96.2</v>
      </c>
      <c r="I112" s="212">
        <v>99.2</v>
      </c>
      <c r="J112" s="212">
        <v>353</v>
      </c>
      <c r="K112" s="212">
        <v>481.1</v>
      </c>
      <c r="L112" s="212">
        <v>97.6</v>
      </c>
      <c r="M112" s="212">
        <v>72.599999999999994</v>
      </c>
      <c r="O112">
        <v>1733</v>
      </c>
      <c r="P112" s="212">
        <v>95.4</v>
      </c>
      <c r="Q112" s="212">
        <v>76.099999999999994</v>
      </c>
      <c r="R112" s="212">
        <v>98.6</v>
      </c>
      <c r="S112" s="212">
        <v>97.2</v>
      </c>
      <c r="T112" s="212">
        <v>99.8</v>
      </c>
      <c r="U112" s="212">
        <v>371.9</v>
      </c>
      <c r="V112" s="212">
        <v>528.6</v>
      </c>
      <c r="W112" s="212">
        <v>99.1</v>
      </c>
      <c r="X112" s="212">
        <v>76.5</v>
      </c>
      <c r="Z112">
        <v>3418</v>
      </c>
      <c r="AA112" s="212">
        <v>92.9</v>
      </c>
      <c r="AB112" s="212">
        <v>73.900000000000006</v>
      </c>
      <c r="AC112" s="212">
        <v>98</v>
      </c>
      <c r="AD112" s="212">
        <v>96.7</v>
      </c>
      <c r="AE112" s="212">
        <v>99.5</v>
      </c>
      <c r="AF112" s="212">
        <v>362.5</v>
      </c>
      <c r="AG112" s="212">
        <v>505.2</v>
      </c>
      <c r="AH112" s="212">
        <v>98.4</v>
      </c>
      <c r="AI112" s="212">
        <v>74.599999999999994</v>
      </c>
    </row>
    <row r="113" spans="2:35" x14ac:dyDescent="0.2">
      <c r="B113" t="s">
        <v>233</v>
      </c>
      <c r="D113">
        <v>1826</v>
      </c>
      <c r="E113" s="212">
        <v>82.1</v>
      </c>
      <c r="F113" s="212">
        <v>59.5</v>
      </c>
      <c r="G113" s="212">
        <v>95.3</v>
      </c>
      <c r="H113" s="212">
        <v>93.5</v>
      </c>
      <c r="I113" s="212">
        <v>99.2</v>
      </c>
      <c r="J113" s="212">
        <v>328.8</v>
      </c>
      <c r="K113" s="212">
        <v>445.2</v>
      </c>
      <c r="L113" s="212">
        <v>96.2</v>
      </c>
      <c r="M113" s="212">
        <v>60.5</v>
      </c>
      <c r="O113">
        <v>1939</v>
      </c>
      <c r="P113" s="212">
        <v>88.2</v>
      </c>
      <c r="Q113" s="212">
        <v>69</v>
      </c>
      <c r="R113" s="212">
        <v>97.7</v>
      </c>
      <c r="S113" s="212">
        <v>95.8</v>
      </c>
      <c r="T113" s="212">
        <v>99.5</v>
      </c>
      <c r="U113" s="212">
        <v>355.6</v>
      </c>
      <c r="V113" s="212">
        <v>493.1</v>
      </c>
      <c r="W113" s="212">
        <v>97.6</v>
      </c>
      <c r="X113" s="212">
        <v>69.7</v>
      </c>
      <c r="Z113">
        <v>3765</v>
      </c>
      <c r="AA113" s="212">
        <v>85.3</v>
      </c>
      <c r="AB113" s="212">
        <v>64.400000000000006</v>
      </c>
      <c r="AC113" s="212">
        <v>96.5</v>
      </c>
      <c r="AD113" s="212">
        <v>94.7</v>
      </c>
      <c r="AE113" s="212">
        <v>99.4</v>
      </c>
      <c r="AF113" s="212">
        <v>342.6</v>
      </c>
      <c r="AG113" s="212">
        <v>469.9</v>
      </c>
      <c r="AH113" s="212">
        <v>96.9</v>
      </c>
      <c r="AI113" s="212">
        <v>65.3</v>
      </c>
    </row>
    <row r="114" spans="2:35" x14ac:dyDescent="0.2">
      <c r="B114" t="s">
        <v>235</v>
      </c>
      <c r="D114">
        <v>1424</v>
      </c>
      <c r="E114" s="212">
        <v>75.8</v>
      </c>
      <c r="F114" s="212">
        <v>56</v>
      </c>
      <c r="G114" s="212">
        <v>95.4</v>
      </c>
      <c r="H114" s="212">
        <v>93.5</v>
      </c>
      <c r="I114" s="212">
        <v>99.4</v>
      </c>
      <c r="J114" s="212">
        <v>329.3</v>
      </c>
      <c r="K114" s="212">
        <v>445.6</v>
      </c>
      <c r="L114" s="212">
        <v>96.3</v>
      </c>
      <c r="M114" s="212">
        <v>57</v>
      </c>
      <c r="O114">
        <v>1456</v>
      </c>
      <c r="P114" s="212">
        <v>84.1</v>
      </c>
      <c r="Q114" s="212">
        <v>65.8</v>
      </c>
      <c r="R114" s="212">
        <v>97.3</v>
      </c>
      <c r="S114" s="212">
        <v>95</v>
      </c>
      <c r="T114" s="212">
        <v>99.2</v>
      </c>
      <c r="U114" s="212">
        <v>353.2</v>
      </c>
      <c r="V114" s="212">
        <v>500.1</v>
      </c>
      <c r="W114" s="212">
        <v>97.9</v>
      </c>
      <c r="X114" s="212">
        <v>66.599999999999994</v>
      </c>
      <c r="Z114">
        <v>2880</v>
      </c>
      <c r="AA114" s="212">
        <v>80</v>
      </c>
      <c r="AB114" s="212">
        <v>60.9</v>
      </c>
      <c r="AC114" s="212">
        <v>96.3</v>
      </c>
      <c r="AD114" s="212">
        <v>94.3</v>
      </c>
      <c r="AE114" s="212">
        <v>99.3</v>
      </c>
      <c r="AF114" s="212">
        <v>341.3</v>
      </c>
      <c r="AG114" s="212">
        <v>473.2</v>
      </c>
      <c r="AH114" s="212">
        <v>97.1</v>
      </c>
      <c r="AI114" s="212">
        <v>61.8</v>
      </c>
    </row>
    <row r="115" spans="2:35" x14ac:dyDescent="0.2">
      <c r="B115" t="s">
        <v>237</v>
      </c>
      <c r="D115">
        <v>1911</v>
      </c>
      <c r="E115" s="212">
        <v>78</v>
      </c>
      <c r="F115" s="212">
        <v>60.3</v>
      </c>
      <c r="G115" s="212">
        <v>94.5</v>
      </c>
      <c r="H115" s="212">
        <v>92.7</v>
      </c>
      <c r="I115" s="212">
        <v>98.5</v>
      </c>
      <c r="J115" s="212">
        <v>328.4</v>
      </c>
      <c r="K115" s="212">
        <v>429.6</v>
      </c>
      <c r="L115" s="212">
        <v>96</v>
      </c>
      <c r="M115" s="212">
        <v>62.2</v>
      </c>
      <c r="O115">
        <v>1875</v>
      </c>
      <c r="P115" s="212">
        <v>84.2</v>
      </c>
      <c r="Q115" s="212">
        <v>66</v>
      </c>
      <c r="R115" s="212">
        <v>97.3</v>
      </c>
      <c r="S115" s="212">
        <v>95.2</v>
      </c>
      <c r="T115" s="212">
        <v>99.4</v>
      </c>
      <c r="U115" s="212">
        <v>352</v>
      </c>
      <c r="V115" s="212">
        <v>460.4</v>
      </c>
      <c r="W115" s="212">
        <v>97.4</v>
      </c>
      <c r="X115" s="212">
        <v>67</v>
      </c>
      <c r="Z115">
        <v>3786</v>
      </c>
      <c r="AA115" s="212">
        <v>81</v>
      </c>
      <c r="AB115" s="212">
        <v>63.2</v>
      </c>
      <c r="AC115" s="212">
        <v>95.9</v>
      </c>
      <c r="AD115" s="212">
        <v>93.9</v>
      </c>
      <c r="AE115" s="212">
        <v>99</v>
      </c>
      <c r="AF115" s="212">
        <v>340.1</v>
      </c>
      <c r="AG115" s="212">
        <v>444.9</v>
      </c>
      <c r="AH115" s="212">
        <v>96.7</v>
      </c>
      <c r="AI115" s="212">
        <v>64.599999999999994</v>
      </c>
    </row>
    <row r="116" spans="2:35" x14ac:dyDescent="0.2">
      <c r="B116" t="s">
        <v>239</v>
      </c>
      <c r="D116">
        <v>1013</v>
      </c>
      <c r="E116" s="212">
        <v>88.4</v>
      </c>
      <c r="F116" s="212">
        <v>61.8</v>
      </c>
      <c r="G116" s="212">
        <v>95.9</v>
      </c>
      <c r="H116" s="212">
        <v>93.9</v>
      </c>
      <c r="I116" s="212">
        <v>99.5</v>
      </c>
      <c r="J116" s="212">
        <v>340.1</v>
      </c>
      <c r="K116" s="212">
        <v>450.7</v>
      </c>
      <c r="L116" s="212">
        <v>95.9</v>
      </c>
      <c r="M116" s="212">
        <v>62.7</v>
      </c>
      <c r="O116">
        <v>1127</v>
      </c>
      <c r="P116" s="212">
        <v>90.7</v>
      </c>
      <c r="Q116" s="212">
        <v>68.599999999999994</v>
      </c>
      <c r="R116" s="212">
        <v>98</v>
      </c>
      <c r="S116" s="212">
        <v>97</v>
      </c>
      <c r="T116" s="212">
        <v>99.8</v>
      </c>
      <c r="U116" s="212">
        <v>357.8</v>
      </c>
      <c r="V116" s="212">
        <v>493.7</v>
      </c>
      <c r="W116" s="212">
        <v>98.3</v>
      </c>
      <c r="X116" s="212">
        <v>68.7</v>
      </c>
      <c r="Z116">
        <v>2140</v>
      </c>
      <c r="AA116" s="212">
        <v>89.6</v>
      </c>
      <c r="AB116" s="212">
        <v>65.400000000000006</v>
      </c>
      <c r="AC116" s="212">
        <v>97</v>
      </c>
      <c r="AD116" s="212">
        <v>95.5</v>
      </c>
      <c r="AE116" s="212">
        <v>99.7</v>
      </c>
      <c r="AF116" s="212">
        <v>349.4</v>
      </c>
      <c r="AG116" s="212">
        <v>473.4</v>
      </c>
      <c r="AH116" s="212">
        <v>97.1</v>
      </c>
      <c r="AI116" s="212">
        <v>65.8</v>
      </c>
    </row>
    <row r="117" spans="2:35" x14ac:dyDescent="0.2">
      <c r="B117" t="s">
        <v>241</v>
      </c>
      <c r="D117">
        <v>1034</v>
      </c>
      <c r="E117" s="212">
        <v>76.7</v>
      </c>
      <c r="F117" s="212">
        <v>57.4</v>
      </c>
      <c r="G117" s="212">
        <v>96.4</v>
      </c>
      <c r="H117" s="212">
        <v>95.2</v>
      </c>
      <c r="I117" s="212">
        <v>99.3</v>
      </c>
      <c r="J117" s="212">
        <v>334</v>
      </c>
      <c r="K117" s="212">
        <v>437.4</v>
      </c>
      <c r="L117" s="212">
        <v>96.7</v>
      </c>
      <c r="M117" s="212">
        <v>59.4</v>
      </c>
      <c r="O117">
        <v>1118</v>
      </c>
      <c r="P117" s="212">
        <v>87.3</v>
      </c>
      <c r="Q117" s="212">
        <v>72.7</v>
      </c>
      <c r="R117" s="212">
        <v>98.1</v>
      </c>
      <c r="S117" s="212">
        <v>97</v>
      </c>
      <c r="T117" s="212">
        <v>99.7</v>
      </c>
      <c r="U117" s="212">
        <v>362.1</v>
      </c>
      <c r="V117" s="212">
        <v>504.5</v>
      </c>
      <c r="W117" s="212">
        <v>98</v>
      </c>
      <c r="X117" s="212">
        <v>73.099999999999994</v>
      </c>
      <c r="Z117">
        <v>2152</v>
      </c>
      <c r="AA117" s="212">
        <v>82.2</v>
      </c>
      <c r="AB117" s="212">
        <v>65.400000000000006</v>
      </c>
      <c r="AC117" s="212">
        <v>97.3</v>
      </c>
      <c r="AD117" s="212">
        <v>96.1</v>
      </c>
      <c r="AE117" s="212">
        <v>99.5</v>
      </c>
      <c r="AF117" s="212">
        <v>348.6</v>
      </c>
      <c r="AG117" s="212">
        <v>472.3</v>
      </c>
      <c r="AH117" s="212">
        <v>97.4</v>
      </c>
      <c r="AI117" s="212">
        <v>66.5</v>
      </c>
    </row>
    <row r="118" spans="2:35" x14ac:dyDescent="0.2">
      <c r="B118" t="s">
        <v>243</v>
      </c>
      <c r="D118">
        <v>1544</v>
      </c>
      <c r="E118" s="212">
        <v>77.099999999999994</v>
      </c>
      <c r="F118" s="212">
        <v>60.8</v>
      </c>
      <c r="G118" s="212">
        <v>97.2</v>
      </c>
      <c r="H118" s="212">
        <v>96</v>
      </c>
      <c r="I118" s="212">
        <v>99.6</v>
      </c>
      <c r="J118" s="212">
        <v>328.5</v>
      </c>
      <c r="K118" s="212">
        <v>433.7</v>
      </c>
      <c r="L118" s="212">
        <v>97.7</v>
      </c>
      <c r="M118" s="212">
        <v>62.4</v>
      </c>
      <c r="O118">
        <v>1502</v>
      </c>
      <c r="P118" s="212">
        <v>81.2</v>
      </c>
      <c r="Q118" s="212">
        <v>66.7</v>
      </c>
      <c r="R118" s="212">
        <v>97.5</v>
      </c>
      <c r="S118" s="212">
        <v>96.1</v>
      </c>
      <c r="T118" s="212">
        <v>99.7</v>
      </c>
      <c r="U118" s="212">
        <v>346.4</v>
      </c>
      <c r="V118" s="212">
        <v>465.9</v>
      </c>
      <c r="W118" s="212">
        <v>98.1</v>
      </c>
      <c r="X118" s="212">
        <v>68.400000000000006</v>
      </c>
      <c r="Z118">
        <v>3046</v>
      </c>
      <c r="AA118" s="212">
        <v>79.099999999999994</v>
      </c>
      <c r="AB118" s="212">
        <v>63.7</v>
      </c>
      <c r="AC118" s="212">
        <v>97.3</v>
      </c>
      <c r="AD118" s="212">
        <v>96.1</v>
      </c>
      <c r="AE118" s="212">
        <v>99.6</v>
      </c>
      <c r="AF118" s="212">
        <v>337.3</v>
      </c>
      <c r="AG118" s="212">
        <v>449.6</v>
      </c>
      <c r="AH118" s="212">
        <v>97.9</v>
      </c>
      <c r="AI118" s="212">
        <v>65.400000000000006</v>
      </c>
    </row>
    <row r="119" spans="2:35" x14ac:dyDescent="0.2">
      <c r="B119" t="s">
        <v>245</v>
      </c>
      <c r="D119">
        <v>1561</v>
      </c>
      <c r="E119" s="212">
        <v>84.8</v>
      </c>
      <c r="F119" s="212">
        <v>54.8</v>
      </c>
      <c r="G119" s="212">
        <v>95.5</v>
      </c>
      <c r="H119" s="212">
        <v>94.2</v>
      </c>
      <c r="I119" s="212">
        <v>99.4</v>
      </c>
      <c r="J119" s="212">
        <v>331.7</v>
      </c>
      <c r="K119" s="212">
        <v>451</v>
      </c>
      <c r="L119" s="212">
        <v>96.6</v>
      </c>
      <c r="M119" s="212">
        <v>55.3</v>
      </c>
      <c r="O119">
        <v>1462</v>
      </c>
      <c r="P119" s="212">
        <v>89.7</v>
      </c>
      <c r="Q119" s="212">
        <v>68.900000000000006</v>
      </c>
      <c r="R119" s="212">
        <v>97.4</v>
      </c>
      <c r="S119" s="212">
        <v>96.6</v>
      </c>
      <c r="T119" s="212">
        <v>99.4</v>
      </c>
      <c r="U119" s="212">
        <v>360.2</v>
      </c>
      <c r="V119" s="212">
        <v>517.20000000000005</v>
      </c>
      <c r="W119" s="212">
        <v>98.3</v>
      </c>
      <c r="X119" s="212">
        <v>69.3</v>
      </c>
      <c r="Z119">
        <v>3023</v>
      </c>
      <c r="AA119" s="212">
        <v>87.2</v>
      </c>
      <c r="AB119" s="212">
        <v>61.6</v>
      </c>
      <c r="AC119" s="212">
        <v>96.4</v>
      </c>
      <c r="AD119" s="212">
        <v>95.4</v>
      </c>
      <c r="AE119" s="212">
        <v>99.4</v>
      </c>
      <c r="AF119" s="212">
        <v>345.5</v>
      </c>
      <c r="AG119" s="212">
        <v>483</v>
      </c>
      <c r="AH119" s="212">
        <v>97.4</v>
      </c>
      <c r="AI119" s="212">
        <v>62.1</v>
      </c>
    </row>
    <row r="120" spans="2:35" x14ac:dyDescent="0.2">
      <c r="B120" t="s">
        <v>247</v>
      </c>
      <c r="D120">
        <v>1366</v>
      </c>
      <c r="E120" s="212">
        <v>84.3</v>
      </c>
      <c r="F120" s="212">
        <v>63.4</v>
      </c>
      <c r="G120" s="212">
        <v>96.6</v>
      </c>
      <c r="H120" s="212">
        <v>95.6</v>
      </c>
      <c r="I120" s="212">
        <v>99.7</v>
      </c>
      <c r="J120" s="212">
        <v>340.3</v>
      </c>
      <c r="K120" s="212">
        <v>451.1</v>
      </c>
      <c r="L120" s="212">
        <v>97.1</v>
      </c>
      <c r="M120" s="212">
        <v>64.099999999999994</v>
      </c>
      <c r="O120">
        <v>1337</v>
      </c>
      <c r="P120" s="212">
        <v>89.3</v>
      </c>
      <c r="Q120" s="212">
        <v>70.2</v>
      </c>
      <c r="R120" s="212">
        <v>97.9</v>
      </c>
      <c r="S120" s="212">
        <v>96.9</v>
      </c>
      <c r="T120" s="212">
        <v>100</v>
      </c>
      <c r="U120" s="212">
        <v>363.1</v>
      </c>
      <c r="V120" s="212">
        <v>484.6</v>
      </c>
      <c r="W120" s="212">
        <v>97.8</v>
      </c>
      <c r="X120" s="212">
        <v>70.5</v>
      </c>
      <c r="Z120">
        <v>2703</v>
      </c>
      <c r="AA120" s="212">
        <v>86.8</v>
      </c>
      <c r="AB120" s="212">
        <v>66.7</v>
      </c>
      <c r="AC120" s="212">
        <v>97.3</v>
      </c>
      <c r="AD120" s="212">
        <v>96.3</v>
      </c>
      <c r="AE120" s="212">
        <v>99.9</v>
      </c>
      <c r="AF120" s="212">
        <v>351.6</v>
      </c>
      <c r="AG120" s="212">
        <v>467.7</v>
      </c>
      <c r="AH120" s="212">
        <v>97.4</v>
      </c>
      <c r="AI120" s="212">
        <v>67.3</v>
      </c>
    </row>
    <row r="121" spans="2:35" x14ac:dyDescent="0.2">
      <c r="B121" t="s">
        <v>249</v>
      </c>
      <c r="D121">
        <v>786</v>
      </c>
      <c r="E121" s="212">
        <v>83.3</v>
      </c>
      <c r="F121" s="212">
        <v>68.099999999999994</v>
      </c>
      <c r="G121" s="212">
        <v>94</v>
      </c>
      <c r="H121" s="212">
        <v>93.1</v>
      </c>
      <c r="I121" s="212">
        <v>98</v>
      </c>
      <c r="J121" s="212">
        <v>347.3</v>
      </c>
      <c r="K121" s="212">
        <v>459.2</v>
      </c>
      <c r="L121" s="212">
        <v>95.3</v>
      </c>
      <c r="M121" s="212">
        <v>68.8</v>
      </c>
      <c r="O121">
        <v>793</v>
      </c>
      <c r="P121" s="212">
        <v>90.7</v>
      </c>
      <c r="Q121" s="212">
        <v>75</v>
      </c>
      <c r="R121" s="212">
        <v>97.1</v>
      </c>
      <c r="S121" s="212">
        <v>96.5</v>
      </c>
      <c r="T121" s="212">
        <v>99.5</v>
      </c>
      <c r="U121" s="212">
        <v>376.1</v>
      </c>
      <c r="V121" s="212">
        <v>514.4</v>
      </c>
      <c r="W121" s="212">
        <v>97.7</v>
      </c>
      <c r="X121" s="212">
        <v>75.3</v>
      </c>
      <c r="Z121">
        <v>1579</v>
      </c>
      <c r="AA121" s="212">
        <v>87</v>
      </c>
      <c r="AB121" s="212">
        <v>71.599999999999994</v>
      </c>
      <c r="AC121" s="212">
        <v>95.6</v>
      </c>
      <c r="AD121" s="212">
        <v>94.8</v>
      </c>
      <c r="AE121" s="212">
        <v>98.7</v>
      </c>
      <c r="AF121" s="212">
        <v>361.8</v>
      </c>
      <c r="AG121" s="212">
        <v>486.9</v>
      </c>
      <c r="AH121" s="212">
        <v>96.5</v>
      </c>
      <c r="AI121" s="212">
        <v>72.099999999999994</v>
      </c>
    </row>
    <row r="122" spans="2:35" x14ac:dyDescent="0.2">
      <c r="B122" t="s">
        <v>251</v>
      </c>
      <c r="D122">
        <v>842</v>
      </c>
      <c r="E122" s="212">
        <v>81.400000000000006</v>
      </c>
      <c r="F122" s="212">
        <v>61.4</v>
      </c>
      <c r="G122" s="212">
        <v>94.1</v>
      </c>
      <c r="H122" s="212">
        <v>91.8</v>
      </c>
      <c r="I122" s="212">
        <v>99</v>
      </c>
      <c r="J122" s="212">
        <v>330.3</v>
      </c>
      <c r="K122" s="212">
        <v>446.4</v>
      </c>
      <c r="L122" s="212">
        <v>94.1</v>
      </c>
      <c r="M122" s="212">
        <v>62.4</v>
      </c>
      <c r="O122">
        <v>758</v>
      </c>
      <c r="P122" s="212">
        <v>90.2</v>
      </c>
      <c r="Q122" s="212">
        <v>64</v>
      </c>
      <c r="R122" s="212">
        <v>96.3</v>
      </c>
      <c r="S122" s="212">
        <v>93.9</v>
      </c>
      <c r="T122" s="212">
        <v>99.3</v>
      </c>
      <c r="U122" s="212">
        <v>358.1</v>
      </c>
      <c r="V122" s="212">
        <v>493.5</v>
      </c>
      <c r="W122" s="212">
        <v>96.7</v>
      </c>
      <c r="X122" s="212">
        <v>64.099999999999994</v>
      </c>
      <c r="Z122">
        <v>1600</v>
      </c>
      <c r="AA122" s="212">
        <v>85.6</v>
      </c>
      <c r="AB122" s="212">
        <v>62.6</v>
      </c>
      <c r="AC122" s="212">
        <v>95.1</v>
      </c>
      <c r="AD122" s="212">
        <v>92.8</v>
      </c>
      <c r="AE122" s="212">
        <v>99.2</v>
      </c>
      <c r="AF122" s="212">
        <v>343.5</v>
      </c>
      <c r="AG122" s="212">
        <v>468.7</v>
      </c>
      <c r="AH122" s="212">
        <v>95.3</v>
      </c>
      <c r="AI122" s="212">
        <v>63.2</v>
      </c>
    </row>
    <row r="123" spans="2:35" x14ac:dyDescent="0.2">
      <c r="B123" t="s">
        <v>253</v>
      </c>
      <c r="D123">
        <v>1819</v>
      </c>
      <c r="E123" s="212">
        <v>84.4</v>
      </c>
      <c r="F123" s="212">
        <v>66</v>
      </c>
      <c r="G123" s="212">
        <v>96.3</v>
      </c>
      <c r="H123" s="212">
        <v>94.9</v>
      </c>
      <c r="I123" s="212">
        <v>99.2</v>
      </c>
      <c r="J123" s="212">
        <v>349.2</v>
      </c>
      <c r="K123" s="212">
        <v>470</v>
      </c>
      <c r="L123" s="212">
        <v>97.2</v>
      </c>
      <c r="M123" s="212">
        <v>66.8</v>
      </c>
      <c r="O123">
        <v>1600</v>
      </c>
      <c r="P123" s="212">
        <v>89.4</v>
      </c>
      <c r="Q123" s="212">
        <v>75</v>
      </c>
      <c r="R123" s="212">
        <v>97.8</v>
      </c>
      <c r="S123" s="212">
        <v>95.9</v>
      </c>
      <c r="T123" s="212">
        <v>99.6</v>
      </c>
      <c r="U123" s="212">
        <v>369.4</v>
      </c>
      <c r="V123" s="212">
        <v>501.4</v>
      </c>
      <c r="W123" s="212">
        <v>98.1</v>
      </c>
      <c r="X123" s="212">
        <v>75.3</v>
      </c>
      <c r="Z123">
        <v>3419</v>
      </c>
      <c r="AA123" s="212">
        <v>86.8</v>
      </c>
      <c r="AB123" s="212">
        <v>70.2</v>
      </c>
      <c r="AC123" s="212">
        <v>97</v>
      </c>
      <c r="AD123" s="212">
        <v>95.4</v>
      </c>
      <c r="AE123" s="212">
        <v>99.4</v>
      </c>
      <c r="AF123" s="212">
        <v>358.6</v>
      </c>
      <c r="AG123" s="212">
        <v>484.7</v>
      </c>
      <c r="AH123" s="212">
        <v>97.6</v>
      </c>
      <c r="AI123" s="212">
        <v>70.8</v>
      </c>
    </row>
    <row r="124" spans="2:35" x14ac:dyDescent="0.2">
      <c r="B124" t="s">
        <v>255</v>
      </c>
      <c r="D124">
        <v>669</v>
      </c>
      <c r="E124" s="212">
        <v>82.7</v>
      </c>
      <c r="F124" s="212">
        <v>63.5</v>
      </c>
      <c r="G124" s="212">
        <v>95.4</v>
      </c>
      <c r="H124" s="212">
        <v>94</v>
      </c>
      <c r="I124" s="212">
        <v>99.6</v>
      </c>
      <c r="J124" s="212">
        <v>337.6</v>
      </c>
      <c r="K124" s="212">
        <v>451.9</v>
      </c>
      <c r="L124" s="212">
        <v>96</v>
      </c>
      <c r="M124" s="212">
        <v>64.400000000000006</v>
      </c>
      <c r="O124">
        <v>653</v>
      </c>
      <c r="P124" s="212">
        <v>89.3</v>
      </c>
      <c r="Q124" s="212">
        <v>73.2</v>
      </c>
      <c r="R124" s="212">
        <v>97.2</v>
      </c>
      <c r="S124" s="212">
        <v>96.2</v>
      </c>
      <c r="T124" s="212">
        <v>99.5</v>
      </c>
      <c r="U124" s="212">
        <v>367.2</v>
      </c>
      <c r="V124" s="212">
        <v>494</v>
      </c>
      <c r="W124" s="212">
        <v>98</v>
      </c>
      <c r="X124" s="212">
        <v>73.400000000000006</v>
      </c>
      <c r="Z124">
        <v>1322</v>
      </c>
      <c r="AA124" s="212">
        <v>85.9</v>
      </c>
      <c r="AB124" s="212">
        <v>68.3</v>
      </c>
      <c r="AC124" s="212">
        <v>96.3</v>
      </c>
      <c r="AD124" s="212">
        <v>95.1</v>
      </c>
      <c r="AE124" s="212">
        <v>99.5</v>
      </c>
      <c r="AF124" s="212">
        <v>352.2</v>
      </c>
      <c r="AG124" s="212">
        <v>472.7</v>
      </c>
      <c r="AH124" s="212">
        <v>97</v>
      </c>
      <c r="AI124" s="212">
        <v>68.8</v>
      </c>
    </row>
    <row r="125" spans="2:35" x14ac:dyDescent="0.2">
      <c r="B125" t="s">
        <v>257</v>
      </c>
      <c r="D125">
        <v>1359</v>
      </c>
      <c r="E125" s="212">
        <v>91.4</v>
      </c>
      <c r="F125" s="212">
        <v>74.7</v>
      </c>
      <c r="G125" s="212">
        <v>97.1</v>
      </c>
      <c r="H125" s="212">
        <v>96</v>
      </c>
      <c r="I125" s="212">
        <v>99.4</v>
      </c>
      <c r="J125" s="212">
        <v>371.5</v>
      </c>
      <c r="K125" s="212">
        <v>517.9</v>
      </c>
      <c r="L125" s="212">
        <v>97.6</v>
      </c>
      <c r="M125" s="212">
        <v>74.8</v>
      </c>
      <c r="O125">
        <v>1334</v>
      </c>
      <c r="P125" s="212">
        <v>92.1</v>
      </c>
      <c r="Q125" s="212">
        <v>79.400000000000006</v>
      </c>
      <c r="R125" s="212">
        <v>98</v>
      </c>
      <c r="S125" s="212">
        <v>97.6</v>
      </c>
      <c r="T125" s="212">
        <v>99.8</v>
      </c>
      <c r="U125" s="212">
        <v>381.7</v>
      </c>
      <c r="V125" s="212">
        <v>530.6</v>
      </c>
      <c r="W125" s="212">
        <v>98.5</v>
      </c>
      <c r="X125" s="212">
        <v>80</v>
      </c>
      <c r="Z125">
        <v>2693</v>
      </c>
      <c r="AA125" s="212">
        <v>91.7</v>
      </c>
      <c r="AB125" s="212">
        <v>77</v>
      </c>
      <c r="AC125" s="212">
        <v>97.5</v>
      </c>
      <c r="AD125" s="212">
        <v>96.8</v>
      </c>
      <c r="AE125" s="212">
        <v>99.6</v>
      </c>
      <c r="AF125" s="212">
        <v>376.5</v>
      </c>
      <c r="AG125" s="212">
        <v>524.20000000000005</v>
      </c>
      <c r="AH125" s="212">
        <v>98</v>
      </c>
      <c r="AI125" s="212">
        <v>77.400000000000006</v>
      </c>
    </row>
    <row r="126" spans="2:35" x14ac:dyDescent="0.2">
      <c r="B126" t="s">
        <v>259</v>
      </c>
      <c r="D126">
        <v>1327</v>
      </c>
      <c r="E126" s="212">
        <v>73.900000000000006</v>
      </c>
      <c r="F126" s="212">
        <v>50.5</v>
      </c>
      <c r="G126" s="212">
        <v>96.1</v>
      </c>
      <c r="H126" s="212">
        <v>93.9</v>
      </c>
      <c r="I126" s="212">
        <v>98.8</v>
      </c>
      <c r="J126" s="212">
        <v>323.10000000000002</v>
      </c>
      <c r="K126" s="212">
        <v>422</v>
      </c>
      <c r="L126" s="212">
        <v>95.3</v>
      </c>
      <c r="M126" s="212">
        <v>51.8</v>
      </c>
      <c r="O126">
        <v>1251</v>
      </c>
      <c r="P126" s="212">
        <v>83.6</v>
      </c>
      <c r="Q126" s="212">
        <v>63.2</v>
      </c>
      <c r="R126" s="212">
        <v>98.2</v>
      </c>
      <c r="S126" s="212">
        <v>97</v>
      </c>
      <c r="T126" s="212">
        <v>99.6</v>
      </c>
      <c r="U126" s="212">
        <v>350</v>
      </c>
      <c r="V126" s="212">
        <v>466.8</v>
      </c>
      <c r="W126" s="212">
        <v>98.4</v>
      </c>
      <c r="X126" s="212">
        <v>63.9</v>
      </c>
      <c r="Z126">
        <v>2578</v>
      </c>
      <c r="AA126" s="212">
        <v>78.599999999999994</v>
      </c>
      <c r="AB126" s="212">
        <v>56.7</v>
      </c>
      <c r="AC126" s="212">
        <v>97.1</v>
      </c>
      <c r="AD126" s="212">
        <v>95.4</v>
      </c>
      <c r="AE126" s="212">
        <v>99.2</v>
      </c>
      <c r="AF126" s="212">
        <v>336.1</v>
      </c>
      <c r="AG126" s="212">
        <v>443.8</v>
      </c>
      <c r="AH126" s="212">
        <v>96.8</v>
      </c>
      <c r="AI126" s="212">
        <v>57.7</v>
      </c>
    </row>
    <row r="127" spans="2:35" x14ac:dyDescent="0.2">
      <c r="B127" t="s">
        <v>387</v>
      </c>
      <c r="D127">
        <v>45608</v>
      </c>
      <c r="E127" s="212">
        <v>78.7</v>
      </c>
      <c r="F127" s="212">
        <v>57.8</v>
      </c>
      <c r="G127" s="212">
        <v>94.8</v>
      </c>
      <c r="H127" s="212">
        <v>93.4</v>
      </c>
      <c r="I127" s="212">
        <v>99.2</v>
      </c>
      <c r="J127" s="212">
        <v>332.1</v>
      </c>
      <c r="K127" s="212">
        <v>446.8</v>
      </c>
      <c r="L127" s="212">
        <v>96</v>
      </c>
      <c r="M127" s="212">
        <v>58.8</v>
      </c>
      <c r="O127">
        <v>44019</v>
      </c>
      <c r="P127" s="212">
        <v>86.2</v>
      </c>
      <c r="Q127" s="212">
        <v>67.400000000000006</v>
      </c>
      <c r="R127" s="212">
        <v>96.9</v>
      </c>
      <c r="S127" s="212">
        <v>95.7</v>
      </c>
      <c r="T127" s="212">
        <v>99.5</v>
      </c>
      <c r="U127" s="212">
        <v>355.8</v>
      </c>
      <c r="V127" s="212">
        <v>492</v>
      </c>
      <c r="W127" s="212">
        <v>97.7</v>
      </c>
      <c r="X127" s="212">
        <v>68</v>
      </c>
      <c r="Z127">
        <v>89627</v>
      </c>
      <c r="AA127" s="212">
        <v>82.4</v>
      </c>
      <c r="AB127" s="212">
        <v>62.5</v>
      </c>
      <c r="AC127" s="212">
        <v>95.8</v>
      </c>
      <c r="AD127" s="212">
        <v>94.5</v>
      </c>
      <c r="AE127" s="212">
        <v>99.3</v>
      </c>
      <c r="AF127" s="212">
        <v>343.7</v>
      </c>
      <c r="AG127" s="212">
        <v>469</v>
      </c>
      <c r="AH127" s="212">
        <v>96.9</v>
      </c>
      <c r="AI127" s="212">
        <v>63.3</v>
      </c>
    </row>
    <row r="128" spans="2:35" x14ac:dyDescent="0.2">
      <c r="B128" s="127" t="s">
        <v>459</v>
      </c>
      <c r="D128">
        <v>539</v>
      </c>
      <c r="E128" s="212">
        <v>88.7</v>
      </c>
      <c r="F128" s="212">
        <v>58.6</v>
      </c>
      <c r="G128" s="212">
        <v>96.5</v>
      </c>
      <c r="H128" s="212">
        <v>95.2</v>
      </c>
      <c r="I128" s="212">
        <v>99.4</v>
      </c>
      <c r="J128" s="212">
        <v>344.3</v>
      </c>
      <c r="K128" s="212">
        <v>466.9</v>
      </c>
      <c r="L128" s="212">
        <v>97.4</v>
      </c>
      <c r="M128" s="212">
        <v>58.6</v>
      </c>
      <c r="O128">
        <v>542</v>
      </c>
      <c r="P128" s="212">
        <v>91.7</v>
      </c>
      <c r="Q128" s="212">
        <v>68.099999999999994</v>
      </c>
      <c r="R128" s="212">
        <v>97.4</v>
      </c>
      <c r="S128" s="212">
        <v>96.1</v>
      </c>
      <c r="T128" s="212">
        <v>98.9</v>
      </c>
      <c r="U128" s="212">
        <v>364.1</v>
      </c>
      <c r="V128" s="212">
        <v>507.7</v>
      </c>
      <c r="W128" s="212">
        <v>98</v>
      </c>
      <c r="X128" s="212">
        <v>68.599999999999994</v>
      </c>
      <c r="Z128">
        <v>1081</v>
      </c>
      <c r="AA128" s="212">
        <v>90.2</v>
      </c>
      <c r="AB128" s="212">
        <v>63.4</v>
      </c>
      <c r="AC128" s="212">
        <v>96.9</v>
      </c>
      <c r="AD128" s="212">
        <v>95.7</v>
      </c>
      <c r="AE128" s="212">
        <v>99.2</v>
      </c>
      <c r="AF128" s="212">
        <v>354.2</v>
      </c>
      <c r="AG128" s="212">
        <v>487.3</v>
      </c>
      <c r="AH128" s="212">
        <v>97.7</v>
      </c>
      <c r="AI128" s="212">
        <v>63.6</v>
      </c>
    </row>
    <row r="129" spans="2:35" x14ac:dyDescent="0.2">
      <c r="B129" t="s">
        <v>263</v>
      </c>
      <c r="D129">
        <v>1148</v>
      </c>
      <c r="E129" s="212">
        <v>74.400000000000006</v>
      </c>
      <c r="F129" s="212">
        <v>59</v>
      </c>
      <c r="G129" s="212">
        <v>93.6</v>
      </c>
      <c r="H129" s="212">
        <v>92.1</v>
      </c>
      <c r="I129" s="212">
        <v>98.8</v>
      </c>
      <c r="J129" s="212">
        <v>321</v>
      </c>
      <c r="K129" s="212">
        <v>422</v>
      </c>
      <c r="L129" s="212">
        <v>94.9</v>
      </c>
      <c r="M129" s="212">
        <v>60.7</v>
      </c>
      <c r="O129">
        <v>1146</v>
      </c>
      <c r="P129" s="212">
        <v>82.8</v>
      </c>
      <c r="Q129" s="212">
        <v>65.400000000000006</v>
      </c>
      <c r="R129" s="212">
        <v>95.1</v>
      </c>
      <c r="S129" s="212">
        <v>93.8</v>
      </c>
      <c r="T129" s="212">
        <v>99</v>
      </c>
      <c r="U129" s="212">
        <v>342.1</v>
      </c>
      <c r="V129" s="212">
        <v>459.1</v>
      </c>
      <c r="W129" s="212">
        <v>96.4</v>
      </c>
      <c r="X129" s="212">
        <v>66.7</v>
      </c>
      <c r="Z129">
        <v>2294</v>
      </c>
      <c r="AA129" s="212">
        <v>78.599999999999994</v>
      </c>
      <c r="AB129" s="212">
        <v>62.2</v>
      </c>
      <c r="AC129" s="212">
        <v>94.4</v>
      </c>
      <c r="AD129" s="212">
        <v>92.9</v>
      </c>
      <c r="AE129" s="212">
        <v>98.9</v>
      </c>
      <c r="AF129" s="212">
        <v>331.5</v>
      </c>
      <c r="AG129" s="212">
        <v>440.5</v>
      </c>
      <c r="AH129" s="212">
        <v>95.7</v>
      </c>
      <c r="AI129" s="212">
        <v>63.7</v>
      </c>
    </row>
    <row r="130" spans="2:35" x14ac:dyDescent="0.2">
      <c r="B130" t="s">
        <v>265</v>
      </c>
      <c r="D130">
        <v>2874</v>
      </c>
      <c r="E130" s="212">
        <v>81.900000000000006</v>
      </c>
      <c r="F130" s="212">
        <v>67.3</v>
      </c>
      <c r="G130" s="212">
        <v>96.1</v>
      </c>
      <c r="H130" s="212">
        <v>95.1</v>
      </c>
      <c r="I130" s="212">
        <v>99.1</v>
      </c>
      <c r="J130" s="212">
        <v>353.8</v>
      </c>
      <c r="K130" s="212">
        <v>471.5</v>
      </c>
      <c r="L130" s="212">
        <v>97</v>
      </c>
      <c r="M130" s="212">
        <v>68.2</v>
      </c>
      <c r="O130">
        <v>2680</v>
      </c>
      <c r="P130" s="212">
        <v>88.7</v>
      </c>
      <c r="Q130" s="212">
        <v>75.599999999999994</v>
      </c>
      <c r="R130" s="212">
        <v>97.8</v>
      </c>
      <c r="S130" s="212">
        <v>97</v>
      </c>
      <c r="T130" s="212">
        <v>99.9</v>
      </c>
      <c r="U130" s="212">
        <v>374.7</v>
      </c>
      <c r="V130" s="212">
        <v>514.79999999999995</v>
      </c>
      <c r="W130" s="212">
        <v>98.5</v>
      </c>
      <c r="X130" s="212">
        <v>76.099999999999994</v>
      </c>
      <c r="Z130">
        <v>5554</v>
      </c>
      <c r="AA130" s="212">
        <v>85.2</v>
      </c>
      <c r="AB130" s="212">
        <v>71.3</v>
      </c>
      <c r="AC130" s="212">
        <v>96.9</v>
      </c>
      <c r="AD130" s="212">
        <v>96</v>
      </c>
      <c r="AE130" s="212">
        <v>99.5</v>
      </c>
      <c r="AF130" s="212">
        <v>363.9</v>
      </c>
      <c r="AG130" s="212">
        <v>492.4</v>
      </c>
      <c r="AH130" s="212">
        <v>97.7</v>
      </c>
      <c r="AI130" s="212">
        <v>72</v>
      </c>
    </row>
    <row r="131" spans="2:35" x14ac:dyDescent="0.2">
      <c r="B131" t="s">
        <v>267</v>
      </c>
      <c r="D131">
        <v>2717</v>
      </c>
      <c r="E131" s="212">
        <v>78.5</v>
      </c>
      <c r="F131" s="212">
        <v>55.4</v>
      </c>
      <c r="G131" s="212">
        <v>93.7</v>
      </c>
      <c r="H131" s="212">
        <v>91.5</v>
      </c>
      <c r="I131" s="212">
        <v>98.7</v>
      </c>
      <c r="J131" s="212">
        <v>322.10000000000002</v>
      </c>
      <c r="K131" s="212">
        <v>436.6</v>
      </c>
      <c r="L131" s="212">
        <v>96.2</v>
      </c>
      <c r="M131" s="212">
        <v>56.6</v>
      </c>
      <c r="O131">
        <v>2636</v>
      </c>
      <c r="P131" s="212">
        <v>86.2</v>
      </c>
      <c r="Q131" s="212">
        <v>64.599999999999994</v>
      </c>
      <c r="R131" s="212">
        <v>96.9</v>
      </c>
      <c r="S131" s="212">
        <v>95.2</v>
      </c>
      <c r="T131" s="212">
        <v>99.2</v>
      </c>
      <c r="U131" s="212">
        <v>348.2</v>
      </c>
      <c r="V131" s="212">
        <v>477.5</v>
      </c>
      <c r="W131" s="212">
        <v>98</v>
      </c>
      <c r="X131" s="212">
        <v>65.099999999999994</v>
      </c>
      <c r="Z131">
        <v>5353</v>
      </c>
      <c r="AA131" s="212">
        <v>82.3</v>
      </c>
      <c r="AB131" s="212">
        <v>59.9</v>
      </c>
      <c r="AC131" s="212">
        <v>95.3</v>
      </c>
      <c r="AD131" s="212">
        <v>93.3</v>
      </c>
      <c r="AE131" s="212">
        <v>99</v>
      </c>
      <c r="AF131" s="212">
        <v>334.9</v>
      </c>
      <c r="AG131" s="212">
        <v>456.8</v>
      </c>
      <c r="AH131" s="212">
        <v>97.1</v>
      </c>
      <c r="AI131" s="212">
        <v>60.8</v>
      </c>
    </row>
    <row r="132" spans="2:35" x14ac:dyDescent="0.2">
      <c r="B132" t="s">
        <v>269</v>
      </c>
      <c r="D132">
        <v>7137</v>
      </c>
      <c r="E132" s="212">
        <v>74.5</v>
      </c>
      <c r="F132" s="212">
        <v>55.1</v>
      </c>
      <c r="G132" s="212">
        <v>95.3</v>
      </c>
      <c r="H132" s="212">
        <v>94.2</v>
      </c>
      <c r="I132" s="212">
        <v>99.3</v>
      </c>
      <c r="J132" s="212">
        <v>326.7</v>
      </c>
      <c r="K132" s="212">
        <v>430.7</v>
      </c>
      <c r="L132" s="212">
        <v>96.5</v>
      </c>
      <c r="M132" s="212">
        <v>56</v>
      </c>
      <c r="O132">
        <v>6804</v>
      </c>
      <c r="P132" s="212">
        <v>83.7</v>
      </c>
      <c r="Q132" s="212">
        <v>65.099999999999994</v>
      </c>
      <c r="R132" s="212">
        <v>97.2</v>
      </c>
      <c r="S132" s="212">
        <v>96.1</v>
      </c>
      <c r="T132" s="212">
        <v>99.7</v>
      </c>
      <c r="U132" s="212">
        <v>350.3</v>
      </c>
      <c r="V132" s="212">
        <v>475.5</v>
      </c>
      <c r="W132" s="212">
        <v>97.9</v>
      </c>
      <c r="X132" s="212">
        <v>65.900000000000006</v>
      </c>
      <c r="Z132">
        <v>13941</v>
      </c>
      <c r="AA132" s="212">
        <v>79</v>
      </c>
      <c r="AB132" s="212">
        <v>60</v>
      </c>
      <c r="AC132" s="212">
        <v>96.2</v>
      </c>
      <c r="AD132" s="212">
        <v>95.1</v>
      </c>
      <c r="AE132" s="212">
        <v>99.5</v>
      </c>
      <c r="AF132" s="212">
        <v>338.2</v>
      </c>
      <c r="AG132" s="212">
        <v>452.6</v>
      </c>
      <c r="AH132" s="212">
        <v>97.2</v>
      </c>
      <c r="AI132" s="212">
        <v>60.8</v>
      </c>
    </row>
    <row r="133" spans="2:35" x14ac:dyDescent="0.2">
      <c r="B133" t="s">
        <v>271</v>
      </c>
      <c r="D133">
        <v>788</v>
      </c>
      <c r="E133" s="212">
        <v>62.2</v>
      </c>
      <c r="F133" s="212">
        <v>42.4</v>
      </c>
      <c r="G133" s="212">
        <v>88.7</v>
      </c>
      <c r="H133" s="212">
        <v>87.7</v>
      </c>
      <c r="I133" s="212">
        <v>98.9</v>
      </c>
      <c r="J133" s="212">
        <v>286.5</v>
      </c>
      <c r="K133" s="212">
        <v>360.1</v>
      </c>
      <c r="L133" s="212">
        <v>92.8</v>
      </c>
      <c r="M133" s="212">
        <v>44.9</v>
      </c>
      <c r="O133">
        <v>696</v>
      </c>
      <c r="P133" s="212">
        <v>76</v>
      </c>
      <c r="Q133" s="212">
        <v>55.9</v>
      </c>
      <c r="R133" s="212">
        <v>95.5</v>
      </c>
      <c r="S133" s="212">
        <v>94.3</v>
      </c>
      <c r="T133" s="212">
        <v>99.3</v>
      </c>
      <c r="U133" s="212">
        <v>324.8</v>
      </c>
      <c r="V133" s="212">
        <v>426.2</v>
      </c>
      <c r="W133" s="212">
        <v>96.3</v>
      </c>
      <c r="X133" s="212">
        <v>57</v>
      </c>
      <c r="Z133">
        <v>1484</v>
      </c>
      <c r="AA133" s="212">
        <v>68.7</v>
      </c>
      <c r="AB133" s="212">
        <v>48.7</v>
      </c>
      <c r="AC133" s="212">
        <v>91.9</v>
      </c>
      <c r="AD133" s="212">
        <v>90.8</v>
      </c>
      <c r="AE133" s="212">
        <v>99.1</v>
      </c>
      <c r="AF133" s="212">
        <v>304.5</v>
      </c>
      <c r="AG133" s="212">
        <v>391.1</v>
      </c>
      <c r="AH133" s="212">
        <v>94.4</v>
      </c>
      <c r="AI133" s="212">
        <v>50.6</v>
      </c>
    </row>
    <row r="134" spans="2:35" x14ac:dyDescent="0.2">
      <c r="B134" t="s">
        <v>273</v>
      </c>
      <c r="D134">
        <v>8390</v>
      </c>
      <c r="E134" s="212">
        <v>83.3</v>
      </c>
      <c r="F134" s="212">
        <v>58.5</v>
      </c>
      <c r="G134" s="212">
        <v>94.8</v>
      </c>
      <c r="H134" s="212">
        <v>93.1</v>
      </c>
      <c r="I134" s="212">
        <v>99.2</v>
      </c>
      <c r="J134" s="212">
        <v>338.5</v>
      </c>
      <c r="K134" s="212">
        <v>463.3</v>
      </c>
      <c r="L134" s="212">
        <v>96.2</v>
      </c>
      <c r="M134" s="212">
        <v>59.2</v>
      </c>
      <c r="O134">
        <v>8308</v>
      </c>
      <c r="P134" s="212">
        <v>89.7</v>
      </c>
      <c r="Q134" s="212">
        <v>67.7</v>
      </c>
      <c r="R134" s="212">
        <v>97</v>
      </c>
      <c r="S134" s="212">
        <v>95.4</v>
      </c>
      <c r="T134" s="212">
        <v>99.6</v>
      </c>
      <c r="U134" s="212">
        <v>362.7</v>
      </c>
      <c r="V134" s="212">
        <v>516.70000000000005</v>
      </c>
      <c r="W134" s="212">
        <v>97.8</v>
      </c>
      <c r="X134" s="212">
        <v>68.099999999999994</v>
      </c>
      <c r="Z134">
        <v>16698</v>
      </c>
      <c r="AA134" s="212">
        <v>86.5</v>
      </c>
      <c r="AB134" s="212">
        <v>63.1</v>
      </c>
      <c r="AC134" s="212">
        <v>95.9</v>
      </c>
      <c r="AD134" s="212">
        <v>94.3</v>
      </c>
      <c r="AE134" s="212">
        <v>99.4</v>
      </c>
      <c r="AF134" s="212">
        <v>350.6</v>
      </c>
      <c r="AG134" s="212">
        <v>489.9</v>
      </c>
      <c r="AH134" s="212">
        <v>97</v>
      </c>
      <c r="AI134" s="212">
        <v>63.6</v>
      </c>
    </row>
    <row r="135" spans="2:35" x14ac:dyDescent="0.2">
      <c r="B135" t="s">
        <v>275</v>
      </c>
      <c r="D135">
        <v>1613</v>
      </c>
      <c r="E135" s="212">
        <v>86.2</v>
      </c>
      <c r="F135" s="212">
        <v>57</v>
      </c>
      <c r="G135" s="212">
        <v>94.2</v>
      </c>
      <c r="H135" s="212">
        <v>92.1</v>
      </c>
      <c r="I135" s="212">
        <v>99.1</v>
      </c>
      <c r="J135" s="212">
        <v>337.6</v>
      </c>
      <c r="K135" s="212">
        <v>463.2</v>
      </c>
      <c r="L135" s="212">
        <v>96.1</v>
      </c>
      <c r="M135" s="212">
        <v>57.2</v>
      </c>
      <c r="O135">
        <v>1629</v>
      </c>
      <c r="P135" s="212">
        <v>90.4</v>
      </c>
      <c r="Q135" s="212">
        <v>64.8</v>
      </c>
      <c r="R135" s="212">
        <v>96.6</v>
      </c>
      <c r="S135" s="212">
        <v>94.9</v>
      </c>
      <c r="T135" s="212">
        <v>99.4</v>
      </c>
      <c r="U135" s="212">
        <v>360.3</v>
      </c>
      <c r="V135" s="212">
        <v>538.79999999999995</v>
      </c>
      <c r="W135" s="212">
        <v>97.7</v>
      </c>
      <c r="X135" s="212">
        <v>65.3</v>
      </c>
      <c r="Z135">
        <v>3242</v>
      </c>
      <c r="AA135" s="212">
        <v>88.3</v>
      </c>
      <c r="AB135" s="212">
        <v>60.9</v>
      </c>
      <c r="AC135" s="212">
        <v>95.4</v>
      </c>
      <c r="AD135" s="212">
        <v>93.5</v>
      </c>
      <c r="AE135" s="212">
        <v>99.3</v>
      </c>
      <c r="AF135" s="212">
        <v>349</v>
      </c>
      <c r="AG135" s="212">
        <v>501.2</v>
      </c>
      <c r="AH135" s="212">
        <v>96.9</v>
      </c>
      <c r="AI135" s="212">
        <v>61.2</v>
      </c>
    </row>
    <row r="136" spans="2:35" x14ac:dyDescent="0.2">
      <c r="B136" t="s">
        <v>277</v>
      </c>
      <c r="D136">
        <v>1398</v>
      </c>
      <c r="E136" s="212">
        <v>85.9</v>
      </c>
      <c r="F136" s="212">
        <v>57.3</v>
      </c>
      <c r="G136" s="212">
        <v>95.6</v>
      </c>
      <c r="H136" s="212">
        <v>94.6</v>
      </c>
      <c r="I136" s="212">
        <v>99.4</v>
      </c>
      <c r="J136" s="212">
        <v>345.5</v>
      </c>
      <c r="K136" s="212">
        <v>526.1</v>
      </c>
      <c r="L136" s="212">
        <v>96.7</v>
      </c>
      <c r="M136" s="212">
        <v>57.9</v>
      </c>
      <c r="O136">
        <v>1379</v>
      </c>
      <c r="P136" s="212">
        <v>90.9</v>
      </c>
      <c r="Q136" s="212">
        <v>65.3</v>
      </c>
      <c r="R136" s="212">
        <v>97.8</v>
      </c>
      <c r="S136" s="212">
        <v>96.4</v>
      </c>
      <c r="T136" s="212">
        <v>99.6</v>
      </c>
      <c r="U136" s="212">
        <v>364.1</v>
      </c>
      <c r="V136" s="212">
        <v>555.20000000000005</v>
      </c>
      <c r="W136" s="212">
        <v>98.2</v>
      </c>
      <c r="X136" s="212">
        <v>65.7</v>
      </c>
      <c r="Z136">
        <v>2777</v>
      </c>
      <c r="AA136" s="212">
        <v>88.4</v>
      </c>
      <c r="AB136" s="212">
        <v>61.3</v>
      </c>
      <c r="AC136" s="212">
        <v>96.7</v>
      </c>
      <c r="AD136" s="212">
        <v>95.5</v>
      </c>
      <c r="AE136" s="212">
        <v>99.5</v>
      </c>
      <c r="AF136" s="212">
        <v>354.7</v>
      </c>
      <c r="AG136" s="212">
        <v>540.6</v>
      </c>
      <c r="AH136" s="212">
        <v>97.4</v>
      </c>
      <c r="AI136" s="212">
        <v>61.8</v>
      </c>
    </row>
    <row r="137" spans="2:35" x14ac:dyDescent="0.2">
      <c r="B137" t="s">
        <v>279</v>
      </c>
      <c r="D137">
        <v>3193</v>
      </c>
      <c r="E137" s="212">
        <v>72.900000000000006</v>
      </c>
      <c r="F137" s="212">
        <v>56.1</v>
      </c>
      <c r="G137" s="212">
        <v>95.3</v>
      </c>
      <c r="H137" s="212">
        <v>93.6</v>
      </c>
      <c r="I137" s="212">
        <v>99.1</v>
      </c>
      <c r="J137" s="212">
        <v>325.10000000000002</v>
      </c>
      <c r="K137" s="212">
        <v>423.6</v>
      </c>
      <c r="L137" s="212">
        <v>96.5</v>
      </c>
      <c r="M137" s="212">
        <v>57.3</v>
      </c>
      <c r="O137">
        <v>3068</v>
      </c>
      <c r="P137" s="212">
        <v>80.900000000000006</v>
      </c>
      <c r="Q137" s="212">
        <v>65.2</v>
      </c>
      <c r="R137" s="212">
        <v>96.6</v>
      </c>
      <c r="S137" s="212">
        <v>95.4</v>
      </c>
      <c r="T137" s="212">
        <v>99.1</v>
      </c>
      <c r="U137" s="212">
        <v>346.3</v>
      </c>
      <c r="V137" s="212">
        <v>458.7</v>
      </c>
      <c r="W137" s="212">
        <v>97.7</v>
      </c>
      <c r="X137" s="212">
        <v>66.099999999999994</v>
      </c>
      <c r="Z137">
        <v>6261</v>
      </c>
      <c r="AA137" s="212">
        <v>76.8</v>
      </c>
      <c r="AB137" s="212">
        <v>60.6</v>
      </c>
      <c r="AC137" s="212">
        <v>95.9</v>
      </c>
      <c r="AD137" s="212">
        <v>94.5</v>
      </c>
      <c r="AE137" s="212">
        <v>99.1</v>
      </c>
      <c r="AF137" s="212">
        <v>335.5</v>
      </c>
      <c r="AG137" s="212">
        <v>440.8</v>
      </c>
      <c r="AH137" s="212">
        <v>97.1</v>
      </c>
      <c r="AI137" s="212">
        <v>61.6</v>
      </c>
    </row>
    <row r="138" spans="2:35" x14ac:dyDescent="0.2">
      <c r="B138" t="s">
        <v>281</v>
      </c>
      <c r="D138">
        <v>941</v>
      </c>
      <c r="E138" s="212">
        <v>59.4</v>
      </c>
      <c r="F138" s="212">
        <v>39.700000000000003</v>
      </c>
      <c r="G138" s="212">
        <v>87</v>
      </c>
      <c r="H138" s="212">
        <v>85.1</v>
      </c>
      <c r="I138" s="212">
        <v>98.6</v>
      </c>
      <c r="J138" s="212">
        <v>282.10000000000002</v>
      </c>
      <c r="K138" s="212">
        <v>357.1</v>
      </c>
      <c r="L138" s="212">
        <v>88.7</v>
      </c>
      <c r="M138" s="212">
        <v>40.299999999999997</v>
      </c>
      <c r="O138">
        <v>923</v>
      </c>
      <c r="P138" s="212">
        <v>71.599999999999994</v>
      </c>
      <c r="Q138" s="212">
        <v>55.6</v>
      </c>
      <c r="R138" s="212">
        <v>93.4</v>
      </c>
      <c r="S138" s="212">
        <v>91.5</v>
      </c>
      <c r="T138" s="212">
        <v>99.2</v>
      </c>
      <c r="U138" s="212">
        <v>321.39999999999998</v>
      </c>
      <c r="V138" s="212">
        <v>418.6</v>
      </c>
      <c r="W138" s="212">
        <v>95</v>
      </c>
      <c r="X138" s="212">
        <v>56.9</v>
      </c>
      <c r="Z138">
        <v>1864</v>
      </c>
      <c r="AA138" s="212">
        <v>65.5</v>
      </c>
      <c r="AB138" s="212">
        <v>47.6</v>
      </c>
      <c r="AC138" s="212">
        <v>90.2</v>
      </c>
      <c r="AD138" s="212">
        <v>88.3</v>
      </c>
      <c r="AE138" s="212">
        <v>98.9</v>
      </c>
      <c r="AF138" s="212">
        <v>301.60000000000002</v>
      </c>
      <c r="AG138" s="212">
        <v>387.6</v>
      </c>
      <c r="AH138" s="212">
        <v>91.8</v>
      </c>
      <c r="AI138" s="212">
        <v>48.5</v>
      </c>
    </row>
    <row r="139" spans="2:35" x14ac:dyDescent="0.2">
      <c r="B139" t="s">
        <v>283</v>
      </c>
      <c r="D139">
        <v>561</v>
      </c>
      <c r="E139" s="212">
        <v>88.8</v>
      </c>
      <c r="F139" s="212">
        <v>60.1</v>
      </c>
      <c r="G139" s="212">
        <v>96.1</v>
      </c>
      <c r="H139" s="212">
        <v>92.7</v>
      </c>
      <c r="I139" s="212">
        <v>99.1</v>
      </c>
      <c r="J139" s="212">
        <v>357.4</v>
      </c>
      <c r="K139" s="212">
        <v>486.6</v>
      </c>
      <c r="L139" s="212">
        <v>95.2</v>
      </c>
      <c r="M139" s="212">
        <v>60.4</v>
      </c>
      <c r="O139">
        <v>531</v>
      </c>
      <c r="P139" s="212">
        <v>90</v>
      </c>
      <c r="Q139" s="212">
        <v>67.2</v>
      </c>
      <c r="R139" s="212">
        <v>97.4</v>
      </c>
      <c r="S139" s="212">
        <v>94.9</v>
      </c>
      <c r="T139" s="212">
        <v>99.4</v>
      </c>
      <c r="U139" s="212">
        <v>367.3</v>
      </c>
      <c r="V139" s="212">
        <v>533</v>
      </c>
      <c r="W139" s="212">
        <v>98.1</v>
      </c>
      <c r="X139" s="212">
        <v>67.400000000000006</v>
      </c>
      <c r="Z139">
        <v>1092</v>
      </c>
      <c r="AA139" s="212">
        <v>89.4</v>
      </c>
      <c r="AB139" s="212">
        <v>63.6</v>
      </c>
      <c r="AC139" s="212">
        <v>96.7</v>
      </c>
      <c r="AD139" s="212">
        <v>93.8</v>
      </c>
      <c r="AE139" s="212">
        <v>99.3</v>
      </c>
      <c r="AF139" s="212">
        <v>362.2</v>
      </c>
      <c r="AG139" s="212">
        <v>509.2</v>
      </c>
      <c r="AH139" s="212">
        <v>96.6</v>
      </c>
      <c r="AI139" s="212">
        <v>63.8</v>
      </c>
    </row>
    <row r="140" spans="2:35" x14ac:dyDescent="0.2">
      <c r="B140" t="s">
        <v>285</v>
      </c>
      <c r="D140">
        <v>823</v>
      </c>
      <c r="E140" s="212">
        <v>91.5</v>
      </c>
      <c r="F140" s="212">
        <v>67.900000000000006</v>
      </c>
      <c r="G140" s="212">
        <v>97.1</v>
      </c>
      <c r="H140" s="212">
        <v>94.8</v>
      </c>
      <c r="I140" s="212">
        <v>99.4</v>
      </c>
      <c r="J140" s="212">
        <v>361.9</v>
      </c>
      <c r="K140" s="212">
        <v>496.7</v>
      </c>
      <c r="L140" s="212">
        <v>97.2</v>
      </c>
      <c r="M140" s="212">
        <v>68.5</v>
      </c>
      <c r="O140">
        <v>847</v>
      </c>
      <c r="P140" s="212">
        <v>93.5</v>
      </c>
      <c r="Q140" s="212">
        <v>74.900000000000006</v>
      </c>
      <c r="R140" s="212">
        <v>98.1</v>
      </c>
      <c r="S140" s="212">
        <v>97.8</v>
      </c>
      <c r="T140" s="212">
        <v>99.8</v>
      </c>
      <c r="U140" s="212">
        <v>375.5</v>
      </c>
      <c r="V140" s="212">
        <v>518.6</v>
      </c>
      <c r="W140" s="212">
        <v>98.7</v>
      </c>
      <c r="X140" s="212">
        <v>74.900000000000006</v>
      </c>
      <c r="Z140">
        <v>1670</v>
      </c>
      <c r="AA140" s="212">
        <v>92.5</v>
      </c>
      <c r="AB140" s="212">
        <v>71.400000000000006</v>
      </c>
      <c r="AC140" s="212">
        <v>97.6</v>
      </c>
      <c r="AD140" s="212">
        <v>96.3</v>
      </c>
      <c r="AE140" s="212">
        <v>99.6</v>
      </c>
      <c r="AF140" s="212">
        <v>368.8</v>
      </c>
      <c r="AG140" s="212">
        <v>507.8</v>
      </c>
      <c r="AH140" s="212">
        <v>98</v>
      </c>
      <c r="AI140" s="212">
        <v>71.7</v>
      </c>
    </row>
    <row r="141" spans="2:35" x14ac:dyDescent="0.2">
      <c r="B141" t="s">
        <v>287</v>
      </c>
      <c r="D141">
        <v>1026</v>
      </c>
      <c r="E141" s="212">
        <v>78.099999999999994</v>
      </c>
      <c r="F141" s="212">
        <v>52.7</v>
      </c>
      <c r="G141" s="212">
        <v>92.6</v>
      </c>
      <c r="H141" s="212">
        <v>90.6</v>
      </c>
      <c r="I141" s="212">
        <v>99</v>
      </c>
      <c r="J141" s="212">
        <v>313.8</v>
      </c>
      <c r="K141" s="212">
        <v>413.7</v>
      </c>
      <c r="L141" s="212">
        <v>95.4</v>
      </c>
      <c r="M141" s="212">
        <v>53.9</v>
      </c>
      <c r="O141">
        <v>1057</v>
      </c>
      <c r="P141" s="212">
        <v>86.4</v>
      </c>
      <c r="Q141" s="212">
        <v>63.3</v>
      </c>
      <c r="R141" s="212">
        <v>97.1</v>
      </c>
      <c r="S141" s="212">
        <v>94.8</v>
      </c>
      <c r="T141" s="212">
        <v>99.8</v>
      </c>
      <c r="U141" s="212">
        <v>349</v>
      </c>
      <c r="V141" s="212">
        <v>477.5</v>
      </c>
      <c r="W141" s="212">
        <v>98.4</v>
      </c>
      <c r="X141" s="212">
        <v>63.7</v>
      </c>
      <c r="Z141">
        <v>2083</v>
      </c>
      <c r="AA141" s="212">
        <v>82.3</v>
      </c>
      <c r="AB141" s="212">
        <v>58.1</v>
      </c>
      <c r="AC141" s="212">
        <v>94.9</v>
      </c>
      <c r="AD141" s="212">
        <v>92.8</v>
      </c>
      <c r="AE141" s="212">
        <v>99.4</v>
      </c>
      <c r="AF141" s="212">
        <v>331.7</v>
      </c>
      <c r="AG141" s="212">
        <v>446</v>
      </c>
      <c r="AH141" s="212">
        <v>96.9</v>
      </c>
      <c r="AI141" s="212">
        <v>58.9</v>
      </c>
    </row>
    <row r="142" spans="2:35" x14ac:dyDescent="0.2">
      <c r="B142" t="s">
        <v>289</v>
      </c>
      <c r="D142">
        <v>5515</v>
      </c>
      <c r="E142" s="212">
        <v>80.900000000000006</v>
      </c>
      <c r="F142" s="212">
        <v>63.3</v>
      </c>
      <c r="G142" s="212">
        <v>95.5</v>
      </c>
      <c r="H142" s="212">
        <v>94.5</v>
      </c>
      <c r="I142" s="212">
        <v>99.3</v>
      </c>
      <c r="J142" s="212">
        <v>337.6</v>
      </c>
      <c r="K142" s="212">
        <v>457</v>
      </c>
      <c r="L142" s="212">
        <v>96.1</v>
      </c>
      <c r="M142" s="212">
        <v>64.7</v>
      </c>
      <c r="O142">
        <v>5144</v>
      </c>
      <c r="P142" s="212">
        <v>87.1</v>
      </c>
      <c r="Q142" s="212">
        <v>71.900000000000006</v>
      </c>
      <c r="R142" s="212">
        <v>96.9</v>
      </c>
      <c r="S142" s="212">
        <v>96.2</v>
      </c>
      <c r="T142" s="212">
        <v>99.4</v>
      </c>
      <c r="U142" s="212">
        <v>358.1</v>
      </c>
      <c r="V142" s="212">
        <v>490.7</v>
      </c>
      <c r="W142" s="212">
        <v>97.3</v>
      </c>
      <c r="X142" s="212">
        <v>72.8</v>
      </c>
      <c r="Z142">
        <v>10659</v>
      </c>
      <c r="AA142" s="212">
        <v>83.9</v>
      </c>
      <c r="AB142" s="212">
        <v>67.5</v>
      </c>
      <c r="AC142" s="212">
        <v>96.2</v>
      </c>
      <c r="AD142" s="212">
        <v>95.3</v>
      </c>
      <c r="AE142" s="212">
        <v>99.3</v>
      </c>
      <c r="AF142" s="212">
        <v>347.5</v>
      </c>
      <c r="AG142" s="212">
        <v>473.3</v>
      </c>
      <c r="AH142" s="212">
        <v>96.7</v>
      </c>
      <c r="AI142" s="212">
        <v>68.599999999999994</v>
      </c>
    </row>
    <row r="143" spans="2:35" x14ac:dyDescent="0.2">
      <c r="B143" t="s">
        <v>291</v>
      </c>
      <c r="D143">
        <v>1012</v>
      </c>
      <c r="E143" s="212">
        <v>72.3</v>
      </c>
      <c r="F143" s="212">
        <v>56.6</v>
      </c>
      <c r="G143" s="212">
        <v>96.2</v>
      </c>
      <c r="H143" s="212">
        <v>94.4</v>
      </c>
      <c r="I143" s="212">
        <v>98.8</v>
      </c>
      <c r="J143" s="212">
        <v>330</v>
      </c>
      <c r="K143" s="212">
        <v>437.9</v>
      </c>
      <c r="L143" s="212">
        <v>96</v>
      </c>
      <c r="M143" s="212">
        <v>57.7</v>
      </c>
      <c r="O143">
        <v>970</v>
      </c>
      <c r="P143" s="212">
        <v>81</v>
      </c>
      <c r="Q143" s="212">
        <v>66.099999999999994</v>
      </c>
      <c r="R143" s="212">
        <v>97.2</v>
      </c>
      <c r="S143" s="212">
        <v>96.3</v>
      </c>
      <c r="T143" s="212">
        <v>99.6</v>
      </c>
      <c r="U143" s="212">
        <v>351</v>
      </c>
      <c r="V143" s="212">
        <v>472.8</v>
      </c>
      <c r="W143" s="212">
        <v>98</v>
      </c>
      <c r="X143" s="212">
        <v>66.8</v>
      </c>
      <c r="Z143">
        <v>1982</v>
      </c>
      <c r="AA143" s="212">
        <v>76.599999999999994</v>
      </c>
      <c r="AB143" s="212">
        <v>61.3</v>
      </c>
      <c r="AC143" s="212">
        <v>96.7</v>
      </c>
      <c r="AD143" s="212">
        <v>95.3</v>
      </c>
      <c r="AE143" s="212">
        <v>99.2</v>
      </c>
      <c r="AF143" s="212">
        <v>340.3</v>
      </c>
      <c r="AG143" s="212">
        <v>455</v>
      </c>
      <c r="AH143" s="212">
        <v>97</v>
      </c>
      <c r="AI143" s="212">
        <v>62.2</v>
      </c>
    </row>
    <row r="144" spans="2:35" x14ac:dyDescent="0.2">
      <c r="B144" t="s">
        <v>293</v>
      </c>
      <c r="D144">
        <v>4250</v>
      </c>
      <c r="E144" s="212">
        <v>74.5</v>
      </c>
      <c r="F144" s="212">
        <v>53.6</v>
      </c>
      <c r="G144" s="212">
        <v>94.3</v>
      </c>
      <c r="H144" s="212">
        <v>93.2</v>
      </c>
      <c r="I144" s="212">
        <v>99.3</v>
      </c>
      <c r="J144" s="212">
        <v>325</v>
      </c>
      <c r="K144" s="212">
        <v>430.1</v>
      </c>
      <c r="L144" s="212">
        <v>95.6</v>
      </c>
      <c r="M144" s="212">
        <v>54.5</v>
      </c>
      <c r="O144">
        <v>4035</v>
      </c>
      <c r="P144" s="212">
        <v>83.7</v>
      </c>
      <c r="Q144" s="212">
        <v>66.400000000000006</v>
      </c>
      <c r="R144" s="212">
        <v>96.5</v>
      </c>
      <c r="S144" s="212">
        <v>95.5</v>
      </c>
      <c r="T144" s="212">
        <v>99.5</v>
      </c>
      <c r="U144" s="212">
        <v>352</v>
      </c>
      <c r="V144" s="212">
        <v>473.7</v>
      </c>
      <c r="W144" s="212">
        <v>97.2</v>
      </c>
      <c r="X144" s="212">
        <v>67.099999999999994</v>
      </c>
      <c r="Z144">
        <v>8285</v>
      </c>
      <c r="AA144" s="212">
        <v>79</v>
      </c>
      <c r="AB144" s="212">
        <v>59.9</v>
      </c>
      <c r="AC144" s="212">
        <v>95.4</v>
      </c>
      <c r="AD144" s="212">
        <v>94.3</v>
      </c>
      <c r="AE144" s="212">
        <v>99.4</v>
      </c>
      <c r="AF144" s="212">
        <v>338.2</v>
      </c>
      <c r="AG144" s="212">
        <v>451.3</v>
      </c>
      <c r="AH144" s="212">
        <v>96.4</v>
      </c>
      <c r="AI144" s="212">
        <v>60.6</v>
      </c>
    </row>
    <row r="145" spans="2:35" x14ac:dyDescent="0.2">
      <c r="B145" t="s">
        <v>295</v>
      </c>
      <c r="D145">
        <v>814</v>
      </c>
      <c r="E145" s="212">
        <v>84.4</v>
      </c>
      <c r="F145" s="212">
        <v>65.099999999999994</v>
      </c>
      <c r="G145" s="212">
        <v>97.7</v>
      </c>
      <c r="H145" s="212">
        <v>97.1</v>
      </c>
      <c r="I145" s="212">
        <v>99.5</v>
      </c>
      <c r="J145" s="212">
        <v>344.7</v>
      </c>
      <c r="K145" s="212">
        <v>478.5</v>
      </c>
      <c r="L145" s="212">
        <v>97.9</v>
      </c>
      <c r="M145" s="212">
        <v>66.5</v>
      </c>
      <c r="O145">
        <v>801</v>
      </c>
      <c r="P145" s="212">
        <v>89.5</v>
      </c>
      <c r="Q145" s="212">
        <v>71.5</v>
      </c>
      <c r="R145" s="212">
        <v>97.5</v>
      </c>
      <c r="S145" s="212">
        <v>96.8</v>
      </c>
      <c r="T145" s="212">
        <v>99.3</v>
      </c>
      <c r="U145" s="212">
        <v>362.5</v>
      </c>
      <c r="V145" s="212">
        <v>521.20000000000005</v>
      </c>
      <c r="W145" s="212">
        <v>98.8</v>
      </c>
      <c r="X145" s="212">
        <v>72.3</v>
      </c>
      <c r="Z145">
        <v>1615</v>
      </c>
      <c r="AA145" s="212">
        <v>86.9</v>
      </c>
      <c r="AB145" s="212">
        <v>68.3</v>
      </c>
      <c r="AC145" s="212">
        <v>97.6</v>
      </c>
      <c r="AD145" s="212">
        <v>96.9</v>
      </c>
      <c r="AE145" s="212">
        <v>99.4</v>
      </c>
      <c r="AF145" s="212">
        <v>353.5</v>
      </c>
      <c r="AG145" s="212">
        <v>499.7</v>
      </c>
      <c r="AH145" s="212">
        <v>98.3</v>
      </c>
      <c r="AI145" s="212">
        <v>69.3</v>
      </c>
    </row>
    <row r="146" spans="2:35" x14ac:dyDescent="0.2">
      <c r="B146" t="s">
        <v>297</v>
      </c>
      <c r="D146">
        <v>869</v>
      </c>
      <c r="E146" s="212">
        <v>79.3</v>
      </c>
      <c r="F146" s="212">
        <v>63.2</v>
      </c>
      <c r="G146" s="212">
        <v>95.3</v>
      </c>
      <c r="H146" s="212">
        <v>94.2</v>
      </c>
      <c r="I146" s="212">
        <v>98.6</v>
      </c>
      <c r="J146" s="212">
        <v>337.5</v>
      </c>
      <c r="K146" s="212">
        <v>454.1</v>
      </c>
      <c r="L146" s="212">
        <v>95.6</v>
      </c>
      <c r="M146" s="212">
        <v>65.5</v>
      </c>
      <c r="O146">
        <v>823</v>
      </c>
      <c r="P146" s="212">
        <v>92</v>
      </c>
      <c r="Q146" s="212">
        <v>78.5</v>
      </c>
      <c r="R146" s="212">
        <v>98.5</v>
      </c>
      <c r="S146" s="212">
        <v>98.3</v>
      </c>
      <c r="T146" s="212">
        <v>99.8</v>
      </c>
      <c r="U146" s="212">
        <v>369.7</v>
      </c>
      <c r="V146" s="212">
        <v>504.4</v>
      </c>
      <c r="W146" s="212">
        <v>98.8</v>
      </c>
      <c r="X146" s="212">
        <v>79</v>
      </c>
      <c r="Z146">
        <v>1692</v>
      </c>
      <c r="AA146" s="212">
        <v>85.5</v>
      </c>
      <c r="AB146" s="212">
        <v>70.599999999999994</v>
      </c>
      <c r="AC146" s="212">
        <v>96.9</v>
      </c>
      <c r="AD146" s="212">
        <v>96.2</v>
      </c>
      <c r="AE146" s="212">
        <v>99.2</v>
      </c>
      <c r="AF146" s="212">
        <v>353.1</v>
      </c>
      <c r="AG146" s="212">
        <v>478.6</v>
      </c>
      <c r="AH146" s="212">
        <v>97.2</v>
      </c>
      <c r="AI146" s="212">
        <v>72</v>
      </c>
    </row>
    <row r="147" spans="2:35" x14ac:dyDescent="0.2">
      <c r="B147" t="s">
        <v>388</v>
      </c>
      <c r="D147">
        <v>28836</v>
      </c>
      <c r="E147" s="212">
        <v>75.8</v>
      </c>
      <c r="F147" s="212">
        <v>53.9</v>
      </c>
      <c r="G147" s="212">
        <v>95.1</v>
      </c>
      <c r="H147" s="212">
        <v>92.8</v>
      </c>
      <c r="I147" s="212">
        <v>99.3</v>
      </c>
      <c r="J147" s="212">
        <v>327.10000000000002</v>
      </c>
      <c r="K147" s="212">
        <v>437.5</v>
      </c>
      <c r="L147" s="212">
        <v>95.2</v>
      </c>
      <c r="M147" s="212">
        <v>55</v>
      </c>
      <c r="O147">
        <v>27513</v>
      </c>
      <c r="P147" s="212">
        <v>84</v>
      </c>
      <c r="Q147" s="212">
        <v>65.3</v>
      </c>
      <c r="R147" s="212">
        <v>97.1</v>
      </c>
      <c r="S147" s="212">
        <v>95.5</v>
      </c>
      <c r="T147" s="212">
        <v>99.6</v>
      </c>
      <c r="U147" s="212">
        <v>351.7</v>
      </c>
      <c r="V147" s="212">
        <v>480.6</v>
      </c>
      <c r="W147" s="212">
        <v>97.5</v>
      </c>
      <c r="X147" s="212">
        <v>65.900000000000006</v>
      </c>
      <c r="Z147">
        <v>56349</v>
      </c>
      <c r="AA147" s="212">
        <v>79.8</v>
      </c>
      <c r="AB147" s="212">
        <v>59.5</v>
      </c>
      <c r="AC147" s="212">
        <v>96.1</v>
      </c>
      <c r="AD147" s="212">
        <v>94.1</v>
      </c>
      <c r="AE147" s="212">
        <v>99.4</v>
      </c>
      <c r="AF147" s="212">
        <v>339.1</v>
      </c>
      <c r="AG147" s="212">
        <v>458.6</v>
      </c>
      <c r="AH147" s="212">
        <v>96.3</v>
      </c>
      <c r="AI147" s="212">
        <v>60.3</v>
      </c>
    </row>
    <row r="148" spans="2:35" x14ac:dyDescent="0.2">
      <c r="B148" t="s">
        <v>302</v>
      </c>
      <c r="D148">
        <v>1076</v>
      </c>
      <c r="E148" s="212">
        <v>78.3</v>
      </c>
      <c r="F148" s="212">
        <v>58.1</v>
      </c>
      <c r="G148" s="212">
        <v>95.3</v>
      </c>
      <c r="H148" s="212">
        <v>94.3</v>
      </c>
      <c r="I148" s="212">
        <v>99.8</v>
      </c>
      <c r="J148" s="212">
        <v>335.2</v>
      </c>
      <c r="K148" s="212">
        <v>434.7</v>
      </c>
      <c r="L148" s="212">
        <v>96.4</v>
      </c>
      <c r="M148" s="212">
        <v>59.1</v>
      </c>
      <c r="O148">
        <v>1139</v>
      </c>
      <c r="P148" s="212">
        <v>85.9</v>
      </c>
      <c r="Q148" s="212">
        <v>68.7</v>
      </c>
      <c r="R148" s="212">
        <v>96.6</v>
      </c>
      <c r="S148" s="212">
        <v>95.7</v>
      </c>
      <c r="T148" s="212">
        <v>99.7</v>
      </c>
      <c r="U148" s="212">
        <v>352.6</v>
      </c>
      <c r="V148" s="212">
        <v>465.6</v>
      </c>
      <c r="W148" s="212">
        <v>97.5</v>
      </c>
      <c r="X148" s="212">
        <v>69.099999999999994</v>
      </c>
      <c r="Z148">
        <v>2215</v>
      </c>
      <c r="AA148" s="212">
        <v>82.2</v>
      </c>
      <c r="AB148" s="212">
        <v>63.6</v>
      </c>
      <c r="AC148" s="212">
        <v>95.9</v>
      </c>
      <c r="AD148" s="212">
        <v>95</v>
      </c>
      <c r="AE148" s="212">
        <v>99.8</v>
      </c>
      <c r="AF148" s="212">
        <v>344.2</v>
      </c>
      <c r="AG148" s="212">
        <v>450.6</v>
      </c>
      <c r="AH148" s="212">
        <v>96.9</v>
      </c>
      <c r="AI148" s="212">
        <v>64.2</v>
      </c>
    </row>
    <row r="149" spans="2:35" x14ac:dyDescent="0.2">
      <c r="B149" t="s">
        <v>304</v>
      </c>
      <c r="D149">
        <v>881</v>
      </c>
      <c r="E149" s="212">
        <v>80.900000000000006</v>
      </c>
      <c r="F149" s="212">
        <v>58</v>
      </c>
      <c r="G149" s="212">
        <v>93.2</v>
      </c>
      <c r="H149" s="212">
        <v>90.5</v>
      </c>
      <c r="I149" s="212">
        <v>98.9</v>
      </c>
      <c r="J149" s="212">
        <v>330.6</v>
      </c>
      <c r="K149" s="212">
        <v>462.6</v>
      </c>
      <c r="L149" s="212">
        <v>92.4</v>
      </c>
      <c r="M149" s="212">
        <v>59.7</v>
      </c>
      <c r="O149">
        <v>845</v>
      </c>
      <c r="P149" s="212">
        <v>91.5</v>
      </c>
      <c r="Q149" s="212">
        <v>68.2</v>
      </c>
      <c r="R149" s="212">
        <v>98.7</v>
      </c>
      <c r="S149" s="212">
        <v>96.8</v>
      </c>
      <c r="T149" s="212">
        <v>99.9</v>
      </c>
      <c r="U149" s="212">
        <v>362.1</v>
      </c>
      <c r="V149" s="212">
        <v>535.5</v>
      </c>
      <c r="W149" s="212">
        <v>98.5</v>
      </c>
      <c r="X149" s="212">
        <v>68.599999999999994</v>
      </c>
      <c r="Z149">
        <v>1726</v>
      </c>
      <c r="AA149" s="212">
        <v>86.1</v>
      </c>
      <c r="AB149" s="212">
        <v>63</v>
      </c>
      <c r="AC149" s="212">
        <v>95.9</v>
      </c>
      <c r="AD149" s="212">
        <v>93.6</v>
      </c>
      <c r="AE149" s="212">
        <v>99.4</v>
      </c>
      <c r="AF149" s="212">
        <v>346</v>
      </c>
      <c r="AG149" s="212">
        <v>498.3</v>
      </c>
      <c r="AH149" s="212">
        <v>95.4</v>
      </c>
      <c r="AI149" s="212">
        <v>64.099999999999994</v>
      </c>
    </row>
    <row r="150" spans="2:35" x14ac:dyDescent="0.2">
      <c r="B150" t="s">
        <v>306</v>
      </c>
      <c r="D150">
        <v>1629</v>
      </c>
      <c r="E150" s="212">
        <v>76.5</v>
      </c>
      <c r="F150" s="212">
        <v>45.5</v>
      </c>
      <c r="G150" s="212">
        <v>90.4</v>
      </c>
      <c r="H150" s="212">
        <v>87.5</v>
      </c>
      <c r="I150" s="212">
        <v>98.4</v>
      </c>
      <c r="J150" s="212">
        <v>312</v>
      </c>
      <c r="K150" s="212">
        <v>414.8</v>
      </c>
      <c r="L150" s="212">
        <v>92.1</v>
      </c>
      <c r="M150" s="212">
        <v>46</v>
      </c>
      <c r="O150">
        <v>1633</v>
      </c>
      <c r="P150" s="212">
        <v>86</v>
      </c>
      <c r="Q150" s="212">
        <v>59</v>
      </c>
      <c r="R150" s="212">
        <v>94.9</v>
      </c>
      <c r="S150" s="212">
        <v>92.8</v>
      </c>
      <c r="T150" s="212">
        <v>99.2</v>
      </c>
      <c r="U150" s="212">
        <v>347.9</v>
      </c>
      <c r="V150" s="212">
        <v>481.1</v>
      </c>
      <c r="W150" s="212">
        <v>95.5</v>
      </c>
      <c r="X150" s="212">
        <v>59.4</v>
      </c>
      <c r="Z150">
        <v>3262</v>
      </c>
      <c r="AA150" s="212">
        <v>81.2</v>
      </c>
      <c r="AB150" s="212">
        <v>52.3</v>
      </c>
      <c r="AC150" s="212">
        <v>92.6</v>
      </c>
      <c r="AD150" s="212">
        <v>90.1</v>
      </c>
      <c r="AE150" s="212">
        <v>98.8</v>
      </c>
      <c r="AF150" s="212">
        <v>330</v>
      </c>
      <c r="AG150" s="212">
        <v>448</v>
      </c>
      <c r="AH150" s="212">
        <v>93.8</v>
      </c>
      <c r="AI150" s="212">
        <v>52.7</v>
      </c>
    </row>
    <row r="151" spans="2:35" x14ac:dyDescent="0.2">
      <c r="B151" t="s">
        <v>308</v>
      </c>
      <c r="D151">
        <v>2981</v>
      </c>
      <c r="E151" s="212">
        <v>73.8</v>
      </c>
      <c r="F151" s="212">
        <v>54.3</v>
      </c>
      <c r="G151" s="212">
        <v>96.2</v>
      </c>
      <c r="H151" s="212">
        <v>94.5</v>
      </c>
      <c r="I151" s="212">
        <v>99.4</v>
      </c>
      <c r="J151" s="212">
        <v>321.89999999999998</v>
      </c>
      <c r="K151" s="212">
        <v>436.2</v>
      </c>
      <c r="L151" s="212">
        <v>96.6</v>
      </c>
      <c r="M151" s="212">
        <v>56</v>
      </c>
      <c r="O151">
        <v>2871</v>
      </c>
      <c r="P151" s="212">
        <v>82.2</v>
      </c>
      <c r="Q151" s="212">
        <v>65.099999999999994</v>
      </c>
      <c r="R151" s="212">
        <v>97.9</v>
      </c>
      <c r="S151" s="212">
        <v>96.3</v>
      </c>
      <c r="T151" s="212">
        <v>99.8</v>
      </c>
      <c r="U151" s="212">
        <v>347.7</v>
      </c>
      <c r="V151" s="212">
        <v>486.7</v>
      </c>
      <c r="W151" s="212">
        <v>97.9</v>
      </c>
      <c r="X151" s="212">
        <v>66.2</v>
      </c>
      <c r="Z151">
        <v>5852</v>
      </c>
      <c r="AA151" s="212">
        <v>77.900000000000006</v>
      </c>
      <c r="AB151" s="212">
        <v>59.6</v>
      </c>
      <c r="AC151" s="212">
        <v>97</v>
      </c>
      <c r="AD151" s="212">
        <v>95.4</v>
      </c>
      <c r="AE151" s="212">
        <v>99.6</v>
      </c>
      <c r="AF151" s="212">
        <v>334.5</v>
      </c>
      <c r="AG151" s="212">
        <v>461</v>
      </c>
      <c r="AH151" s="212">
        <v>97.3</v>
      </c>
      <c r="AI151" s="212">
        <v>61</v>
      </c>
    </row>
    <row r="152" spans="2:35" x14ac:dyDescent="0.2">
      <c r="B152" t="s">
        <v>310</v>
      </c>
      <c r="D152">
        <v>4073</v>
      </c>
      <c r="E152" s="212">
        <v>72.900000000000006</v>
      </c>
      <c r="F152" s="212">
        <v>52.6</v>
      </c>
      <c r="G152" s="212">
        <v>95</v>
      </c>
      <c r="H152" s="212">
        <v>93.4</v>
      </c>
      <c r="I152" s="212">
        <v>99.3</v>
      </c>
      <c r="J152" s="212">
        <v>322.89999999999998</v>
      </c>
      <c r="K152" s="212">
        <v>426.5</v>
      </c>
      <c r="L152" s="212">
        <v>95.9</v>
      </c>
      <c r="M152" s="212">
        <v>53.9</v>
      </c>
      <c r="O152">
        <v>3656</v>
      </c>
      <c r="P152" s="212">
        <v>83.6</v>
      </c>
      <c r="Q152" s="212">
        <v>67.5</v>
      </c>
      <c r="R152" s="212">
        <v>97.6</v>
      </c>
      <c r="S152" s="212">
        <v>96.5</v>
      </c>
      <c r="T152" s="212">
        <v>99.5</v>
      </c>
      <c r="U152" s="212">
        <v>352.1</v>
      </c>
      <c r="V152" s="212">
        <v>478.6</v>
      </c>
      <c r="W152" s="212">
        <v>98.4</v>
      </c>
      <c r="X152" s="212">
        <v>68.099999999999994</v>
      </c>
      <c r="Z152">
        <v>7729</v>
      </c>
      <c r="AA152" s="212">
        <v>78</v>
      </c>
      <c r="AB152" s="212">
        <v>59.6</v>
      </c>
      <c r="AC152" s="212">
        <v>96.2</v>
      </c>
      <c r="AD152" s="212">
        <v>94.9</v>
      </c>
      <c r="AE152" s="212">
        <v>99.4</v>
      </c>
      <c r="AF152" s="212">
        <v>336.7</v>
      </c>
      <c r="AG152" s="212">
        <v>451.1</v>
      </c>
      <c r="AH152" s="212">
        <v>97</v>
      </c>
      <c r="AI152" s="212">
        <v>60.6</v>
      </c>
    </row>
    <row r="153" spans="2:35" x14ac:dyDescent="0.2">
      <c r="B153" t="s">
        <v>312</v>
      </c>
      <c r="D153">
        <v>2243</v>
      </c>
      <c r="E153" s="212">
        <v>72</v>
      </c>
      <c r="F153" s="212">
        <v>53.1</v>
      </c>
      <c r="G153" s="212">
        <v>96.6</v>
      </c>
      <c r="H153" s="212">
        <v>95.1</v>
      </c>
      <c r="I153" s="212">
        <v>99.3</v>
      </c>
      <c r="J153" s="212">
        <v>326.7</v>
      </c>
      <c r="K153" s="212">
        <v>435.1</v>
      </c>
      <c r="L153" s="212">
        <v>97.1</v>
      </c>
      <c r="M153" s="212">
        <v>54.2</v>
      </c>
      <c r="O153">
        <v>2115</v>
      </c>
      <c r="P153" s="212">
        <v>80.2</v>
      </c>
      <c r="Q153" s="212">
        <v>65</v>
      </c>
      <c r="R153" s="212">
        <v>97.8</v>
      </c>
      <c r="S153" s="212">
        <v>96.5</v>
      </c>
      <c r="T153" s="212">
        <v>99.8</v>
      </c>
      <c r="U153" s="212">
        <v>349.9</v>
      </c>
      <c r="V153" s="212">
        <v>473.4</v>
      </c>
      <c r="W153" s="212">
        <v>98.1</v>
      </c>
      <c r="X153" s="212">
        <v>65.900000000000006</v>
      </c>
      <c r="Z153">
        <v>4358</v>
      </c>
      <c r="AA153" s="212">
        <v>76</v>
      </c>
      <c r="AB153" s="212">
        <v>58.9</v>
      </c>
      <c r="AC153" s="212">
        <v>97.2</v>
      </c>
      <c r="AD153" s="212">
        <v>95.7</v>
      </c>
      <c r="AE153" s="212">
        <v>99.6</v>
      </c>
      <c r="AF153" s="212">
        <v>338</v>
      </c>
      <c r="AG153" s="212">
        <v>453.7</v>
      </c>
      <c r="AH153" s="212">
        <v>97.6</v>
      </c>
      <c r="AI153" s="212">
        <v>59.9</v>
      </c>
    </row>
    <row r="154" spans="2:35" x14ac:dyDescent="0.2">
      <c r="B154" t="s">
        <v>314</v>
      </c>
      <c r="D154">
        <v>3433</v>
      </c>
      <c r="E154" s="212">
        <v>79.900000000000006</v>
      </c>
      <c r="F154" s="212">
        <v>57.2</v>
      </c>
      <c r="G154" s="212">
        <v>95.5</v>
      </c>
      <c r="H154" s="212">
        <v>92.3</v>
      </c>
      <c r="I154" s="212">
        <v>99.3</v>
      </c>
      <c r="J154" s="212">
        <v>338</v>
      </c>
      <c r="K154" s="212">
        <v>444</v>
      </c>
      <c r="L154" s="212">
        <v>94.4</v>
      </c>
      <c r="M154" s="212">
        <v>58.2</v>
      </c>
      <c r="O154">
        <v>3326</v>
      </c>
      <c r="P154" s="212">
        <v>86.1</v>
      </c>
      <c r="Q154" s="212">
        <v>66.5</v>
      </c>
      <c r="R154" s="212">
        <v>97.4</v>
      </c>
      <c r="S154" s="212">
        <v>94.1</v>
      </c>
      <c r="T154" s="212">
        <v>99.5</v>
      </c>
      <c r="U154" s="212">
        <v>358.6</v>
      </c>
      <c r="V154" s="212">
        <v>475.4</v>
      </c>
      <c r="W154" s="212">
        <v>95.8</v>
      </c>
      <c r="X154" s="212">
        <v>67</v>
      </c>
      <c r="Z154">
        <v>6759</v>
      </c>
      <c r="AA154" s="212">
        <v>83</v>
      </c>
      <c r="AB154" s="212">
        <v>61.8</v>
      </c>
      <c r="AC154" s="212">
        <v>96.4</v>
      </c>
      <c r="AD154" s="212">
        <v>93.2</v>
      </c>
      <c r="AE154" s="212">
        <v>99.4</v>
      </c>
      <c r="AF154" s="212">
        <v>348.2</v>
      </c>
      <c r="AG154" s="212">
        <v>459.4</v>
      </c>
      <c r="AH154" s="212">
        <v>95.1</v>
      </c>
      <c r="AI154" s="212">
        <v>62.5</v>
      </c>
    </row>
    <row r="155" spans="2:35" x14ac:dyDescent="0.2">
      <c r="B155" t="s">
        <v>300</v>
      </c>
      <c r="D155">
        <v>10</v>
      </c>
      <c r="E155" s="212">
        <v>90</v>
      </c>
      <c r="F155" s="212">
        <v>90</v>
      </c>
      <c r="G155" s="212">
        <v>100</v>
      </c>
      <c r="H155" s="212">
        <v>100</v>
      </c>
      <c r="I155" s="212">
        <v>100</v>
      </c>
      <c r="J155" s="212">
        <v>356.7</v>
      </c>
      <c r="K155" s="212">
        <v>422.9</v>
      </c>
      <c r="L155" s="212">
        <v>100</v>
      </c>
      <c r="M155" s="212">
        <v>90</v>
      </c>
      <c r="O155">
        <v>11</v>
      </c>
      <c r="P155" s="212">
        <v>81.8</v>
      </c>
      <c r="Q155" s="212">
        <v>72.7</v>
      </c>
      <c r="R155" s="212">
        <v>100</v>
      </c>
      <c r="S155" s="212">
        <v>90.9</v>
      </c>
      <c r="T155" s="212">
        <v>100</v>
      </c>
      <c r="U155" s="212">
        <v>369.6</v>
      </c>
      <c r="V155" s="212">
        <v>472.5</v>
      </c>
      <c r="W155" s="212">
        <v>100</v>
      </c>
      <c r="X155" s="212">
        <v>72.7</v>
      </c>
      <c r="Z155">
        <v>21</v>
      </c>
      <c r="AA155" s="212">
        <v>85.7</v>
      </c>
      <c r="AB155" s="212">
        <v>81</v>
      </c>
      <c r="AC155" s="212">
        <v>100</v>
      </c>
      <c r="AD155" s="212">
        <v>95.2</v>
      </c>
      <c r="AE155" s="212">
        <v>100</v>
      </c>
      <c r="AF155" s="212">
        <v>363.4</v>
      </c>
      <c r="AG155" s="212">
        <v>448.9</v>
      </c>
      <c r="AH155" s="212">
        <v>100</v>
      </c>
      <c r="AI155" s="212">
        <v>81</v>
      </c>
    </row>
    <row r="156" spans="2:35" x14ac:dyDescent="0.2">
      <c r="B156" t="s">
        <v>316</v>
      </c>
      <c r="D156">
        <v>1191</v>
      </c>
      <c r="E156" s="212">
        <v>74.2</v>
      </c>
      <c r="F156" s="212">
        <v>54.6</v>
      </c>
      <c r="G156" s="212">
        <v>95.2</v>
      </c>
      <c r="H156" s="212">
        <v>93.5</v>
      </c>
      <c r="I156" s="212">
        <v>98.9</v>
      </c>
      <c r="J156" s="212">
        <v>327.10000000000002</v>
      </c>
      <c r="K156" s="212">
        <v>449.5</v>
      </c>
      <c r="L156" s="212">
        <v>95.8</v>
      </c>
      <c r="M156" s="212">
        <v>55.3</v>
      </c>
      <c r="O156">
        <v>1055</v>
      </c>
      <c r="P156" s="212">
        <v>80.400000000000006</v>
      </c>
      <c r="Q156" s="212">
        <v>63</v>
      </c>
      <c r="R156" s="212">
        <v>96.6</v>
      </c>
      <c r="S156" s="212">
        <v>95.4</v>
      </c>
      <c r="T156" s="212">
        <v>99.5</v>
      </c>
      <c r="U156" s="212">
        <v>346.9</v>
      </c>
      <c r="V156" s="212">
        <v>483.9</v>
      </c>
      <c r="W156" s="212">
        <v>97.6</v>
      </c>
      <c r="X156" s="212">
        <v>63.8</v>
      </c>
      <c r="Z156">
        <v>2246</v>
      </c>
      <c r="AA156" s="212">
        <v>77.099999999999994</v>
      </c>
      <c r="AB156" s="212">
        <v>58.5</v>
      </c>
      <c r="AC156" s="212">
        <v>95.9</v>
      </c>
      <c r="AD156" s="212">
        <v>94.4</v>
      </c>
      <c r="AE156" s="212">
        <v>99.2</v>
      </c>
      <c r="AF156" s="212">
        <v>336.4</v>
      </c>
      <c r="AG156" s="212">
        <v>465.7</v>
      </c>
      <c r="AH156" s="212">
        <v>96.7</v>
      </c>
      <c r="AI156" s="212">
        <v>59.3</v>
      </c>
    </row>
    <row r="157" spans="2:35" x14ac:dyDescent="0.2">
      <c r="B157" t="s">
        <v>318</v>
      </c>
      <c r="D157">
        <v>1393</v>
      </c>
      <c r="E157" s="212">
        <v>82.1</v>
      </c>
      <c r="F157" s="212">
        <v>55.3</v>
      </c>
      <c r="G157" s="212">
        <v>94.9</v>
      </c>
      <c r="H157" s="212">
        <v>93.8</v>
      </c>
      <c r="I157" s="212">
        <v>98.8</v>
      </c>
      <c r="J157" s="212">
        <v>329.7</v>
      </c>
      <c r="K157" s="212">
        <v>445.6</v>
      </c>
      <c r="L157" s="212">
        <v>95.5</v>
      </c>
      <c r="M157" s="212">
        <v>56.1</v>
      </c>
      <c r="O157">
        <v>1447</v>
      </c>
      <c r="P157" s="212">
        <v>89.6</v>
      </c>
      <c r="Q157" s="212">
        <v>66.099999999999994</v>
      </c>
      <c r="R157" s="212">
        <v>97.3</v>
      </c>
      <c r="S157" s="212">
        <v>95.7</v>
      </c>
      <c r="T157" s="212">
        <v>99.5</v>
      </c>
      <c r="U157" s="212">
        <v>353.7</v>
      </c>
      <c r="V157" s="212">
        <v>491.7</v>
      </c>
      <c r="W157" s="212">
        <v>98</v>
      </c>
      <c r="X157" s="212">
        <v>66.599999999999994</v>
      </c>
      <c r="Z157">
        <v>2840</v>
      </c>
      <c r="AA157" s="212">
        <v>85.9</v>
      </c>
      <c r="AB157" s="212">
        <v>60.8</v>
      </c>
      <c r="AC157" s="212">
        <v>96.1</v>
      </c>
      <c r="AD157" s="212">
        <v>94.8</v>
      </c>
      <c r="AE157" s="212">
        <v>99.2</v>
      </c>
      <c r="AF157" s="212">
        <v>342</v>
      </c>
      <c r="AG157" s="212">
        <v>469.1</v>
      </c>
      <c r="AH157" s="212">
        <v>96.8</v>
      </c>
      <c r="AI157" s="212">
        <v>61.4</v>
      </c>
    </row>
    <row r="158" spans="2:35" x14ac:dyDescent="0.2">
      <c r="B158" t="s">
        <v>320</v>
      </c>
      <c r="D158">
        <v>805</v>
      </c>
      <c r="E158" s="212">
        <v>77.8</v>
      </c>
      <c r="F158" s="212">
        <v>58.6</v>
      </c>
      <c r="G158" s="212">
        <v>95.4</v>
      </c>
      <c r="H158" s="212">
        <v>95</v>
      </c>
      <c r="I158" s="212">
        <v>98.9</v>
      </c>
      <c r="J158" s="212">
        <v>336.4</v>
      </c>
      <c r="K158" s="212">
        <v>442.9</v>
      </c>
      <c r="L158" s="212">
        <v>96.9</v>
      </c>
      <c r="M158" s="212">
        <v>60.1</v>
      </c>
      <c r="O158">
        <v>843</v>
      </c>
      <c r="P158" s="212">
        <v>81.5</v>
      </c>
      <c r="Q158" s="212">
        <v>65.8</v>
      </c>
      <c r="R158" s="212">
        <v>95.8</v>
      </c>
      <c r="S158" s="212">
        <v>95.1</v>
      </c>
      <c r="T158" s="212">
        <v>99.4</v>
      </c>
      <c r="U158" s="212">
        <v>351.6</v>
      </c>
      <c r="V158" s="212">
        <v>461.6</v>
      </c>
      <c r="W158" s="212">
        <v>97.9</v>
      </c>
      <c r="X158" s="212">
        <v>67</v>
      </c>
      <c r="Z158">
        <v>1648</v>
      </c>
      <c r="AA158" s="212">
        <v>79.7</v>
      </c>
      <c r="AB158" s="212">
        <v>62.3</v>
      </c>
      <c r="AC158" s="212">
        <v>95.6</v>
      </c>
      <c r="AD158" s="212">
        <v>95.1</v>
      </c>
      <c r="AE158" s="212">
        <v>99.2</v>
      </c>
      <c r="AF158" s="212">
        <v>344.2</v>
      </c>
      <c r="AG158" s="212">
        <v>452.5</v>
      </c>
      <c r="AH158" s="212">
        <v>97.4</v>
      </c>
      <c r="AI158" s="212">
        <v>63.7</v>
      </c>
    </row>
    <row r="159" spans="2:35" x14ac:dyDescent="0.2">
      <c r="B159" t="s">
        <v>322</v>
      </c>
      <c r="D159">
        <v>2899</v>
      </c>
      <c r="E159" s="212">
        <v>76</v>
      </c>
      <c r="F159" s="212">
        <v>53</v>
      </c>
      <c r="G159" s="212">
        <v>96</v>
      </c>
      <c r="H159" s="212">
        <v>94.3</v>
      </c>
      <c r="I159" s="212">
        <v>99.4</v>
      </c>
      <c r="J159" s="212">
        <v>329.1</v>
      </c>
      <c r="K159" s="212">
        <v>442.4</v>
      </c>
      <c r="L159" s="212">
        <v>96.8</v>
      </c>
      <c r="M159" s="212">
        <v>53.8</v>
      </c>
      <c r="O159">
        <v>2682</v>
      </c>
      <c r="P159" s="212">
        <v>82.4</v>
      </c>
      <c r="Q159" s="212">
        <v>63.3</v>
      </c>
      <c r="R159" s="212">
        <v>97.1</v>
      </c>
      <c r="S159" s="212">
        <v>95.6</v>
      </c>
      <c r="T159" s="212">
        <v>99.6</v>
      </c>
      <c r="U159" s="212">
        <v>350.3</v>
      </c>
      <c r="V159" s="212">
        <v>477.8</v>
      </c>
      <c r="W159" s="212">
        <v>97.9</v>
      </c>
      <c r="X159" s="212">
        <v>63.9</v>
      </c>
      <c r="Z159">
        <v>5581</v>
      </c>
      <c r="AA159" s="212">
        <v>79.099999999999994</v>
      </c>
      <c r="AB159" s="212">
        <v>58</v>
      </c>
      <c r="AC159" s="212">
        <v>96.5</v>
      </c>
      <c r="AD159" s="212">
        <v>94.9</v>
      </c>
      <c r="AE159" s="212">
        <v>99.5</v>
      </c>
      <c r="AF159" s="212">
        <v>339.3</v>
      </c>
      <c r="AG159" s="212">
        <v>459.4</v>
      </c>
      <c r="AH159" s="212">
        <v>97.3</v>
      </c>
      <c r="AI159" s="212">
        <v>58.7</v>
      </c>
    </row>
    <row r="160" spans="2:35" x14ac:dyDescent="0.2">
      <c r="B160" t="s">
        <v>324</v>
      </c>
      <c r="D160">
        <v>1660</v>
      </c>
      <c r="E160" s="212">
        <v>76.599999999999994</v>
      </c>
      <c r="F160" s="212">
        <v>53.3</v>
      </c>
      <c r="G160" s="212">
        <v>94.6</v>
      </c>
      <c r="H160" s="212">
        <v>93</v>
      </c>
      <c r="I160" s="212">
        <v>99.4</v>
      </c>
      <c r="J160" s="212">
        <v>324.7</v>
      </c>
      <c r="K160" s="212">
        <v>436.7</v>
      </c>
      <c r="L160" s="212">
        <v>95.4</v>
      </c>
      <c r="M160" s="212">
        <v>54.5</v>
      </c>
      <c r="O160">
        <v>1452</v>
      </c>
      <c r="P160" s="212">
        <v>83.6</v>
      </c>
      <c r="Q160" s="212">
        <v>60.5</v>
      </c>
      <c r="R160" s="212">
        <v>95.9</v>
      </c>
      <c r="S160" s="212">
        <v>94.3</v>
      </c>
      <c r="T160" s="212">
        <v>99.4</v>
      </c>
      <c r="U160" s="212">
        <v>344.1</v>
      </c>
      <c r="V160" s="212">
        <v>467.9</v>
      </c>
      <c r="W160" s="212">
        <v>96.7</v>
      </c>
      <c r="X160" s="212">
        <v>60.7</v>
      </c>
      <c r="Z160">
        <v>3112</v>
      </c>
      <c r="AA160" s="212">
        <v>79.900000000000006</v>
      </c>
      <c r="AB160" s="212">
        <v>56.7</v>
      </c>
      <c r="AC160" s="212">
        <v>95.2</v>
      </c>
      <c r="AD160" s="212">
        <v>93.6</v>
      </c>
      <c r="AE160" s="212">
        <v>99.4</v>
      </c>
      <c r="AF160" s="212">
        <v>333.8</v>
      </c>
      <c r="AG160" s="212">
        <v>451.3</v>
      </c>
      <c r="AH160" s="212">
        <v>96</v>
      </c>
      <c r="AI160" s="212">
        <v>57.4</v>
      </c>
    </row>
    <row r="161" spans="2:35" x14ac:dyDescent="0.2">
      <c r="B161" t="s">
        <v>326</v>
      </c>
      <c r="D161">
        <v>1174</v>
      </c>
      <c r="E161" s="212">
        <v>71.7</v>
      </c>
      <c r="F161" s="212">
        <v>50.5</v>
      </c>
      <c r="G161" s="212">
        <v>93</v>
      </c>
      <c r="H161" s="212">
        <v>91</v>
      </c>
      <c r="I161" s="212">
        <v>98.7</v>
      </c>
      <c r="J161" s="212">
        <v>313.89999999999998</v>
      </c>
      <c r="K161" s="212">
        <v>436.6</v>
      </c>
      <c r="L161" s="212">
        <v>95</v>
      </c>
      <c r="M161" s="212">
        <v>52</v>
      </c>
      <c r="O161">
        <v>1094</v>
      </c>
      <c r="P161" s="212">
        <v>80.3</v>
      </c>
      <c r="Q161" s="212">
        <v>62.8</v>
      </c>
      <c r="R161" s="212">
        <v>97.3</v>
      </c>
      <c r="S161" s="212">
        <v>95.9</v>
      </c>
      <c r="T161" s="212">
        <v>99.3</v>
      </c>
      <c r="U161" s="212">
        <v>342.5</v>
      </c>
      <c r="V161" s="212">
        <v>484.4</v>
      </c>
      <c r="W161" s="212">
        <v>98.2</v>
      </c>
      <c r="X161" s="212">
        <v>64</v>
      </c>
      <c r="Z161">
        <v>2268</v>
      </c>
      <c r="AA161" s="212">
        <v>75.8</v>
      </c>
      <c r="AB161" s="212">
        <v>56.4</v>
      </c>
      <c r="AC161" s="212">
        <v>95.1</v>
      </c>
      <c r="AD161" s="212">
        <v>93.3</v>
      </c>
      <c r="AE161" s="212">
        <v>99</v>
      </c>
      <c r="AF161" s="212">
        <v>327.7</v>
      </c>
      <c r="AG161" s="212">
        <v>459.7</v>
      </c>
      <c r="AH161" s="212">
        <v>96.5</v>
      </c>
      <c r="AI161" s="212">
        <v>57.8</v>
      </c>
    </row>
    <row r="162" spans="2:35" x14ac:dyDescent="0.2">
      <c r="B162" t="s">
        <v>328</v>
      </c>
      <c r="D162">
        <v>757</v>
      </c>
      <c r="E162" s="212">
        <v>75.400000000000006</v>
      </c>
      <c r="F162" s="212">
        <v>55.9</v>
      </c>
      <c r="G162" s="212">
        <v>95.8</v>
      </c>
      <c r="H162" s="212">
        <v>93.1</v>
      </c>
      <c r="I162" s="212">
        <v>100</v>
      </c>
      <c r="J162" s="212">
        <v>333.1</v>
      </c>
      <c r="K162" s="212">
        <v>446.5</v>
      </c>
      <c r="L162" s="212">
        <v>96</v>
      </c>
      <c r="M162" s="212">
        <v>56.9</v>
      </c>
      <c r="O162">
        <v>708</v>
      </c>
      <c r="P162" s="212">
        <v>87</v>
      </c>
      <c r="Q162" s="212">
        <v>66.2</v>
      </c>
      <c r="R162" s="212">
        <v>97.6</v>
      </c>
      <c r="S162" s="212">
        <v>96.2</v>
      </c>
      <c r="T162" s="212">
        <v>100</v>
      </c>
      <c r="U162" s="212">
        <v>360.4</v>
      </c>
      <c r="V162" s="212">
        <v>486.9</v>
      </c>
      <c r="W162" s="212">
        <v>99.2</v>
      </c>
      <c r="X162" s="212">
        <v>66.7</v>
      </c>
      <c r="Z162">
        <v>1465</v>
      </c>
      <c r="AA162" s="212">
        <v>81</v>
      </c>
      <c r="AB162" s="212">
        <v>60.9</v>
      </c>
      <c r="AC162" s="212">
        <v>96.7</v>
      </c>
      <c r="AD162" s="212">
        <v>94.6</v>
      </c>
      <c r="AE162" s="212">
        <v>100</v>
      </c>
      <c r="AF162" s="212">
        <v>346.3</v>
      </c>
      <c r="AG162" s="212">
        <v>466</v>
      </c>
      <c r="AH162" s="212">
        <v>97.5</v>
      </c>
      <c r="AI162" s="212">
        <v>61.6</v>
      </c>
    </row>
    <row r="163" spans="2:35" x14ac:dyDescent="0.2">
      <c r="B163" t="s">
        <v>330</v>
      </c>
      <c r="D163">
        <v>2631</v>
      </c>
      <c r="E163" s="212">
        <v>75.8</v>
      </c>
      <c r="F163" s="212">
        <v>53.6</v>
      </c>
      <c r="G163" s="212">
        <v>95.4</v>
      </c>
      <c r="H163" s="212">
        <v>89.4</v>
      </c>
      <c r="I163" s="212">
        <v>99.5</v>
      </c>
      <c r="J163" s="212">
        <v>330.1</v>
      </c>
      <c r="K163" s="212">
        <v>438.3</v>
      </c>
      <c r="L163" s="212">
        <v>91.7</v>
      </c>
      <c r="M163" s="212">
        <v>54.4</v>
      </c>
      <c r="O163">
        <v>2636</v>
      </c>
      <c r="P163" s="212">
        <v>83.8</v>
      </c>
      <c r="Q163" s="212">
        <v>68.3</v>
      </c>
      <c r="R163" s="212">
        <v>97</v>
      </c>
      <c r="S163" s="212">
        <v>96.1</v>
      </c>
      <c r="T163" s="212">
        <v>99.5</v>
      </c>
      <c r="U163" s="212">
        <v>354.7</v>
      </c>
      <c r="V163" s="212">
        <v>483.1</v>
      </c>
      <c r="W163" s="212">
        <v>97.2</v>
      </c>
      <c r="X163" s="212">
        <v>68.900000000000006</v>
      </c>
      <c r="Z163">
        <v>5267</v>
      </c>
      <c r="AA163" s="212">
        <v>79.8</v>
      </c>
      <c r="AB163" s="212">
        <v>61</v>
      </c>
      <c r="AC163" s="212">
        <v>96.2</v>
      </c>
      <c r="AD163" s="212">
        <v>92.8</v>
      </c>
      <c r="AE163" s="212">
        <v>99.5</v>
      </c>
      <c r="AF163" s="212">
        <v>342.4</v>
      </c>
      <c r="AG163" s="212">
        <v>460.7</v>
      </c>
      <c r="AH163" s="212">
        <v>94.5</v>
      </c>
      <c r="AI163" s="212">
        <v>61.6</v>
      </c>
    </row>
    <row r="164" spans="2:35" x14ac:dyDescent="0.2">
      <c r="B164" s="32" t="s">
        <v>449</v>
      </c>
      <c r="D164">
        <v>289800</v>
      </c>
      <c r="E164" s="212">
        <v>79.8</v>
      </c>
      <c r="F164" s="212">
        <v>55.9</v>
      </c>
      <c r="G164" s="212">
        <v>95</v>
      </c>
      <c r="H164" s="212">
        <v>93.2</v>
      </c>
      <c r="I164" s="212">
        <v>99.2</v>
      </c>
      <c r="J164" s="212">
        <v>330.8</v>
      </c>
      <c r="K164" s="212">
        <v>447.6</v>
      </c>
      <c r="L164" s="212">
        <v>95.9</v>
      </c>
      <c r="M164" s="212">
        <v>56.8</v>
      </c>
      <c r="O164">
        <v>279321</v>
      </c>
      <c r="P164" s="212">
        <v>86.6</v>
      </c>
      <c r="Q164" s="212">
        <v>66</v>
      </c>
      <c r="R164" s="212">
        <v>97</v>
      </c>
      <c r="S164" s="212">
        <v>95.6</v>
      </c>
      <c r="T164" s="212">
        <v>99.5</v>
      </c>
      <c r="U164" s="212">
        <v>354.8</v>
      </c>
      <c r="V164" s="212">
        <v>491.5</v>
      </c>
      <c r="W164" s="212">
        <v>97.7</v>
      </c>
      <c r="X164" s="212">
        <v>66.5</v>
      </c>
      <c r="Z164">
        <v>569121</v>
      </c>
      <c r="AA164" s="212">
        <v>83.1</v>
      </c>
      <c r="AB164" s="212">
        <v>60.8</v>
      </c>
      <c r="AC164" s="212">
        <v>96</v>
      </c>
      <c r="AD164" s="212">
        <v>94.4</v>
      </c>
      <c r="AE164" s="212">
        <v>99.3</v>
      </c>
      <c r="AF164" s="212">
        <v>342.5</v>
      </c>
      <c r="AG164" s="212">
        <v>469.2</v>
      </c>
      <c r="AH164" s="212">
        <v>96.8</v>
      </c>
      <c r="AI164" s="212">
        <v>61.6</v>
      </c>
    </row>
    <row r="165" spans="2:35" x14ac:dyDescent="0.2">
      <c r="B165" t="s">
        <v>384</v>
      </c>
      <c r="D165">
        <v>38268</v>
      </c>
      <c r="E165" s="212">
        <v>81.599999999999994</v>
      </c>
      <c r="F165" s="212">
        <v>61.1</v>
      </c>
      <c r="G165" s="212">
        <v>95.4</v>
      </c>
      <c r="H165" s="212">
        <v>93.9</v>
      </c>
      <c r="I165" s="212">
        <v>99.1</v>
      </c>
      <c r="J165" s="212">
        <v>335.9</v>
      </c>
      <c r="K165" s="212">
        <v>447.2</v>
      </c>
      <c r="L165" s="212">
        <v>96.3</v>
      </c>
      <c r="M165" s="212">
        <v>62.1</v>
      </c>
      <c r="O165">
        <v>38006</v>
      </c>
      <c r="P165" s="212">
        <v>87.3</v>
      </c>
      <c r="Q165" s="212">
        <v>69.099999999999994</v>
      </c>
      <c r="R165" s="212">
        <v>97.4</v>
      </c>
      <c r="S165" s="212">
        <v>95.9</v>
      </c>
      <c r="T165" s="212">
        <v>99.6</v>
      </c>
      <c r="U165" s="212">
        <v>358.1</v>
      </c>
      <c r="V165" s="212">
        <v>486.1</v>
      </c>
      <c r="W165" s="212">
        <v>97.8</v>
      </c>
      <c r="X165" s="212">
        <v>69.7</v>
      </c>
      <c r="Z165">
        <v>76274</v>
      </c>
      <c r="AA165" s="212">
        <v>84.4</v>
      </c>
      <c r="AB165" s="212">
        <v>65.099999999999994</v>
      </c>
      <c r="AC165" s="212">
        <v>96.4</v>
      </c>
      <c r="AD165" s="212">
        <v>94.9</v>
      </c>
      <c r="AE165" s="212">
        <v>99.3</v>
      </c>
      <c r="AF165" s="212">
        <v>347</v>
      </c>
      <c r="AG165" s="212">
        <v>466.6</v>
      </c>
      <c r="AH165" s="212">
        <v>97.1</v>
      </c>
      <c r="AI165" s="212">
        <v>65.900000000000006</v>
      </c>
    </row>
    <row r="166" spans="2:35" x14ac:dyDescent="0.2">
      <c r="B166" s="36" t="s">
        <v>450</v>
      </c>
      <c r="D166">
        <v>323971</v>
      </c>
      <c r="E166" s="212">
        <v>78</v>
      </c>
      <c r="F166" s="212">
        <v>53.8</v>
      </c>
      <c r="G166" s="212">
        <v>92.9</v>
      </c>
      <c r="H166" s="212">
        <v>88.5</v>
      </c>
      <c r="I166" s="212">
        <v>99.3</v>
      </c>
      <c r="J166" s="212">
        <v>326.89999999999998</v>
      </c>
      <c r="K166" s="212">
        <v>435.9</v>
      </c>
      <c r="L166" s="212">
        <v>91.7</v>
      </c>
      <c r="M166" s="212">
        <v>54.7</v>
      </c>
      <c r="O166">
        <v>308705</v>
      </c>
      <c r="P166" s="212">
        <v>85.7</v>
      </c>
      <c r="Q166" s="212">
        <v>64.8</v>
      </c>
      <c r="R166" s="212">
        <v>95.8</v>
      </c>
      <c r="S166" s="212">
        <v>92.5</v>
      </c>
      <c r="T166" s="212">
        <v>100</v>
      </c>
      <c r="U166" s="212">
        <v>353.4</v>
      </c>
      <c r="V166" s="212">
        <v>483.1</v>
      </c>
      <c r="W166" s="212">
        <v>94.9</v>
      </c>
      <c r="X166" s="212">
        <v>65.400000000000006</v>
      </c>
      <c r="Z166">
        <v>632676</v>
      </c>
      <c r="AA166" s="212">
        <v>81.8</v>
      </c>
      <c r="AB166" s="212">
        <v>59.2</v>
      </c>
      <c r="AC166" s="212">
        <v>94.3</v>
      </c>
      <c r="AD166" s="212">
        <v>90.5</v>
      </c>
      <c r="AE166" s="212">
        <v>99.6</v>
      </c>
      <c r="AF166" s="212">
        <v>339.8</v>
      </c>
      <c r="AG166" s="212">
        <v>458.9</v>
      </c>
      <c r="AH166" s="212">
        <v>93.3</v>
      </c>
      <c r="AI166" s="212">
        <v>59.9</v>
      </c>
    </row>
    <row r="167" spans="2:35" x14ac:dyDescent="0.2">
      <c r="B167" s="36" t="s">
        <v>462</v>
      </c>
      <c r="D167">
        <v>323971</v>
      </c>
      <c r="E167">
        <v>78</v>
      </c>
      <c r="F167">
        <v>53.8</v>
      </c>
      <c r="G167">
        <v>92.9</v>
      </c>
      <c r="H167">
        <v>88.5</v>
      </c>
      <c r="I167">
        <v>99.3</v>
      </c>
      <c r="J167">
        <v>326.89999999999998</v>
      </c>
      <c r="K167">
        <v>435.9</v>
      </c>
      <c r="L167">
        <v>91.7</v>
      </c>
      <c r="M167">
        <v>54.7</v>
      </c>
      <c r="N167">
        <v>0</v>
      </c>
      <c r="O167">
        <v>308705</v>
      </c>
      <c r="P167">
        <v>85.7</v>
      </c>
      <c r="Q167">
        <v>64.8</v>
      </c>
      <c r="R167">
        <v>95.8</v>
      </c>
      <c r="S167">
        <v>92.5</v>
      </c>
      <c r="T167">
        <v>100</v>
      </c>
      <c r="U167">
        <v>353.4</v>
      </c>
      <c r="V167">
        <v>483.1</v>
      </c>
      <c r="W167">
        <v>94.9</v>
      </c>
      <c r="X167">
        <v>65.400000000000006</v>
      </c>
      <c r="Y167">
        <v>0</v>
      </c>
      <c r="Z167">
        <v>632676</v>
      </c>
      <c r="AA167">
        <v>81.8</v>
      </c>
      <c r="AB167">
        <v>59.2</v>
      </c>
      <c r="AC167">
        <v>94.3</v>
      </c>
      <c r="AD167">
        <v>90.5</v>
      </c>
      <c r="AE167">
        <v>99.6</v>
      </c>
      <c r="AF167">
        <v>339.8</v>
      </c>
      <c r="AG167">
        <v>458.9</v>
      </c>
      <c r="AH167">
        <v>93.3</v>
      </c>
      <c r="AI167">
        <v>59.9</v>
      </c>
    </row>
    <row r="170" spans="2:35" x14ac:dyDescent="0.2">
      <c r="B170" s="213" t="s">
        <v>10</v>
      </c>
    </row>
    <row r="171" spans="2:35" x14ac:dyDescent="0.2">
      <c r="B171" s="213" t="s">
        <v>11</v>
      </c>
    </row>
    <row r="172" spans="2:35" x14ac:dyDescent="0.2">
      <c r="B172" s="213" t="s">
        <v>397</v>
      </c>
    </row>
    <row r="173" spans="2:35" ht="13.5" x14ac:dyDescent="0.25">
      <c r="B173" s="9"/>
      <c r="C173" s="9"/>
      <c r="D173" s="67"/>
    </row>
    <row r="174" spans="2:35" ht="13.5" x14ac:dyDescent="0.25">
      <c r="B174" s="217" t="s">
        <v>445</v>
      </c>
      <c r="C174" s="218">
        <f>VLOOKUP('Table 17'!I3,'Table 16 data'!B175:C176,2,0)</f>
        <v>2</v>
      </c>
      <c r="D174" s="219">
        <f>IF(C174=1,3,12)</f>
        <v>12</v>
      </c>
      <c r="E174" s="220"/>
      <c r="F174" s="220"/>
      <c r="G174" s="220"/>
    </row>
    <row r="175" spans="2:35" x14ac:dyDescent="0.2">
      <c r="B175" s="221" t="s">
        <v>446</v>
      </c>
      <c r="C175" s="218">
        <v>1</v>
      </c>
      <c r="D175" s="221" t="s">
        <v>446</v>
      </c>
      <c r="E175" s="220"/>
      <c r="F175" s="220"/>
      <c r="G175" s="220"/>
    </row>
    <row r="176" spans="2:35" ht="13.5" x14ac:dyDescent="0.25">
      <c r="B176" s="3" t="s">
        <v>457</v>
      </c>
      <c r="C176" s="218">
        <v>2</v>
      </c>
      <c r="D176" s="222" t="s">
        <v>448</v>
      </c>
      <c r="E176" s="220"/>
      <c r="F176" s="220"/>
      <c r="G176" s="220"/>
    </row>
    <row r="177" spans="2:4" ht="13.5" x14ac:dyDescent="0.25">
      <c r="B177" s="9"/>
      <c r="C177" s="9"/>
      <c r="D177" s="6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7DBB3-5181-4E85-B057-DD2342205183}">
  <sheetPr codeName="Sheet6">
    <tabColor indexed="42"/>
  </sheetPr>
  <dimension ref="A1:L201"/>
  <sheetViews>
    <sheetView showGridLines="0" zoomScaleNormal="100" workbookViewId="0">
      <selection activeCell="D8" sqref="D8:D179"/>
    </sheetView>
  </sheetViews>
  <sheetFormatPr defaultRowHeight="9.9499999999999993" customHeight="1" x14ac:dyDescent="0.2"/>
  <cols>
    <col min="1" max="1" width="25" style="6" customWidth="1"/>
    <col min="2" max="2" width="8.7109375" style="6" customWidth="1"/>
    <col min="3" max="3" width="9.7109375" style="6" customWidth="1"/>
    <col min="4" max="4" width="9.7109375" style="9" customWidth="1"/>
    <col min="5" max="8" width="9.7109375" style="10" customWidth="1"/>
    <col min="9" max="9" width="10.7109375" style="9" customWidth="1"/>
    <col min="10" max="10" width="10.7109375" style="10" customWidth="1"/>
    <col min="11" max="12" width="9.7109375" style="6" customWidth="1"/>
    <col min="13" max="256" width="11.42578125" style="6" customWidth="1"/>
    <col min="257" max="16384" width="9.140625" style="6"/>
  </cols>
  <sheetData>
    <row r="1" spans="1:12" ht="13.5" x14ac:dyDescent="0.2">
      <c r="A1" s="510" t="s">
        <v>364</v>
      </c>
      <c r="B1" s="510"/>
      <c r="C1" s="510"/>
      <c r="D1" s="510"/>
      <c r="E1" s="510"/>
      <c r="F1" s="510"/>
      <c r="G1" s="510"/>
      <c r="H1" s="510"/>
      <c r="I1" s="510"/>
      <c r="J1" s="167"/>
      <c r="K1" s="26"/>
      <c r="L1" s="26"/>
    </row>
    <row r="2" spans="1:12" ht="13.5" customHeight="1" x14ac:dyDescent="0.2">
      <c r="A2" s="461" t="s">
        <v>394</v>
      </c>
      <c r="B2" s="461"/>
      <c r="C2" s="171"/>
      <c r="D2" s="7"/>
      <c r="E2" s="7"/>
      <c r="F2" s="7"/>
      <c r="G2" s="7"/>
      <c r="H2" s="7"/>
      <c r="I2" s="26"/>
      <c r="J2" s="26"/>
      <c r="K2" s="508" t="s">
        <v>395</v>
      </c>
      <c r="L2" s="509"/>
    </row>
    <row r="3" spans="1:12" ht="12.75" customHeight="1" x14ac:dyDescent="0.2">
      <c r="A3" s="1" t="s">
        <v>9</v>
      </c>
      <c r="B3" s="1"/>
      <c r="C3" s="167"/>
      <c r="D3" s="7"/>
      <c r="E3" s="8"/>
      <c r="F3" s="7"/>
      <c r="G3" s="7"/>
      <c r="H3" s="7"/>
      <c r="I3" s="26"/>
      <c r="J3" s="26"/>
      <c r="K3" s="208" t="s">
        <v>396</v>
      </c>
      <c r="L3" s="209" t="s">
        <v>10</v>
      </c>
    </row>
    <row r="4" spans="1:12" ht="11.25" customHeight="1" x14ac:dyDescent="0.2">
      <c r="A4" s="4"/>
      <c r="B4" s="4"/>
      <c r="C4" s="211">
        <f>IF(L3="Boys",0,IF(L3="Girls",11,22))</f>
        <v>0</v>
      </c>
      <c r="D4" s="150"/>
      <c r="E4" s="151"/>
      <c r="F4" s="151"/>
      <c r="G4" s="151"/>
      <c r="H4" s="151"/>
      <c r="I4" s="150"/>
      <c r="J4" s="11"/>
      <c r="K4" s="12"/>
      <c r="L4" s="26"/>
    </row>
    <row r="5" spans="1:12" s="2" customFormat="1" ht="22.5" customHeight="1" x14ac:dyDescent="0.2">
      <c r="A5" s="159"/>
      <c r="B5" s="159"/>
      <c r="C5" s="512" t="s">
        <v>453</v>
      </c>
      <c r="D5" s="514" t="s">
        <v>366</v>
      </c>
      <c r="E5" s="514"/>
      <c r="F5" s="514"/>
      <c r="G5" s="514"/>
      <c r="H5" s="514"/>
      <c r="I5" s="515" t="s">
        <v>398</v>
      </c>
      <c r="J5" s="505" t="s">
        <v>399</v>
      </c>
      <c r="K5" s="511" t="s">
        <v>466</v>
      </c>
      <c r="L5" s="511"/>
    </row>
    <row r="6" spans="1:12" s="13" customFormat="1" ht="56.25" x14ac:dyDescent="0.2">
      <c r="A6" s="210" t="s">
        <v>378</v>
      </c>
      <c r="B6" s="210" t="s">
        <v>379</v>
      </c>
      <c r="C6" s="513"/>
      <c r="D6" s="165" t="s">
        <v>12</v>
      </c>
      <c r="E6" s="207" t="s">
        <v>451</v>
      </c>
      <c r="F6" s="165" t="s">
        <v>13</v>
      </c>
      <c r="G6" s="207" t="s">
        <v>452</v>
      </c>
      <c r="H6" s="166" t="s">
        <v>14</v>
      </c>
      <c r="I6" s="516"/>
      <c r="J6" s="506"/>
      <c r="K6" s="164" t="s">
        <v>15</v>
      </c>
      <c r="L6" s="166" t="s">
        <v>16</v>
      </c>
    </row>
    <row r="7" spans="1:12" s="13" customFormat="1" ht="11.25" customHeight="1" x14ac:dyDescent="0.2">
      <c r="A7" s="14"/>
      <c r="B7" s="15"/>
      <c r="C7"/>
      <c r="D7" s="15"/>
      <c r="E7" s="15"/>
      <c r="F7" s="15"/>
      <c r="G7" s="15"/>
      <c r="H7" s="15"/>
      <c r="I7" s="15"/>
      <c r="J7" s="15"/>
    </row>
    <row r="8" spans="1:12" s="17" customFormat="1" ht="11.25" customHeight="1" x14ac:dyDescent="0.2">
      <c r="A8" s="16" t="s">
        <v>380</v>
      </c>
      <c r="B8" s="17" t="s">
        <v>17</v>
      </c>
      <c r="C8" s="260">
        <f>VLOOKUP($A8,T16Percentage,$C$4+'Table 16 data'!D$1,0)</f>
        <v>14623</v>
      </c>
      <c r="D8" s="261">
        <f>VLOOKUP($A8,T16Percentage,$C$4+'Table 16 data'!E$1,0)</f>
        <v>85.5</v>
      </c>
      <c r="E8" s="261">
        <f>VLOOKUP($A8,T16Percentage,$C$4+'Table 16 data'!F$1,0)</f>
        <v>54.7</v>
      </c>
      <c r="F8" s="261">
        <f>VLOOKUP($A8,T16Percentage,$C$4+'Table 16 data'!G$1,0)</f>
        <v>94.3</v>
      </c>
      <c r="G8" s="261">
        <f>VLOOKUP($A8,T16Percentage,$C$4+'Table 16 data'!H$1,0)</f>
        <v>92.4</v>
      </c>
      <c r="H8" s="261">
        <f>VLOOKUP($A8,T16Percentage,$C$4+'Table 16 data'!I$1,0)</f>
        <v>99</v>
      </c>
      <c r="I8" s="261">
        <f>VLOOKUP($A8,T16Percentage,$C$4+'Table 16 data'!J$1,0)</f>
        <v>334.9</v>
      </c>
      <c r="J8" s="261">
        <f>VLOOKUP($A8,T16Percentage,$C$4+'Table 16 data'!K$1,0)</f>
        <v>471.9</v>
      </c>
      <c r="K8" s="261">
        <f>VLOOKUP($A8,T16Percentage,$C$4+'Table 16 data'!L$1,0)</f>
        <v>94.9</v>
      </c>
      <c r="L8" s="261">
        <f>VLOOKUP($A8,T16Percentage,$C$4+'Table 16 data'!M$1,0)</f>
        <v>55.1</v>
      </c>
    </row>
    <row r="9" spans="1:12" s="21" customFormat="1" ht="11.25" customHeight="1" x14ac:dyDescent="0.2">
      <c r="A9" s="125" t="s">
        <v>354</v>
      </c>
      <c r="B9" s="126" t="s">
        <v>20</v>
      </c>
      <c r="C9" s="262">
        <f>VLOOKUP($A9,T16Percentage,$C$4+'Table 16 data'!D$1,0)</f>
        <v>2785</v>
      </c>
      <c r="D9" s="263">
        <f>VLOOKUP($A9,T16Percentage,$C$4+'Table 16 data'!E$1,0)</f>
        <v>89.1</v>
      </c>
      <c r="E9" s="263">
        <f>VLOOKUP($A9,T16Percentage,$C$4+'Table 16 data'!F$1,0)</f>
        <v>57.7</v>
      </c>
      <c r="F9" s="263">
        <f>VLOOKUP($A9,T16Percentage,$C$4+'Table 16 data'!G$1,0)</f>
        <v>95.4</v>
      </c>
      <c r="G9" s="263">
        <f>VLOOKUP($A9,T16Percentage,$C$4+'Table 16 data'!H$1,0)</f>
        <v>94.1</v>
      </c>
      <c r="H9" s="263">
        <f>VLOOKUP($A9,T16Percentage,$C$4+'Table 16 data'!I$1,0)</f>
        <v>99.5</v>
      </c>
      <c r="I9" s="263">
        <f>VLOOKUP($A9,T16Percentage,$C$4+'Table 16 data'!J$1,0)</f>
        <v>343.8</v>
      </c>
      <c r="J9" s="263">
        <f>VLOOKUP($A9,T16Percentage,$C$4+'Table 16 data'!K$1,0)</f>
        <v>490.4</v>
      </c>
      <c r="K9" s="263">
        <f>VLOOKUP($A9,T16Percentage,$C$4+'Table 16 data'!L$1,0)</f>
        <v>95.6</v>
      </c>
      <c r="L9" s="263">
        <f>VLOOKUP($A9,T16Percentage,$C$4+'Table 16 data'!M$1,0)</f>
        <v>58</v>
      </c>
    </row>
    <row r="10" spans="1:12" s="21" customFormat="1" ht="11.25" customHeight="1" x14ac:dyDescent="0.2">
      <c r="A10" s="125" t="s">
        <v>18</v>
      </c>
      <c r="B10" s="126" t="s">
        <v>19</v>
      </c>
      <c r="C10" s="262">
        <f>VLOOKUP($A10,T16Percentage,$C$4+'Table 16 data'!D$1,0)</f>
        <v>600</v>
      </c>
      <c r="D10" s="263">
        <f>VLOOKUP($A10,T16Percentage,$C$4+'Table 16 data'!E$1,0)</f>
        <v>88</v>
      </c>
      <c r="E10" s="263">
        <f>VLOOKUP($A10,T16Percentage,$C$4+'Table 16 data'!F$1,0)</f>
        <v>59.8</v>
      </c>
      <c r="F10" s="263">
        <f>VLOOKUP($A10,T16Percentage,$C$4+'Table 16 data'!G$1,0)</f>
        <v>94.7</v>
      </c>
      <c r="G10" s="263">
        <f>VLOOKUP($A10,T16Percentage,$C$4+'Table 16 data'!H$1,0)</f>
        <v>93.5</v>
      </c>
      <c r="H10" s="263">
        <f>VLOOKUP($A10,T16Percentage,$C$4+'Table 16 data'!I$1,0)</f>
        <v>99.7</v>
      </c>
      <c r="I10" s="263">
        <f>VLOOKUP($A10,T16Percentage,$C$4+'Table 16 data'!J$1,0)</f>
        <v>343</v>
      </c>
      <c r="J10" s="263">
        <f>VLOOKUP($A10,T16Percentage,$C$4+'Table 16 data'!K$1,0)</f>
        <v>486.4</v>
      </c>
      <c r="K10" s="263">
        <f>VLOOKUP($A10,T16Percentage,$C$4+'Table 16 data'!L$1,0)</f>
        <v>96.2</v>
      </c>
      <c r="L10" s="263">
        <f>VLOOKUP($A10,T16Percentage,$C$4+'Table 16 data'!M$1,0)</f>
        <v>60</v>
      </c>
    </row>
    <row r="11" spans="1:12" s="21" customFormat="1" ht="11.25" customHeight="1" x14ac:dyDescent="0.2">
      <c r="A11" s="125" t="s">
        <v>21</v>
      </c>
      <c r="B11" s="126" t="s">
        <v>22</v>
      </c>
      <c r="C11" s="262">
        <f>VLOOKUP($A11,T16Percentage,$C$4+'Table 16 data'!D$1,0)</f>
        <v>1099</v>
      </c>
      <c r="D11" s="263">
        <f>VLOOKUP($A11,T16Percentage,$C$4+'Table 16 data'!E$1,0)</f>
        <v>87.9</v>
      </c>
      <c r="E11" s="263">
        <f>VLOOKUP($A11,T16Percentage,$C$4+'Table 16 data'!F$1,0)</f>
        <v>56.9</v>
      </c>
      <c r="F11" s="263">
        <f>VLOOKUP($A11,T16Percentage,$C$4+'Table 16 data'!G$1,0)</f>
        <v>93.4</v>
      </c>
      <c r="G11" s="263">
        <f>VLOOKUP($A11,T16Percentage,$C$4+'Table 16 data'!H$1,0)</f>
        <v>92.5</v>
      </c>
      <c r="H11" s="263">
        <f>VLOOKUP($A11,T16Percentage,$C$4+'Table 16 data'!I$1,0)</f>
        <v>98.9</v>
      </c>
      <c r="I11" s="263">
        <f>VLOOKUP($A11,T16Percentage,$C$4+'Table 16 data'!J$1,0)</f>
        <v>337.5</v>
      </c>
      <c r="J11" s="263">
        <f>VLOOKUP($A11,T16Percentage,$C$4+'Table 16 data'!K$1,0)</f>
        <v>476.2</v>
      </c>
      <c r="K11" s="263">
        <f>VLOOKUP($A11,T16Percentage,$C$4+'Table 16 data'!L$1,0)</f>
        <v>95.6</v>
      </c>
      <c r="L11" s="263">
        <f>VLOOKUP($A11,T16Percentage,$C$4+'Table 16 data'!M$1,0)</f>
        <v>57.1</v>
      </c>
    </row>
    <row r="12" spans="1:12" s="21" customFormat="1" ht="11.25" customHeight="1" x14ac:dyDescent="0.2">
      <c r="A12" s="125" t="s">
        <v>23</v>
      </c>
      <c r="B12" s="126" t="s">
        <v>24</v>
      </c>
      <c r="C12" s="262">
        <f>VLOOKUP($A12,T16Percentage,$C$4+'Table 16 data'!D$1,0)</f>
        <v>582</v>
      </c>
      <c r="D12" s="263">
        <f>VLOOKUP($A12,T16Percentage,$C$4+'Table 16 data'!E$1,0)</f>
        <v>74.400000000000006</v>
      </c>
      <c r="E12" s="263">
        <f>VLOOKUP($A12,T16Percentage,$C$4+'Table 16 data'!F$1,0)</f>
        <v>53.4</v>
      </c>
      <c r="F12" s="263">
        <f>VLOOKUP($A12,T16Percentage,$C$4+'Table 16 data'!G$1,0)</f>
        <v>93.5</v>
      </c>
      <c r="G12" s="263">
        <f>VLOOKUP($A12,T16Percentage,$C$4+'Table 16 data'!H$1,0)</f>
        <v>91.6</v>
      </c>
      <c r="H12" s="263">
        <f>VLOOKUP($A12,T16Percentage,$C$4+'Table 16 data'!I$1,0)</f>
        <v>99.7</v>
      </c>
      <c r="I12" s="263">
        <f>VLOOKUP($A12,T16Percentage,$C$4+'Table 16 data'!J$1,0)</f>
        <v>316.39999999999998</v>
      </c>
      <c r="J12" s="263">
        <f>VLOOKUP($A12,T16Percentage,$C$4+'Table 16 data'!K$1,0)</f>
        <v>412.7</v>
      </c>
      <c r="K12" s="263">
        <f>VLOOKUP($A12,T16Percentage,$C$4+'Table 16 data'!L$1,0)</f>
        <v>95.5</v>
      </c>
      <c r="L12" s="263">
        <f>VLOOKUP($A12,T16Percentage,$C$4+'Table 16 data'!M$1,0)</f>
        <v>54.5</v>
      </c>
    </row>
    <row r="13" spans="1:12" s="21" customFormat="1" ht="11.25" customHeight="1" x14ac:dyDescent="0.2">
      <c r="A13" s="125" t="s">
        <v>25</v>
      </c>
      <c r="B13" s="126" t="s">
        <v>26</v>
      </c>
      <c r="C13" s="262">
        <f>VLOOKUP($A13,T16Percentage,$C$4+'Table 16 data'!D$1,0)</f>
        <v>758</v>
      </c>
      <c r="D13" s="263">
        <f>VLOOKUP($A13,T16Percentage,$C$4+'Table 16 data'!E$1,0)</f>
        <v>83.1</v>
      </c>
      <c r="E13" s="263">
        <f>VLOOKUP($A13,T16Percentage,$C$4+'Table 16 data'!F$1,0)</f>
        <v>47.9</v>
      </c>
      <c r="F13" s="263">
        <f>VLOOKUP($A13,T16Percentage,$C$4+'Table 16 data'!G$1,0)</f>
        <v>94.3</v>
      </c>
      <c r="G13" s="263">
        <f>VLOOKUP($A13,T16Percentage,$C$4+'Table 16 data'!H$1,0)</f>
        <v>90.1</v>
      </c>
      <c r="H13" s="263">
        <f>VLOOKUP($A13,T16Percentage,$C$4+'Table 16 data'!I$1,0)</f>
        <v>98</v>
      </c>
      <c r="I13" s="263">
        <f>VLOOKUP($A13,T16Percentage,$C$4+'Table 16 data'!J$1,0)</f>
        <v>325.39999999999998</v>
      </c>
      <c r="J13" s="263">
        <f>VLOOKUP($A13,T16Percentage,$C$4+'Table 16 data'!K$1,0)</f>
        <v>450.5</v>
      </c>
      <c r="K13" s="263">
        <f>VLOOKUP($A13,T16Percentage,$C$4+'Table 16 data'!L$1,0)</f>
        <v>93.5</v>
      </c>
      <c r="L13" s="263">
        <f>VLOOKUP($A13,T16Percentage,$C$4+'Table 16 data'!M$1,0)</f>
        <v>48.2</v>
      </c>
    </row>
    <row r="14" spans="1:12" s="21" customFormat="1" ht="11.25" customHeight="1" x14ac:dyDescent="0.2">
      <c r="A14" s="125" t="s">
        <v>27</v>
      </c>
      <c r="B14" s="126" t="s">
        <v>28</v>
      </c>
      <c r="C14" s="262">
        <f>VLOOKUP($A14,T16Percentage,$C$4+'Table 16 data'!D$1,0)</f>
        <v>1319</v>
      </c>
      <c r="D14" s="263">
        <f>VLOOKUP($A14,T16Percentage,$C$4+'Table 16 data'!E$1,0)</f>
        <v>88.6</v>
      </c>
      <c r="E14" s="263">
        <f>VLOOKUP($A14,T16Percentage,$C$4+'Table 16 data'!F$1,0)</f>
        <v>52.8</v>
      </c>
      <c r="F14" s="263">
        <f>VLOOKUP($A14,T16Percentage,$C$4+'Table 16 data'!G$1,0)</f>
        <v>93.6</v>
      </c>
      <c r="G14" s="263">
        <f>VLOOKUP($A14,T16Percentage,$C$4+'Table 16 data'!H$1,0)</f>
        <v>91.4</v>
      </c>
      <c r="H14" s="263">
        <f>VLOOKUP($A14,T16Percentage,$C$4+'Table 16 data'!I$1,0)</f>
        <v>99.2</v>
      </c>
      <c r="I14" s="263">
        <f>VLOOKUP($A14,T16Percentage,$C$4+'Table 16 data'!J$1,0)</f>
        <v>331.6</v>
      </c>
      <c r="J14" s="263">
        <f>VLOOKUP($A14,T16Percentage,$C$4+'Table 16 data'!K$1,0)</f>
        <v>464.8</v>
      </c>
      <c r="K14" s="263">
        <f>VLOOKUP($A14,T16Percentage,$C$4+'Table 16 data'!L$1,0)</f>
        <v>94</v>
      </c>
      <c r="L14" s="263">
        <f>VLOOKUP($A14,T16Percentage,$C$4+'Table 16 data'!M$1,0)</f>
        <v>52.9</v>
      </c>
    </row>
    <row r="15" spans="1:12" s="21" customFormat="1" ht="11.25" customHeight="1" x14ac:dyDescent="0.2">
      <c r="A15" s="125" t="s">
        <v>29</v>
      </c>
      <c r="B15" s="126" t="s">
        <v>30</v>
      </c>
      <c r="C15" s="262">
        <f>VLOOKUP($A15,T16Percentage,$C$4+'Table 16 data'!D$1,0)</f>
        <v>1110</v>
      </c>
      <c r="D15" s="263">
        <f>VLOOKUP($A15,T16Percentage,$C$4+'Table 16 data'!E$1,0)</f>
        <v>87.7</v>
      </c>
      <c r="E15" s="263">
        <f>VLOOKUP($A15,T16Percentage,$C$4+'Table 16 data'!F$1,0)</f>
        <v>61.4</v>
      </c>
      <c r="F15" s="263">
        <f>VLOOKUP($A15,T16Percentage,$C$4+'Table 16 data'!G$1,0)</f>
        <v>95.4</v>
      </c>
      <c r="G15" s="263">
        <f>VLOOKUP($A15,T16Percentage,$C$4+'Table 16 data'!H$1,0)</f>
        <v>93.7</v>
      </c>
      <c r="H15" s="263">
        <f>VLOOKUP($A15,T16Percentage,$C$4+'Table 16 data'!I$1,0)</f>
        <v>99.4</v>
      </c>
      <c r="I15" s="263">
        <f>VLOOKUP($A15,T16Percentage,$C$4+'Table 16 data'!J$1,0)</f>
        <v>340</v>
      </c>
      <c r="J15" s="263">
        <f>VLOOKUP($A15,T16Percentage,$C$4+'Table 16 data'!K$1,0)</f>
        <v>480.1</v>
      </c>
      <c r="K15" s="263">
        <f>VLOOKUP($A15,T16Percentage,$C$4+'Table 16 data'!L$1,0)</f>
        <v>94.8</v>
      </c>
      <c r="L15" s="263">
        <f>VLOOKUP($A15,T16Percentage,$C$4+'Table 16 data'!M$1,0)</f>
        <v>61.6</v>
      </c>
    </row>
    <row r="16" spans="1:12" s="21" customFormat="1" ht="11.25" customHeight="1" x14ac:dyDescent="0.2">
      <c r="A16" s="125" t="s">
        <v>31</v>
      </c>
      <c r="B16" s="126" t="s">
        <v>32</v>
      </c>
      <c r="C16" s="262">
        <f>VLOOKUP($A16,T16Percentage,$C$4+'Table 16 data'!D$1,0)</f>
        <v>1814</v>
      </c>
      <c r="D16" s="263">
        <f>VLOOKUP($A16,T16Percentage,$C$4+'Table 16 data'!E$1,0)</f>
        <v>80.400000000000006</v>
      </c>
      <c r="E16" s="263">
        <f>VLOOKUP($A16,T16Percentage,$C$4+'Table 16 data'!F$1,0)</f>
        <v>49.8</v>
      </c>
      <c r="F16" s="263">
        <f>VLOOKUP($A16,T16Percentage,$C$4+'Table 16 data'!G$1,0)</f>
        <v>92.6</v>
      </c>
      <c r="G16" s="263">
        <f>VLOOKUP($A16,T16Percentage,$C$4+'Table 16 data'!H$1,0)</f>
        <v>91.8</v>
      </c>
      <c r="H16" s="263">
        <f>VLOOKUP($A16,T16Percentage,$C$4+'Table 16 data'!I$1,0)</f>
        <v>98.1</v>
      </c>
      <c r="I16" s="263">
        <f>VLOOKUP($A16,T16Percentage,$C$4+'Table 16 data'!J$1,0)</f>
        <v>330.9</v>
      </c>
      <c r="J16" s="263">
        <f>VLOOKUP($A16,T16Percentage,$C$4+'Table 16 data'!K$1,0)</f>
        <v>459.2</v>
      </c>
      <c r="K16" s="263">
        <f>VLOOKUP($A16,T16Percentage,$C$4+'Table 16 data'!L$1,0)</f>
        <v>94.4</v>
      </c>
      <c r="L16" s="263">
        <f>VLOOKUP($A16,T16Percentage,$C$4+'Table 16 data'!M$1,0)</f>
        <v>50.1</v>
      </c>
    </row>
    <row r="17" spans="1:12" s="21" customFormat="1" ht="11.25" customHeight="1" x14ac:dyDescent="0.2">
      <c r="A17" s="125" t="s">
        <v>33</v>
      </c>
      <c r="B17" s="126" t="s">
        <v>34</v>
      </c>
      <c r="C17" s="262">
        <f>VLOOKUP($A17,T16Percentage,$C$4+'Table 16 data'!D$1,0)</f>
        <v>931</v>
      </c>
      <c r="D17" s="263">
        <f>VLOOKUP($A17,T16Percentage,$C$4+'Table 16 data'!E$1,0)</f>
        <v>79.900000000000006</v>
      </c>
      <c r="E17" s="263">
        <f>VLOOKUP($A17,T16Percentage,$C$4+'Table 16 data'!F$1,0)</f>
        <v>51.3</v>
      </c>
      <c r="F17" s="263">
        <f>VLOOKUP($A17,T16Percentage,$C$4+'Table 16 data'!G$1,0)</f>
        <v>92.7</v>
      </c>
      <c r="G17" s="263">
        <f>VLOOKUP($A17,T16Percentage,$C$4+'Table 16 data'!H$1,0)</f>
        <v>90.7</v>
      </c>
      <c r="H17" s="263">
        <f>VLOOKUP($A17,T16Percentage,$C$4+'Table 16 data'!I$1,0)</f>
        <v>97.9</v>
      </c>
      <c r="I17" s="263">
        <f>VLOOKUP($A17,T16Percentage,$C$4+'Table 16 data'!J$1,0)</f>
        <v>320.7</v>
      </c>
      <c r="J17" s="263">
        <f>VLOOKUP($A17,T16Percentage,$C$4+'Table 16 data'!K$1,0)</f>
        <v>444</v>
      </c>
      <c r="K17" s="263">
        <f>VLOOKUP($A17,T16Percentage,$C$4+'Table 16 data'!L$1,0)</f>
        <v>94.7</v>
      </c>
      <c r="L17" s="263">
        <f>VLOOKUP($A17,T16Percentage,$C$4+'Table 16 data'!M$1,0)</f>
        <v>51.7</v>
      </c>
    </row>
    <row r="18" spans="1:12" ht="11.25" customHeight="1" x14ac:dyDescent="0.2">
      <c r="A18" s="125" t="s">
        <v>35</v>
      </c>
      <c r="B18" s="126" t="s">
        <v>36</v>
      </c>
      <c r="C18" s="262">
        <f>VLOOKUP($A18,T16Percentage,$C$4+'Table 16 data'!D$1,0)</f>
        <v>886</v>
      </c>
      <c r="D18" s="263">
        <f>VLOOKUP($A18,T16Percentage,$C$4+'Table 16 data'!E$1,0)</f>
        <v>90.4</v>
      </c>
      <c r="E18" s="263">
        <f>VLOOKUP($A18,T16Percentage,$C$4+'Table 16 data'!F$1,0)</f>
        <v>54</v>
      </c>
      <c r="F18" s="263">
        <f>VLOOKUP($A18,T16Percentage,$C$4+'Table 16 data'!G$1,0)</f>
        <v>96.4</v>
      </c>
      <c r="G18" s="263">
        <f>VLOOKUP($A18,T16Percentage,$C$4+'Table 16 data'!H$1,0)</f>
        <v>94.1</v>
      </c>
      <c r="H18" s="263">
        <f>VLOOKUP($A18,T16Percentage,$C$4+'Table 16 data'!I$1,0)</f>
        <v>99.4</v>
      </c>
      <c r="I18" s="263">
        <f>VLOOKUP($A18,T16Percentage,$C$4+'Table 16 data'!J$1,0)</f>
        <v>348</v>
      </c>
      <c r="J18" s="263">
        <f>VLOOKUP($A18,T16Percentage,$C$4+'Table 16 data'!K$1,0)</f>
        <v>502</v>
      </c>
      <c r="K18" s="263">
        <f>VLOOKUP($A18,T16Percentage,$C$4+'Table 16 data'!L$1,0)</f>
        <v>96</v>
      </c>
      <c r="L18" s="263">
        <f>VLOOKUP($A18,T16Percentage,$C$4+'Table 16 data'!M$1,0)</f>
        <v>54.4</v>
      </c>
    </row>
    <row r="19" spans="1:12" ht="11.25" customHeight="1" x14ac:dyDescent="0.2">
      <c r="A19" s="125" t="s">
        <v>37</v>
      </c>
      <c r="B19" s="126" t="s">
        <v>38</v>
      </c>
      <c r="C19" s="262">
        <f>VLOOKUP($A19,T16Percentage,$C$4+'Table 16 data'!D$1,0)</f>
        <v>1130</v>
      </c>
      <c r="D19" s="263">
        <f>VLOOKUP($A19,T16Percentage,$C$4+'Table 16 data'!E$1,0)</f>
        <v>79</v>
      </c>
      <c r="E19" s="263">
        <f>VLOOKUP($A19,T16Percentage,$C$4+'Table 16 data'!F$1,0)</f>
        <v>54.1</v>
      </c>
      <c r="F19" s="263">
        <f>VLOOKUP($A19,T16Percentage,$C$4+'Table 16 data'!G$1,0)</f>
        <v>93.9</v>
      </c>
      <c r="G19" s="263">
        <f>VLOOKUP($A19,T16Percentage,$C$4+'Table 16 data'!H$1,0)</f>
        <v>91.5</v>
      </c>
      <c r="H19" s="263">
        <f>VLOOKUP($A19,T16Percentage,$C$4+'Table 16 data'!I$1,0)</f>
        <v>99.7</v>
      </c>
      <c r="I19" s="263">
        <f>VLOOKUP($A19,T16Percentage,$C$4+'Table 16 data'!J$1,0)</f>
        <v>330.7</v>
      </c>
      <c r="J19" s="263">
        <f>VLOOKUP($A19,T16Percentage,$C$4+'Table 16 data'!K$1,0)</f>
        <v>465.1</v>
      </c>
      <c r="K19" s="263">
        <f>VLOOKUP($A19,T16Percentage,$C$4+'Table 16 data'!L$1,0)</f>
        <v>93.2</v>
      </c>
      <c r="L19" s="263">
        <f>VLOOKUP($A19,T16Percentage,$C$4+'Table 16 data'!M$1,0)</f>
        <v>55</v>
      </c>
    </row>
    <row r="20" spans="1:12" ht="11.25" customHeight="1" x14ac:dyDescent="0.2">
      <c r="A20" s="125" t="s">
        <v>39</v>
      </c>
      <c r="B20" s="126" t="s">
        <v>40</v>
      </c>
      <c r="C20" s="262">
        <f>VLOOKUP($A20,T16Percentage,$C$4+'Table 16 data'!D$1,0)</f>
        <v>1609</v>
      </c>
      <c r="D20" s="263">
        <f>VLOOKUP($A20,T16Percentage,$C$4+'Table 16 data'!E$1,0)</f>
        <v>88.3</v>
      </c>
      <c r="E20" s="263">
        <f>VLOOKUP($A20,T16Percentage,$C$4+'Table 16 data'!F$1,0)</f>
        <v>55.2</v>
      </c>
      <c r="F20" s="263">
        <f>VLOOKUP($A20,T16Percentage,$C$4+'Table 16 data'!G$1,0)</f>
        <v>94.5</v>
      </c>
      <c r="G20" s="263">
        <f>VLOOKUP($A20,T16Percentage,$C$4+'Table 16 data'!H$1,0)</f>
        <v>91.9</v>
      </c>
      <c r="H20" s="263">
        <f>VLOOKUP($A20,T16Percentage,$C$4+'Table 16 data'!I$1,0)</f>
        <v>98.9</v>
      </c>
      <c r="I20" s="263">
        <f>VLOOKUP($A20,T16Percentage,$C$4+'Table 16 data'!J$1,0)</f>
        <v>334</v>
      </c>
      <c r="J20" s="263">
        <f>VLOOKUP($A20,T16Percentage,$C$4+'Table 16 data'!K$1,0)</f>
        <v>481.7</v>
      </c>
      <c r="K20" s="263">
        <f>VLOOKUP($A20,T16Percentage,$C$4+'Table 16 data'!L$1,0)</f>
        <v>95.6</v>
      </c>
      <c r="L20" s="263">
        <f>VLOOKUP($A20,T16Percentage,$C$4+'Table 16 data'!M$1,0)</f>
        <v>55.6</v>
      </c>
    </row>
    <row r="21" spans="1:12" s="3" customFormat="1" ht="11.25" customHeight="1" x14ac:dyDescent="0.2">
      <c r="C21" s="264"/>
      <c r="D21" s="264"/>
      <c r="E21" s="264"/>
      <c r="F21" s="264"/>
      <c r="G21" s="264"/>
      <c r="H21" s="264"/>
      <c r="I21" s="264"/>
      <c r="J21" s="264"/>
      <c r="K21" s="264"/>
      <c r="L21" s="264"/>
    </row>
    <row r="22" spans="1:12" s="23" customFormat="1" ht="11.25" customHeight="1" x14ac:dyDescent="0.2">
      <c r="A22" s="16" t="s">
        <v>381</v>
      </c>
      <c r="B22" s="17" t="s">
        <v>41</v>
      </c>
      <c r="C22" s="260">
        <f>VLOOKUP($A22,T16Percentage,$C$4+'Table 16 data'!D$1,0)</f>
        <v>40913</v>
      </c>
      <c r="D22" s="261">
        <f>VLOOKUP($A22,T16Percentage,$C$4+'Table 16 data'!E$1,0)</f>
        <v>80</v>
      </c>
      <c r="E22" s="261">
        <f>VLOOKUP($A22,T16Percentage,$C$4+'Table 16 data'!F$1,0)</f>
        <v>54.5</v>
      </c>
      <c r="F22" s="261">
        <f>VLOOKUP($A22,T16Percentage,$C$4+'Table 16 data'!G$1,0)</f>
        <v>94.9</v>
      </c>
      <c r="G22" s="261">
        <f>VLOOKUP($A22,T16Percentage,$C$4+'Table 16 data'!H$1,0)</f>
        <v>93.1</v>
      </c>
      <c r="H22" s="261">
        <f>VLOOKUP($A22,T16Percentage,$C$4+'Table 16 data'!I$1,0)</f>
        <v>99.2</v>
      </c>
      <c r="I22" s="261">
        <f>VLOOKUP($A22,T16Percentage,$C$4+'Table 16 data'!J$1,0)</f>
        <v>328.5</v>
      </c>
      <c r="J22" s="261">
        <f>VLOOKUP($A22,T16Percentage,$C$4+'Table 16 data'!K$1,0)</f>
        <v>437.8</v>
      </c>
      <c r="K22" s="261">
        <f>VLOOKUP($A22,T16Percentage,$C$4+'Table 16 data'!L$1,0)</f>
        <v>96.1</v>
      </c>
      <c r="L22" s="261">
        <f>VLOOKUP($A22,T16Percentage,$C$4+'Table 16 data'!M$1,0)</f>
        <v>55.4</v>
      </c>
    </row>
    <row r="23" spans="1:12" ht="11.25" customHeight="1" x14ac:dyDescent="0.2">
      <c r="A23" s="125" t="s">
        <v>42</v>
      </c>
      <c r="B23" s="126" t="s">
        <v>43</v>
      </c>
      <c r="C23" s="262">
        <f>VLOOKUP($A23,T16Percentage,$C$4+'Table 16 data'!D$1,0)</f>
        <v>904</v>
      </c>
      <c r="D23" s="263">
        <f>VLOOKUP($A23,T16Percentage,$C$4+'Table 16 data'!E$1,0)</f>
        <v>74.099999999999994</v>
      </c>
      <c r="E23" s="263">
        <f>VLOOKUP($A23,T16Percentage,$C$4+'Table 16 data'!F$1,0)</f>
        <v>52.5</v>
      </c>
      <c r="F23" s="263">
        <f>VLOOKUP($A23,T16Percentage,$C$4+'Table 16 data'!G$1,0)</f>
        <v>95.5</v>
      </c>
      <c r="G23" s="263">
        <f>VLOOKUP($A23,T16Percentage,$C$4+'Table 16 data'!H$1,0)</f>
        <v>93.5</v>
      </c>
      <c r="H23" s="263">
        <f>VLOOKUP($A23,T16Percentage,$C$4+'Table 16 data'!I$1,0)</f>
        <v>99.1</v>
      </c>
      <c r="I23" s="263">
        <f>VLOOKUP($A23,T16Percentage,$C$4+'Table 16 data'!J$1,0)</f>
        <v>319.2</v>
      </c>
      <c r="J23" s="263">
        <f>VLOOKUP($A23,T16Percentage,$C$4+'Table 16 data'!K$1,0)</f>
        <v>392.1</v>
      </c>
      <c r="K23" s="263">
        <f>VLOOKUP($A23,T16Percentage,$C$4+'Table 16 data'!L$1,0)</f>
        <v>95.5</v>
      </c>
      <c r="L23" s="263">
        <f>VLOOKUP($A23,T16Percentage,$C$4+'Table 16 data'!M$1,0)</f>
        <v>54.9</v>
      </c>
    </row>
    <row r="24" spans="1:12" ht="11.25" customHeight="1" x14ac:dyDescent="0.2">
      <c r="A24" s="125" t="s">
        <v>44</v>
      </c>
      <c r="B24" s="126" t="s">
        <v>45</v>
      </c>
      <c r="C24" s="262">
        <f>VLOOKUP($A24,T16Percentage,$C$4+'Table 16 data'!D$1,0)</f>
        <v>825</v>
      </c>
      <c r="D24" s="263">
        <f>VLOOKUP($A24,T16Percentage,$C$4+'Table 16 data'!E$1,0)</f>
        <v>73.599999999999994</v>
      </c>
      <c r="E24" s="263">
        <f>VLOOKUP($A24,T16Percentage,$C$4+'Table 16 data'!F$1,0)</f>
        <v>41.3</v>
      </c>
      <c r="F24" s="263">
        <f>VLOOKUP($A24,T16Percentage,$C$4+'Table 16 data'!G$1,0)</f>
        <v>93.7</v>
      </c>
      <c r="G24" s="263">
        <f>VLOOKUP($A24,T16Percentage,$C$4+'Table 16 data'!H$1,0)</f>
        <v>90.8</v>
      </c>
      <c r="H24" s="263">
        <f>VLOOKUP($A24,T16Percentage,$C$4+'Table 16 data'!I$1,0)</f>
        <v>98.7</v>
      </c>
      <c r="I24" s="263">
        <f>VLOOKUP($A24,T16Percentage,$C$4+'Table 16 data'!J$1,0)</f>
        <v>315.10000000000002</v>
      </c>
      <c r="J24" s="263">
        <f>VLOOKUP($A24,T16Percentage,$C$4+'Table 16 data'!K$1,0)</f>
        <v>413.2</v>
      </c>
      <c r="K24" s="263">
        <f>VLOOKUP($A24,T16Percentage,$C$4+'Table 16 data'!L$1,0)</f>
        <v>93.5</v>
      </c>
      <c r="L24" s="263">
        <f>VLOOKUP($A24,T16Percentage,$C$4+'Table 16 data'!M$1,0)</f>
        <v>41.7</v>
      </c>
    </row>
    <row r="25" spans="1:12" ht="11.25" customHeight="1" x14ac:dyDescent="0.2">
      <c r="A25" s="125" t="s">
        <v>46</v>
      </c>
      <c r="B25" s="126" t="s">
        <v>47</v>
      </c>
      <c r="C25" s="262">
        <f>VLOOKUP($A25,T16Percentage,$C$4+'Table 16 data'!D$1,0)</f>
        <v>1808</v>
      </c>
      <c r="D25" s="263">
        <f>VLOOKUP($A25,T16Percentage,$C$4+'Table 16 data'!E$1,0)</f>
        <v>81.900000000000006</v>
      </c>
      <c r="E25" s="263">
        <f>VLOOKUP($A25,T16Percentage,$C$4+'Table 16 data'!F$1,0)</f>
        <v>53.9</v>
      </c>
      <c r="F25" s="263">
        <f>VLOOKUP($A25,T16Percentage,$C$4+'Table 16 data'!G$1,0)</f>
        <v>95.1</v>
      </c>
      <c r="G25" s="263">
        <f>VLOOKUP($A25,T16Percentage,$C$4+'Table 16 data'!H$1,0)</f>
        <v>93.2</v>
      </c>
      <c r="H25" s="263">
        <f>VLOOKUP($A25,T16Percentage,$C$4+'Table 16 data'!I$1,0)</f>
        <v>99.6</v>
      </c>
      <c r="I25" s="263">
        <f>VLOOKUP($A25,T16Percentage,$C$4+'Table 16 data'!J$1,0)</f>
        <v>326</v>
      </c>
      <c r="J25" s="263">
        <f>VLOOKUP($A25,T16Percentage,$C$4+'Table 16 data'!K$1,0)</f>
        <v>428.7</v>
      </c>
      <c r="K25" s="263">
        <f>VLOOKUP($A25,T16Percentage,$C$4+'Table 16 data'!L$1,0)</f>
        <v>97.3</v>
      </c>
      <c r="L25" s="263">
        <f>VLOOKUP($A25,T16Percentage,$C$4+'Table 16 data'!M$1,0)</f>
        <v>55</v>
      </c>
    </row>
    <row r="26" spans="1:12" ht="11.25" customHeight="1" x14ac:dyDescent="0.2">
      <c r="A26" s="125" t="s">
        <v>48</v>
      </c>
      <c r="B26" s="126" t="s">
        <v>49</v>
      </c>
      <c r="C26" s="262">
        <f>VLOOKUP($A26,T16Percentage,$C$4+'Table 16 data'!D$1,0)</f>
        <v>1115</v>
      </c>
      <c r="D26" s="263">
        <f>VLOOKUP($A26,T16Percentage,$C$4+'Table 16 data'!E$1,0)</f>
        <v>79.900000000000006</v>
      </c>
      <c r="E26" s="263">
        <f>VLOOKUP($A26,T16Percentage,$C$4+'Table 16 data'!F$1,0)</f>
        <v>57.5</v>
      </c>
      <c r="F26" s="263">
        <f>VLOOKUP($A26,T16Percentage,$C$4+'Table 16 data'!G$1,0)</f>
        <v>96.8</v>
      </c>
      <c r="G26" s="263">
        <f>VLOOKUP($A26,T16Percentage,$C$4+'Table 16 data'!H$1,0)</f>
        <v>96.1</v>
      </c>
      <c r="H26" s="263">
        <f>VLOOKUP($A26,T16Percentage,$C$4+'Table 16 data'!I$1,0)</f>
        <v>99.9</v>
      </c>
      <c r="I26" s="263">
        <f>VLOOKUP($A26,T16Percentage,$C$4+'Table 16 data'!J$1,0)</f>
        <v>334.2</v>
      </c>
      <c r="J26" s="263">
        <f>VLOOKUP($A26,T16Percentage,$C$4+'Table 16 data'!K$1,0)</f>
        <v>450.4</v>
      </c>
      <c r="K26" s="263">
        <f>VLOOKUP($A26,T16Percentage,$C$4+'Table 16 data'!L$1,0)</f>
        <v>96.8</v>
      </c>
      <c r="L26" s="263">
        <f>VLOOKUP($A26,T16Percentage,$C$4+'Table 16 data'!M$1,0)</f>
        <v>57.9</v>
      </c>
    </row>
    <row r="27" spans="1:12" ht="11.25" customHeight="1" x14ac:dyDescent="0.2">
      <c r="A27" s="125" t="s">
        <v>50</v>
      </c>
      <c r="B27" s="126" t="s">
        <v>51</v>
      </c>
      <c r="C27" s="262">
        <f>VLOOKUP($A27,T16Percentage,$C$4+'Table 16 data'!D$1,0)</f>
        <v>2114</v>
      </c>
      <c r="D27" s="263">
        <f>VLOOKUP($A27,T16Percentage,$C$4+'Table 16 data'!E$1,0)</f>
        <v>79.3</v>
      </c>
      <c r="E27" s="263">
        <f>VLOOKUP($A27,T16Percentage,$C$4+'Table 16 data'!F$1,0)</f>
        <v>56.1</v>
      </c>
      <c r="F27" s="263">
        <f>VLOOKUP($A27,T16Percentage,$C$4+'Table 16 data'!G$1,0)</f>
        <v>96.8</v>
      </c>
      <c r="G27" s="263">
        <f>VLOOKUP($A27,T16Percentage,$C$4+'Table 16 data'!H$1,0)</f>
        <v>94</v>
      </c>
      <c r="H27" s="263">
        <f>VLOOKUP($A27,T16Percentage,$C$4+'Table 16 data'!I$1,0)</f>
        <v>99.4</v>
      </c>
      <c r="I27" s="263">
        <f>VLOOKUP($A27,T16Percentage,$C$4+'Table 16 data'!J$1,0)</f>
        <v>338.6</v>
      </c>
      <c r="J27" s="263">
        <f>VLOOKUP($A27,T16Percentage,$C$4+'Table 16 data'!K$1,0)</f>
        <v>464.4</v>
      </c>
      <c r="K27" s="263">
        <f>VLOOKUP($A27,T16Percentage,$C$4+'Table 16 data'!L$1,0)</f>
        <v>98.2</v>
      </c>
      <c r="L27" s="263">
        <f>VLOOKUP($A27,T16Percentage,$C$4+'Table 16 data'!M$1,0)</f>
        <v>56.6</v>
      </c>
    </row>
    <row r="28" spans="1:12" ht="11.25" customHeight="1" x14ac:dyDescent="0.2">
      <c r="A28" s="125" t="s">
        <v>52</v>
      </c>
      <c r="B28" s="126" t="s">
        <v>53</v>
      </c>
      <c r="C28" s="262">
        <f>VLOOKUP($A28,T16Percentage,$C$4+'Table 16 data'!D$1,0)</f>
        <v>1998</v>
      </c>
      <c r="D28" s="263">
        <f>VLOOKUP($A28,T16Percentage,$C$4+'Table 16 data'!E$1,0)</f>
        <v>78.8</v>
      </c>
      <c r="E28" s="263">
        <f>VLOOKUP($A28,T16Percentage,$C$4+'Table 16 data'!F$1,0)</f>
        <v>58.5</v>
      </c>
      <c r="F28" s="263">
        <f>VLOOKUP($A28,T16Percentage,$C$4+'Table 16 data'!G$1,0)</f>
        <v>94.9</v>
      </c>
      <c r="G28" s="263">
        <f>VLOOKUP($A28,T16Percentage,$C$4+'Table 16 data'!H$1,0)</f>
        <v>93.4</v>
      </c>
      <c r="H28" s="263">
        <f>VLOOKUP($A28,T16Percentage,$C$4+'Table 16 data'!I$1,0)</f>
        <v>98.6</v>
      </c>
      <c r="I28" s="263">
        <f>VLOOKUP($A28,T16Percentage,$C$4+'Table 16 data'!J$1,0)</f>
        <v>328.9</v>
      </c>
      <c r="J28" s="263">
        <f>VLOOKUP($A28,T16Percentage,$C$4+'Table 16 data'!K$1,0)</f>
        <v>437.4</v>
      </c>
      <c r="K28" s="263">
        <f>VLOOKUP($A28,T16Percentage,$C$4+'Table 16 data'!L$1,0)</f>
        <v>96.7</v>
      </c>
      <c r="L28" s="263">
        <f>VLOOKUP($A28,T16Percentage,$C$4+'Table 16 data'!M$1,0)</f>
        <v>59.4</v>
      </c>
    </row>
    <row r="29" spans="1:12" ht="11.25" customHeight="1" x14ac:dyDescent="0.2">
      <c r="A29" s="125" t="s">
        <v>54</v>
      </c>
      <c r="B29" s="126" t="s">
        <v>55</v>
      </c>
      <c r="C29" s="262">
        <f>VLOOKUP($A29,T16Percentage,$C$4+'Table 16 data'!D$1,0)</f>
        <v>2926</v>
      </c>
      <c r="D29" s="263">
        <f>VLOOKUP($A29,T16Percentage,$C$4+'Table 16 data'!E$1,0)</f>
        <v>76.400000000000006</v>
      </c>
      <c r="E29" s="263">
        <f>VLOOKUP($A29,T16Percentage,$C$4+'Table 16 data'!F$1,0)</f>
        <v>49.6</v>
      </c>
      <c r="F29" s="263">
        <f>VLOOKUP($A29,T16Percentage,$C$4+'Table 16 data'!G$1,0)</f>
        <v>95.1</v>
      </c>
      <c r="G29" s="263">
        <f>VLOOKUP($A29,T16Percentage,$C$4+'Table 16 data'!H$1,0)</f>
        <v>93.3</v>
      </c>
      <c r="H29" s="263">
        <f>VLOOKUP($A29,T16Percentage,$C$4+'Table 16 data'!I$1,0)</f>
        <v>99.2</v>
      </c>
      <c r="I29" s="263">
        <f>VLOOKUP($A29,T16Percentage,$C$4+'Table 16 data'!J$1,0)</f>
        <v>326.8</v>
      </c>
      <c r="J29" s="263">
        <f>VLOOKUP($A29,T16Percentage,$C$4+'Table 16 data'!K$1,0)</f>
        <v>423.8</v>
      </c>
      <c r="K29" s="263">
        <f>VLOOKUP($A29,T16Percentage,$C$4+'Table 16 data'!L$1,0)</f>
        <v>95.6</v>
      </c>
      <c r="L29" s="263">
        <f>VLOOKUP($A29,T16Percentage,$C$4+'Table 16 data'!M$1,0)</f>
        <v>50.6</v>
      </c>
    </row>
    <row r="30" spans="1:12" ht="11.25" customHeight="1" x14ac:dyDescent="0.2">
      <c r="A30" s="125" t="s">
        <v>56</v>
      </c>
      <c r="B30" s="126" t="s">
        <v>57</v>
      </c>
      <c r="C30" s="262">
        <f>VLOOKUP($A30,T16Percentage,$C$4+'Table 16 data'!D$1,0)</f>
        <v>720</v>
      </c>
      <c r="D30" s="263">
        <f>VLOOKUP($A30,T16Percentage,$C$4+'Table 16 data'!E$1,0)</f>
        <v>82.6</v>
      </c>
      <c r="E30" s="263">
        <f>VLOOKUP($A30,T16Percentage,$C$4+'Table 16 data'!F$1,0)</f>
        <v>55.4</v>
      </c>
      <c r="F30" s="263">
        <f>VLOOKUP($A30,T16Percentage,$C$4+'Table 16 data'!G$1,0)</f>
        <v>94.2</v>
      </c>
      <c r="G30" s="263">
        <f>VLOOKUP($A30,T16Percentage,$C$4+'Table 16 data'!H$1,0)</f>
        <v>92.2</v>
      </c>
      <c r="H30" s="263">
        <f>VLOOKUP($A30,T16Percentage,$C$4+'Table 16 data'!I$1,0)</f>
        <v>99.2</v>
      </c>
      <c r="I30" s="263">
        <f>VLOOKUP($A30,T16Percentage,$C$4+'Table 16 data'!J$1,0)</f>
        <v>325.60000000000002</v>
      </c>
      <c r="J30" s="263">
        <f>VLOOKUP($A30,T16Percentage,$C$4+'Table 16 data'!K$1,0)</f>
        <v>447.7</v>
      </c>
      <c r="K30" s="263">
        <f>VLOOKUP($A30,T16Percentage,$C$4+'Table 16 data'!L$1,0)</f>
        <v>94.7</v>
      </c>
      <c r="L30" s="263">
        <f>VLOOKUP($A30,T16Percentage,$C$4+'Table 16 data'!M$1,0)</f>
        <v>56.3</v>
      </c>
    </row>
    <row r="31" spans="1:12" ht="11.25" customHeight="1" x14ac:dyDescent="0.2">
      <c r="A31" s="125" t="s">
        <v>58</v>
      </c>
      <c r="B31" s="126" t="s">
        <v>59</v>
      </c>
      <c r="C31" s="262">
        <f>VLOOKUP($A31,T16Percentage,$C$4+'Table 16 data'!D$1,0)</f>
        <v>695</v>
      </c>
      <c r="D31" s="263">
        <f>VLOOKUP($A31,T16Percentage,$C$4+'Table 16 data'!E$1,0)</f>
        <v>70.2</v>
      </c>
      <c r="E31" s="263">
        <f>VLOOKUP($A31,T16Percentage,$C$4+'Table 16 data'!F$1,0)</f>
        <v>39.6</v>
      </c>
      <c r="F31" s="263">
        <f>VLOOKUP($A31,T16Percentage,$C$4+'Table 16 data'!G$1,0)</f>
        <v>88.3</v>
      </c>
      <c r="G31" s="263">
        <f>VLOOKUP($A31,T16Percentage,$C$4+'Table 16 data'!H$1,0)</f>
        <v>86.2</v>
      </c>
      <c r="H31" s="263">
        <f>VLOOKUP($A31,T16Percentage,$C$4+'Table 16 data'!I$1,0)</f>
        <v>98.1</v>
      </c>
      <c r="I31" s="263">
        <f>VLOOKUP($A31,T16Percentage,$C$4+'Table 16 data'!J$1,0)</f>
        <v>289.5</v>
      </c>
      <c r="J31" s="263">
        <f>VLOOKUP($A31,T16Percentage,$C$4+'Table 16 data'!K$1,0)</f>
        <v>361.8</v>
      </c>
      <c r="K31" s="263">
        <f>VLOOKUP($A31,T16Percentage,$C$4+'Table 16 data'!L$1,0)</f>
        <v>91.8</v>
      </c>
      <c r="L31" s="263">
        <f>VLOOKUP($A31,T16Percentage,$C$4+'Table 16 data'!M$1,0)</f>
        <v>40.1</v>
      </c>
    </row>
    <row r="32" spans="1:12" ht="11.25" customHeight="1" x14ac:dyDescent="0.2">
      <c r="A32" s="125" t="s">
        <v>60</v>
      </c>
      <c r="B32" s="126" t="s">
        <v>61</v>
      </c>
      <c r="C32" s="262">
        <f>VLOOKUP($A32,T16Percentage,$C$4+'Table 16 data'!D$1,0)</f>
        <v>6825</v>
      </c>
      <c r="D32" s="263">
        <f>VLOOKUP($A32,T16Percentage,$C$4+'Table 16 data'!E$1,0)</f>
        <v>79.099999999999994</v>
      </c>
      <c r="E32" s="263">
        <f>VLOOKUP($A32,T16Percentage,$C$4+'Table 16 data'!F$1,0)</f>
        <v>55.6</v>
      </c>
      <c r="F32" s="263">
        <f>VLOOKUP($A32,T16Percentage,$C$4+'Table 16 data'!G$1,0)</f>
        <v>94.9</v>
      </c>
      <c r="G32" s="263">
        <f>VLOOKUP($A32,T16Percentage,$C$4+'Table 16 data'!H$1,0)</f>
        <v>93.4</v>
      </c>
      <c r="H32" s="263">
        <f>VLOOKUP($A32,T16Percentage,$C$4+'Table 16 data'!I$1,0)</f>
        <v>99.2</v>
      </c>
      <c r="I32" s="263">
        <f>VLOOKUP($A32,T16Percentage,$C$4+'Table 16 data'!J$1,0)</f>
        <v>330.2</v>
      </c>
      <c r="J32" s="263">
        <f>VLOOKUP($A32,T16Percentage,$C$4+'Table 16 data'!K$1,0)</f>
        <v>444.5</v>
      </c>
      <c r="K32" s="263">
        <f>VLOOKUP($A32,T16Percentage,$C$4+'Table 16 data'!L$1,0)</f>
        <v>95.7</v>
      </c>
      <c r="L32" s="263">
        <f>VLOOKUP($A32,T16Percentage,$C$4+'Table 16 data'!M$1,0)</f>
        <v>56.4</v>
      </c>
    </row>
    <row r="33" spans="1:12" ht="11.25" customHeight="1" x14ac:dyDescent="0.2">
      <c r="A33" s="125" t="s">
        <v>62</v>
      </c>
      <c r="B33" s="126" t="s">
        <v>63</v>
      </c>
      <c r="C33" s="262">
        <f>VLOOKUP($A33,T16Percentage,$C$4+'Table 16 data'!D$1,0)</f>
        <v>2501</v>
      </c>
      <c r="D33" s="263">
        <f>VLOOKUP($A33,T16Percentage,$C$4+'Table 16 data'!E$1,0)</f>
        <v>82.4</v>
      </c>
      <c r="E33" s="263">
        <f>VLOOKUP($A33,T16Percentage,$C$4+'Table 16 data'!F$1,0)</f>
        <v>52.2</v>
      </c>
      <c r="F33" s="263">
        <f>VLOOKUP($A33,T16Percentage,$C$4+'Table 16 data'!G$1,0)</f>
        <v>94.4</v>
      </c>
      <c r="G33" s="263">
        <f>VLOOKUP($A33,T16Percentage,$C$4+'Table 16 data'!H$1,0)</f>
        <v>92.6</v>
      </c>
      <c r="H33" s="263">
        <f>VLOOKUP($A33,T16Percentage,$C$4+'Table 16 data'!I$1,0)</f>
        <v>99</v>
      </c>
      <c r="I33" s="263">
        <f>VLOOKUP($A33,T16Percentage,$C$4+'Table 16 data'!J$1,0)</f>
        <v>331</v>
      </c>
      <c r="J33" s="263">
        <f>VLOOKUP($A33,T16Percentage,$C$4+'Table 16 data'!K$1,0)</f>
        <v>446.9</v>
      </c>
      <c r="K33" s="263">
        <f>VLOOKUP($A33,T16Percentage,$C$4+'Table 16 data'!L$1,0)</f>
        <v>95.6</v>
      </c>
      <c r="L33" s="263">
        <f>VLOOKUP($A33,T16Percentage,$C$4+'Table 16 data'!M$1,0)</f>
        <v>53.1</v>
      </c>
    </row>
    <row r="34" spans="1:12" ht="11.25" customHeight="1" x14ac:dyDescent="0.2">
      <c r="A34" s="125" t="s">
        <v>64</v>
      </c>
      <c r="B34" s="126" t="s">
        <v>65</v>
      </c>
      <c r="C34" s="262">
        <f>VLOOKUP($A34,T16Percentage,$C$4+'Table 16 data'!D$1,0)</f>
        <v>2273</v>
      </c>
      <c r="D34" s="263">
        <f>VLOOKUP($A34,T16Percentage,$C$4+'Table 16 data'!E$1,0)</f>
        <v>78</v>
      </c>
      <c r="E34" s="263">
        <f>VLOOKUP($A34,T16Percentage,$C$4+'Table 16 data'!F$1,0)</f>
        <v>48.7</v>
      </c>
      <c r="F34" s="263">
        <f>VLOOKUP($A34,T16Percentage,$C$4+'Table 16 data'!G$1,0)</f>
        <v>90.6</v>
      </c>
      <c r="G34" s="263">
        <f>VLOOKUP($A34,T16Percentage,$C$4+'Table 16 data'!H$1,0)</f>
        <v>87.9</v>
      </c>
      <c r="H34" s="263">
        <f>VLOOKUP($A34,T16Percentage,$C$4+'Table 16 data'!I$1,0)</f>
        <v>98.5</v>
      </c>
      <c r="I34" s="263">
        <f>VLOOKUP($A34,T16Percentage,$C$4+'Table 16 data'!J$1,0)</f>
        <v>311.89999999999998</v>
      </c>
      <c r="J34" s="263">
        <f>VLOOKUP($A34,T16Percentage,$C$4+'Table 16 data'!K$1,0)</f>
        <v>417.5</v>
      </c>
      <c r="K34" s="263">
        <f>VLOOKUP($A34,T16Percentage,$C$4+'Table 16 data'!L$1,0)</f>
        <v>93.9</v>
      </c>
      <c r="L34" s="263">
        <f>VLOOKUP($A34,T16Percentage,$C$4+'Table 16 data'!M$1,0)</f>
        <v>49.1</v>
      </c>
    </row>
    <row r="35" spans="1:12" ht="11.25" customHeight="1" x14ac:dyDescent="0.2">
      <c r="A35" s="125" t="s">
        <v>66</v>
      </c>
      <c r="B35" s="126" t="s">
        <v>67</v>
      </c>
      <c r="C35" s="262">
        <f>VLOOKUP($A35,T16Percentage,$C$4+'Table 16 data'!D$1,0)</f>
        <v>1623</v>
      </c>
      <c r="D35" s="263">
        <f>VLOOKUP($A35,T16Percentage,$C$4+'Table 16 data'!E$1,0)</f>
        <v>80.7</v>
      </c>
      <c r="E35" s="263">
        <f>VLOOKUP($A35,T16Percentage,$C$4+'Table 16 data'!F$1,0)</f>
        <v>50.2</v>
      </c>
      <c r="F35" s="263">
        <f>VLOOKUP($A35,T16Percentage,$C$4+'Table 16 data'!G$1,0)</f>
        <v>95.3</v>
      </c>
      <c r="G35" s="263">
        <f>VLOOKUP($A35,T16Percentage,$C$4+'Table 16 data'!H$1,0)</f>
        <v>93</v>
      </c>
      <c r="H35" s="263">
        <f>VLOOKUP($A35,T16Percentage,$C$4+'Table 16 data'!I$1,0)</f>
        <v>99.3</v>
      </c>
      <c r="I35" s="263">
        <f>VLOOKUP($A35,T16Percentage,$C$4+'Table 16 data'!J$1,0)</f>
        <v>324.89999999999998</v>
      </c>
      <c r="J35" s="263">
        <f>VLOOKUP($A35,T16Percentage,$C$4+'Table 16 data'!K$1,0)</f>
        <v>445.4</v>
      </c>
      <c r="K35" s="263">
        <f>VLOOKUP($A35,T16Percentage,$C$4+'Table 16 data'!L$1,0)</f>
        <v>96.2</v>
      </c>
      <c r="L35" s="263">
        <f>VLOOKUP($A35,T16Percentage,$C$4+'Table 16 data'!M$1,0)</f>
        <v>51.6</v>
      </c>
    </row>
    <row r="36" spans="1:12" ht="11.25" customHeight="1" x14ac:dyDescent="0.2">
      <c r="A36" s="125" t="s">
        <v>68</v>
      </c>
      <c r="B36" s="126" t="s">
        <v>69</v>
      </c>
      <c r="C36" s="262">
        <f>VLOOKUP($A36,T16Percentage,$C$4+'Table 16 data'!D$1,0)</f>
        <v>1183</v>
      </c>
      <c r="D36" s="263">
        <f>VLOOKUP($A36,T16Percentage,$C$4+'Table 16 data'!E$1,0)</f>
        <v>78.3</v>
      </c>
      <c r="E36" s="263">
        <f>VLOOKUP($A36,T16Percentage,$C$4+'Table 16 data'!F$1,0)</f>
        <v>52.7</v>
      </c>
      <c r="F36" s="263">
        <f>VLOOKUP($A36,T16Percentage,$C$4+'Table 16 data'!G$1,0)</f>
        <v>94</v>
      </c>
      <c r="G36" s="263">
        <f>VLOOKUP($A36,T16Percentage,$C$4+'Table 16 data'!H$1,0)</f>
        <v>91.1</v>
      </c>
      <c r="H36" s="263">
        <f>VLOOKUP($A36,T16Percentage,$C$4+'Table 16 data'!I$1,0)</f>
        <v>99.4</v>
      </c>
      <c r="I36" s="263">
        <f>VLOOKUP($A36,T16Percentage,$C$4+'Table 16 data'!J$1,0)</f>
        <v>319.3</v>
      </c>
      <c r="J36" s="263">
        <f>VLOOKUP($A36,T16Percentage,$C$4+'Table 16 data'!K$1,0)</f>
        <v>421.8</v>
      </c>
      <c r="K36" s="263">
        <f>VLOOKUP($A36,T16Percentage,$C$4+'Table 16 data'!L$1,0)</f>
        <v>96.2</v>
      </c>
      <c r="L36" s="263">
        <f>VLOOKUP($A36,T16Percentage,$C$4+'Table 16 data'!M$1,0)</f>
        <v>54.1</v>
      </c>
    </row>
    <row r="37" spans="1:12" ht="11.25" customHeight="1" x14ac:dyDescent="0.2">
      <c r="A37" s="125" t="s">
        <v>70</v>
      </c>
      <c r="B37" s="126" t="s">
        <v>71</v>
      </c>
      <c r="C37" s="262">
        <f>VLOOKUP($A37,T16Percentage,$C$4+'Table 16 data'!D$1,0)</f>
        <v>1156</v>
      </c>
      <c r="D37" s="263">
        <f>VLOOKUP($A37,T16Percentage,$C$4+'Table 16 data'!E$1,0)</f>
        <v>82.2</v>
      </c>
      <c r="E37" s="263">
        <f>VLOOKUP($A37,T16Percentage,$C$4+'Table 16 data'!F$1,0)</f>
        <v>50.5</v>
      </c>
      <c r="F37" s="263">
        <f>VLOOKUP($A37,T16Percentage,$C$4+'Table 16 data'!G$1,0)</f>
        <v>95.4</v>
      </c>
      <c r="G37" s="263">
        <f>VLOOKUP($A37,T16Percentage,$C$4+'Table 16 data'!H$1,0)</f>
        <v>92</v>
      </c>
      <c r="H37" s="263">
        <f>VLOOKUP($A37,T16Percentage,$C$4+'Table 16 data'!I$1,0)</f>
        <v>99.3</v>
      </c>
      <c r="I37" s="263">
        <f>VLOOKUP($A37,T16Percentage,$C$4+'Table 16 data'!J$1,0)</f>
        <v>322.89999999999998</v>
      </c>
      <c r="J37" s="263">
        <f>VLOOKUP($A37,T16Percentage,$C$4+'Table 16 data'!K$1,0)</f>
        <v>429.1</v>
      </c>
      <c r="K37" s="263">
        <f>VLOOKUP($A37,T16Percentage,$C$4+'Table 16 data'!L$1,0)</f>
        <v>95.6</v>
      </c>
      <c r="L37" s="263">
        <f>VLOOKUP($A37,T16Percentage,$C$4+'Table 16 data'!M$1,0)</f>
        <v>50.9</v>
      </c>
    </row>
    <row r="38" spans="1:12" ht="11.25" customHeight="1" x14ac:dyDescent="0.2">
      <c r="A38" s="125" t="s">
        <v>72</v>
      </c>
      <c r="B38" s="126" t="s">
        <v>73</v>
      </c>
      <c r="C38" s="262">
        <f>VLOOKUP($A38,T16Percentage,$C$4+'Table 16 data'!D$1,0)</f>
        <v>1788</v>
      </c>
      <c r="D38" s="263">
        <f>VLOOKUP($A38,T16Percentage,$C$4+'Table 16 data'!E$1,0)</f>
        <v>85</v>
      </c>
      <c r="E38" s="263">
        <f>VLOOKUP($A38,T16Percentage,$C$4+'Table 16 data'!F$1,0)</f>
        <v>57.3</v>
      </c>
      <c r="F38" s="263">
        <f>VLOOKUP($A38,T16Percentage,$C$4+'Table 16 data'!G$1,0)</f>
        <v>94.9</v>
      </c>
      <c r="G38" s="263">
        <f>VLOOKUP($A38,T16Percentage,$C$4+'Table 16 data'!H$1,0)</f>
        <v>94.1</v>
      </c>
      <c r="H38" s="263">
        <f>VLOOKUP($A38,T16Percentage,$C$4+'Table 16 data'!I$1,0)</f>
        <v>99.1</v>
      </c>
      <c r="I38" s="263">
        <f>VLOOKUP($A38,T16Percentage,$C$4+'Table 16 data'!J$1,0)</f>
        <v>333.5</v>
      </c>
      <c r="J38" s="263">
        <f>VLOOKUP($A38,T16Percentage,$C$4+'Table 16 data'!K$1,0)</f>
        <v>435.6</v>
      </c>
      <c r="K38" s="263">
        <f>VLOOKUP($A38,T16Percentage,$C$4+'Table 16 data'!L$1,0)</f>
        <v>96.8</v>
      </c>
      <c r="L38" s="263">
        <f>VLOOKUP($A38,T16Percentage,$C$4+'Table 16 data'!M$1,0)</f>
        <v>57.8</v>
      </c>
    </row>
    <row r="39" spans="1:12" ht="11.25" customHeight="1" x14ac:dyDescent="0.2">
      <c r="A39" s="125" t="s">
        <v>74</v>
      </c>
      <c r="B39" s="126" t="s">
        <v>75</v>
      </c>
      <c r="C39" s="262">
        <f>VLOOKUP($A39,T16Percentage,$C$4+'Table 16 data'!D$1,0)</f>
        <v>987</v>
      </c>
      <c r="D39" s="263">
        <f>VLOOKUP($A39,T16Percentage,$C$4+'Table 16 data'!E$1,0)</f>
        <v>83.9</v>
      </c>
      <c r="E39" s="263">
        <f>VLOOKUP($A39,T16Percentage,$C$4+'Table 16 data'!F$1,0)</f>
        <v>49.1</v>
      </c>
      <c r="F39" s="263">
        <f>VLOOKUP($A39,T16Percentage,$C$4+'Table 16 data'!G$1,0)</f>
        <v>95.3</v>
      </c>
      <c r="G39" s="263">
        <f>VLOOKUP($A39,T16Percentage,$C$4+'Table 16 data'!H$1,0)</f>
        <v>92.7</v>
      </c>
      <c r="H39" s="263">
        <f>VLOOKUP($A39,T16Percentage,$C$4+'Table 16 data'!I$1,0)</f>
        <v>99.4</v>
      </c>
      <c r="I39" s="263">
        <f>VLOOKUP($A39,T16Percentage,$C$4+'Table 16 data'!J$1,0)</f>
        <v>330.7</v>
      </c>
      <c r="J39" s="263">
        <f>VLOOKUP($A39,T16Percentage,$C$4+'Table 16 data'!K$1,0)</f>
        <v>434.6</v>
      </c>
      <c r="K39" s="263">
        <f>VLOOKUP($A39,T16Percentage,$C$4+'Table 16 data'!L$1,0)</f>
        <v>95.6</v>
      </c>
      <c r="L39" s="263">
        <f>VLOOKUP($A39,T16Percentage,$C$4+'Table 16 data'!M$1,0)</f>
        <v>49.8</v>
      </c>
    </row>
    <row r="40" spans="1:12" ht="11.25" customHeight="1" x14ac:dyDescent="0.2">
      <c r="A40" s="125" t="s">
        <v>76</v>
      </c>
      <c r="B40" s="126" t="s">
        <v>77</v>
      </c>
      <c r="C40" s="262">
        <f>VLOOKUP($A40,T16Percentage,$C$4+'Table 16 data'!D$1,0)</f>
        <v>1540</v>
      </c>
      <c r="D40" s="263">
        <f>VLOOKUP($A40,T16Percentage,$C$4+'Table 16 data'!E$1,0)</f>
        <v>81.400000000000006</v>
      </c>
      <c r="E40" s="263">
        <f>VLOOKUP($A40,T16Percentage,$C$4+'Table 16 data'!F$1,0)</f>
        <v>60.3</v>
      </c>
      <c r="F40" s="263">
        <f>VLOOKUP($A40,T16Percentage,$C$4+'Table 16 data'!G$1,0)</f>
        <v>94.9</v>
      </c>
      <c r="G40" s="263">
        <f>VLOOKUP($A40,T16Percentage,$C$4+'Table 16 data'!H$1,0)</f>
        <v>94.2</v>
      </c>
      <c r="H40" s="263">
        <f>VLOOKUP($A40,T16Percentage,$C$4+'Table 16 data'!I$1,0)</f>
        <v>99.2</v>
      </c>
      <c r="I40" s="263">
        <f>VLOOKUP($A40,T16Percentage,$C$4+'Table 16 data'!J$1,0)</f>
        <v>333</v>
      </c>
      <c r="J40" s="263">
        <f>VLOOKUP($A40,T16Percentage,$C$4+'Table 16 data'!K$1,0)</f>
        <v>449.6</v>
      </c>
      <c r="K40" s="263">
        <f>VLOOKUP($A40,T16Percentage,$C$4+'Table 16 data'!L$1,0)</f>
        <v>96.6</v>
      </c>
      <c r="L40" s="263">
        <f>VLOOKUP($A40,T16Percentage,$C$4+'Table 16 data'!M$1,0)</f>
        <v>61.7</v>
      </c>
    </row>
    <row r="41" spans="1:12" ht="11.25" customHeight="1" x14ac:dyDescent="0.2">
      <c r="A41" s="125" t="s">
        <v>78</v>
      </c>
      <c r="B41" s="126" t="s">
        <v>79</v>
      </c>
      <c r="C41" s="262">
        <f>VLOOKUP($A41,T16Percentage,$C$4+'Table 16 data'!D$1,0)</f>
        <v>1347</v>
      </c>
      <c r="D41" s="263">
        <f>VLOOKUP($A41,T16Percentage,$C$4+'Table 16 data'!E$1,0)</f>
        <v>80.7</v>
      </c>
      <c r="E41" s="263">
        <f>VLOOKUP($A41,T16Percentage,$C$4+'Table 16 data'!F$1,0)</f>
        <v>54.6</v>
      </c>
      <c r="F41" s="263">
        <f>VLOOKUP($A41,T16Percentage,$C$4+'Table 16 data'!G$1,0)</f>
        <v>95.2</v>
      </c>
      <c r="G41" s="263">
        <f>VLOOKUP($A41,T16Percentage,$C$4+'Table 16 data'!H$1,0)</f>
        <v>93</v>
      </c>
      <c r="H41" s="263">
        <f>VLOOKUP($A41,T16Percentage,$C$4+'Table 16 data'!I$1,0)</f>
        <v>99.1</v>
      </c>
      <c r="I41" s="263">
        <f>VLOOKUP($A41,T16Percentage,$C$4+'Table 16 data'!J$1,0)</f>
        <v>326.60000000000002</v>
      </c>
      <c r="J41" s="263">
        <f>VLOOKUP($A41,T16Percentage,$C$4+'Table 16 data'!K$1,0)</f>
        <v>432</v>
      </c>
      <c r="K41" s="263">
        <f>VLOOKUP($A41,T16Percentage,$C$4+'Table 16 data'!L$1,0)</f>
        <v>95.6</v>
      </c>
      <c r="L41" s="263">
        <f>VLOOKUP($A41,T16Percentage,$C$4+'Table 16 data'!M$1,0)</f>
        <v>55.6</v>
      </c>
    </row>
    <row r="42" spans="1:12" ht="11.25" customHeight="1" x14ac:dyDescent="0.2">
      <c r="A42" s="125" t="s">
        <v>80</v>
      </c>
      <c r="B42" s="126" t="s">
        <v>81</v>
      </c>
      <c r="C42" s="262">
        <f>VLOOKUP($A42,T16Percentage,$C$4+'Table 16 data'!D$1,0)</f>
        <v>1533</v>
      </c>
      <c r="D42" s="263">
        <f>VLOOKUP($A42,T16Percentage,$C$4+'Table 16 data'!E$1,0)</f>
        <v>86.5</v>
      </c>
      <c r="E42" s="263">
        <f>VLOOKUP($A42,T16Percentage,$C$4+'Table 16 data'!F$1,0)</f>
        <v>64.3</v>
      </c>
      <c r="F42" s="263">
        <f>VLOOKUP($A42,T16Percentage,$C$4+'Table 16 data'!G$1,0)</f>
        <v>97</v>
      </c>
      <c r="G42" s="263">
        <f>VLOOKUP($A42,T16Percentage,$C$4+'Table 16 data'!H$1,0)</f>
        <v>96.5</v>
      </c>
      <c r="H42" s="263">
        <f>VLOOKUP($A42,T16Percentage,$C$4+'Table 16 data'!I$1,0)</f>
        <v>99.6</v>
      </c>
      <c r="I42" s="263">
        <f>VLOOKUP($A42,T16Percentage,$C$4+'Table 16 data'!J$1,0)</f>
        <v>351</v>
      </c>
      <c r="J42" s="263">
        <f>VLOOKUP($A42,T16Percentage,$C$4+'Table 16 data'!K$1,0)</f>
        <v>498.7</v>
      </c>
      <c r="K42" s="263">
        <f>VLOOKUP($A42,T16Percentage,$C$4+'Table 16 data'!L$1,0)</f>
        <v>97.7</v>
      </c>
      <c r="L42" s="263">
        <f>VLOOKUP($A42,T16Percentage,$C$4+'Table 16 data'!M$1,0)</f>
        <v>65</v>
      </c>
    </row>
    <row r="43" spans="1:12" ht="11.25" customHeight="1" x14ac:dyDescent="0.2">
      <c r="A43" s="125" t="s">
        <v>82</v>
      </c>
      <c r="B43" s="126" t="s">
        <v>83</v>
      </c>
      <c r="C43" s="262">
        <f>VLOOKUP($A43,T16Percentage,$C$4+'Table 16 data'!D$1,0)</f>
        <v>1260</v>
      </c>
      <c r="D43" s="263">
        <f>VLOOKUP($A43,T16Percentage,$C$4+'Table 16 data'!E$1,0)</f>
        <v>80</v>
      </c>
      <c r="E43" s="263">
        <f>VLOOKUP($A43,T16Percentage,$C$4+'Table 16 data'!F$1,0)</f>
        <v>60.2</v>
      </c>
      <c r="F43" s="263">
        <f>VLOOKUP($A43,T16Percentage,$C$4+'Table 16 data'!G$1,0)</f>
        <v>96.2</v>
      </c>
      <c r="G43" s="263">
        <f>VLOOKUP($A43,T16Percentage,$C$4+'Table 16 data'!H$1,0)</f>
        <v>95.2</v>
      </c>
      <c r="H43" s="263">
        <f>VLOOKUP($A43,T16Percentage,$C$4+'Table 16 data'!I$1,0)</f>
        <v>99.4</v>
      </c>
      <c r="I43" s="263">
        <f>VLOOKUP($A43,T16Percentage,$C$4+'Table 16 data'!J$1,0)</f>
        <v>332.7</v>
      </c>
      <c r="J43" s="263">
        <f>VLOOKUP($A43,T16Percentage,$C$4+'Table 16 data'!K$1,0)</f>
        <v>435.1</v>
      </c>
      <c r="K43" s="263">
        <f>VLOOKUP($A43,T16Percentage,$C$4+'Table 16 data'!L$1,0)</f>
        <v>97.6</v>
      </c>
      <c r="L43" s="263">
        <f>VLOOKUP($A43,T16Percentage,$C$4+'Table 16 data'!M$1,0)</f>
        <v>61.8</v>
      </c>
    </row>
    <row r="44" spans="1:12" ht="11.25" customHeight="1" x14ac:dyDescent="0.2">
      <c r="A44" s="125" t="s">
        <v>84</v>
      </c>
      <c r="B44" s="126" t="s">
        <v>85</v>
      </c>
      <c r="C44" s="262">
        <f>VLOOKUP($A44,T16Percentage,$C$4+'Table 16 data'!D$1,0)</f>
        <v>1895</v>
      </c>
      <c r="D44" s="263">
        <f>VLOOKUP($A44,T16Percentage,$C$4+'Table 16 data'!E$1,0)</f>
        <v>79</v>
      </c>
      <c r="E44" s="263">
        <f>VLOOKUP($A44,T16Percentage,$C$4+'Table 16 data'!F$1,0)</f>
        <v>58</v>
      </c>
      <c r="F44" s="263">
        <f>VLOOKUP($A44,T16Percentage,$C$4+'Table 16 data'!G$1,0)</f>
        <v>95.9</v>
      </c>
      <c r="G44" s="263">
        <f>VLOOKUP($A44,T16Percentage,$C$4+'Table 16 data'!H$1,0)</f>
        <v>94.8</v>
      </c>
      <c r="H44" s="263">
        <f>VLOOKUP($A44,T16Percentage,$C$4+'Table 16 data'!I$1,0)</f>
        <v>99.5</v>
      </c>
      <c r="I44" s="263">
        <f>VLOOKUP($A44,T16Percentage,$C$4+'Table 16 data'!J$1,0)</f>
        <v>328.7</v>
      </c>
      <c r="J44" s="263">
        <f>VLOOKUP($A44,T16Percentage,$C$4+'Table 16 data'!K$1,0)</f>
        <v>434.6</v>
      </c>
      <c r="K44" s="263">
        <f>VLOOKUP($A44,T16Percentage,$C$4+'Table 16 data'!L$1,0)</f>
        <v>97.5</v>
      </c>
      <c r="L44" s="263">
        <f>VLOOKUP($A44,T16Percentage,$C$4+'Table 16 data'!M$1,0)</f>
        <v>59.5</v>
      </c>
    </row>
    <row r="45" spans="1:12" ht="11.25" customHeight="1" x14ac:dyDescent="0.2">
      <c r="A45" s="125" t="s">
        <v>86</v>
      </c>
      <c r="B45" s="126" t="s">
        <v>87</v>
      </c>
      <c r="C45" s="262">
        <f>VLOOKUP($A45,T16Percentage,$C$4+'Table 16 data'!D$1,0)</f>
        <v>1897</v>
      </c>
      <c r="D45" s="263">
        <f>VLOOKUP($A45,T16Percentage,$C$4+'Table 16 data'!E$1,0)</f>
        <v>83.3</v>
      </c>
      <c r="E45" s="263">
        <f>VLOOKUP($A45,T16Percentage,$C$4+'Table 16 data'!F$1,0)</f>
        <v>60.5</v>
      </c>
      <c r="F45" s="263">
        <f>VLOOKUP($A45,T16Percentage,$C$4+'Table 16 data'!G$1,0)</f>
        <v>95.2</v>
      </c>
      <c r="G45" s="263">
        <f>VLOOKUP($A45,T16Percentage,$C$4+'Table 16 data'!H$1,0)</f>
        <v>94.4</v>
      </c>
      <c r="H45" s="263">
        <f>VLOOKUP($A45,T16Percentage,$C$4+'Table 16 data'!I$1,0)</f>
        <v>99.7</v>
      </c>
      <c r="I45" s="263">
        <f>VLOOKUP($A45,T16Percentage,$C$4+'Table 16 data'!J$1,0)</f>
        <v>336.5</v>
      </c>
      <c r="J45" s="263">
        <f>VLOOKUP($A45,T16Percentage,$C$4+'Table 16 data'!K$1,0)</f>
        <v>438.9</v>
      </c>
      <c r="K45" s="263">
        <f>VLOOKUP($A45,T16Percentage,$C$4+'Table 16 data'!L$1,0)</f>
        <v>96.4</v>
      </c>
      <c r="L45" s="263">
        <f>VLOOKUP($A45,T16Percentage,$C$4+'Table 16 data'!M$1,0)</f>
        <v>61.8</v>
      </c>
    </row>
    <row r="46" spans="1:12" s="3" customFormat="1" ht="11.25" customHeight="1" x14ac:dyDescent="0.2">
      <c r="C46" s="264"/>
      <c r="D46" s="264"/>
      <c r="E46" s="264"/>
      <c r="F46" s="264"/>
      <c r="G46" s="264"/>
      <c r="H46" s="264"/>
      <c r="I46" s="264"/>
      <c r="J46" s="264"/>
      <c r="K46" s="264"/>
      <c r="L46" s="264"/>
    </row>
    <row r="47" spans="1:12" s="17" customFormat="1" ht="11.25" customHeight="1" x14ac:dyDescent="0.2">
      <c r="A47" s="16" t="s">
        <v>382</v>
      </c>
      <c r="B47" s="17" t="s">
        <v>88</v>
      </c>
      <c r="C47" s="260">
        <f>VLOOKUP($A47,T16Percentage,$C$4+'Table 16 data'!D$1,0)</f>
        <v>29721</v>
      </c>
      <c r="D47" s="261">
        <f>VLOOKUP($A47,T16Percentage,$C$4+'Table 16 data'!E$1,0)</f>
        <v>81</v>
      </c>
      <c r="E47" s="261">
        <f>VLOOKUP($A47,T16Percentage,$C$4+'Table 16 data'!F$1,0)</f>
        <v>54.7</v>
      </c>
      <c r="F47" s="261">
        <f>VLOOKUP($A47,T16Percentage,$C$4+'Table 16 data'!G$1,0)</f>
        <v>95.1</v>
      </c>
      <c r="G47" s="261">
        <f>VLOOKUP($A47,T16Percentage,$C$4+'Table 16 data'!H$1,0)</f>
        <v>93.2</v>
      </c>
      <c r="H47" s="261">
        <f>VLOOKUP($A47,T16Percentage,$C$4+'Table 16 data'!I$1,0)</f>
        <v>99.3</v>
      </c>
      <c r="I47" s="261">
        <f>VLOOKUP($A47,T16Percentage,$C$4+'Table 16 data'!J$1,0)</f>
        <v>329.8</v>
      </c>
      <c r="J47" s="261">
        <f>VLOOKUP($A47,T16Percentage,$C$4+'Table 16 data'!K$1,0)</f>
        <v>459.4</v>
      </c>
      <c r="K47" s="261">
        <f>VLOOKUP($A47,T16Percentage,$C$4+'Table 16 data'!L$1,0)</f>
        <v>96.4</v>
      </c>
      <c r="L47" s="261">
        <f>VLOOKUP($A47,T16Percentage,$C$4+'Table 16 data'!M$1,0)</f>
        <v>55.4</v>
      </c>
    </row>
    <row r="48" spans="1:12" ht="11.25" customHeight="1" x14ac:dyDescent="0.2">
      <c r="A48" s="125" t="s">
        <v>89</v>
      </c>
      <c r="B48" s="126" t="s">
        <v>90</v>
      </c>
      <c r="C48" s="262">
        <f>VLOOKUP($A48,T16Percentage,$C$4+'Table 16 data'!D$1,0)</f>
        <v>1285</v>
      </c>
      <c r="D48" s="263">
        <f>VLOOKUP($A48,T16Percentage,$C$4+'Table 16 data'!E$1,0)</f>
        <v>71.8</v>
      </c>
      <c r="E48" s="263">
        <f>VLOOKUP($A48,T16Percentage,$C$4+'Table 16 data'!F$1,0)</f>
        <v>45.1</v>
      </c>
      <c r="F48" s="263">
        <f>VLOOKUP($A48,T16Percentage,$C$4+'Table 16 data'!G$1,0)</f>
        <v>94.2</v>
      </c>
      <c r="G48" s="263">
        <f>VLOOKUP($A48,T16Percentage,$C$4+'Table 16 data'!H$1,0)</f>
        <v>91.4</v>
      </c>
      <c r="H48" s="263">
        <f>VLOOKUP($A48,T16Percentage,$C$4+'Table 16 data'!I$1,0)</f>
        <v>99.9</v>
      </c>
      <c r="I48" s="263">
        <f>VLOOKUP($A48,T16Percentage,$C$4+'Table 16 data'!J$1,0)</f>
        <v>307.3</v>
      </c>
      <c r="J48" s="263">
        <f>VLOOKUP($A48,T16Percentage,$C$4+'Table 16 data'!K$1,0)</f>
        <v>401.6</v>
      </c>
      <c r="K48" s="263">
        <f>VLOOKUP($A48,T16Percentage,$C$4+'Table 16 data'!L$1,0)</f>
        <v>97</v>
      </c>
      <c r="L48" s="263">
        <f>VLOOKUP($A48,T16Percentage,$C$4+'Table 16 data'!M$1,0)</f>
        <v>46</v>
      </c>
    </row>
    <row r="49" spans="1:12" ht="11.25" customHeight="1" x14ac:dyDescent="0.2">
      <c r="A49" s="125" t="s">
        <v>91</v>
      </c>
      <c r="B49" s="126" t="s">
        <v>92</v>
      </c>
      <c r="C49" s="262">
        <f>VLOOKUP($A49,T16Percentage,$C$4+'Table 16 data'!D$1,0)</f>
        <v>2810</v>
      </c>
      <c r="D49" s="263">
        <f>VLOOKUP($A49,T16Percentage,$C$4+'Table 16 data'!E$1,0)</f>
        <v>80.3</v>
      </c>
      <c r="E49" s="263">
        <f>VLOOKUP($A49,T16Percentage,$C$4+'Table 16 data'!F$1,0)</f>
        <v>49.4</v>
      </c>
      <c r="F49" s="263">
        <f>VLOOKUP($A49,T16Percentage,$C$4+'Table 16 data'!G$1,0)</f>
        <v>94.3</v>
      </c>
      <c r="G49" s="263">
        <f>VLOOKUP($A49,T16Percentage,$C$4+'Table 16 data'!H$1,0)</f>
        <v>91.5</v>
      </c>
      <c r="H49" s="263">
        <f>VLOOKUP($A49,T16Percentage,$C$4+'Table 16 data'!I$1,0)</f>
        <v>98.8</v>
      </c>
      <c r="I49" s="263">
        <f>VLOOKUP($A49,T16Percentage,$C$4+'Table 16 data'!J$1,0)</f>
        <v>326.39999999999998</v>
      </c>
      <c r="J49" s="263">
        <f>VLOOKUP($A49,T16Percentage,$C$4+'Table 16 data'!K$1,0)</f>
        <v>438.6</v>
      </c>
      <c r="K49" s="263">
        <f>VLOOKUP($A49,T16Percentage,$C$4+'Table 16 data'!L$1,0)</f>
        <v>96.2</v>
      </c>
      <c r="L49" s="263">
        <f>VLOOKUP($A49,T16Percentage,$C$4+'Table 16 data'!M$1,0)</f>
        <v>50.3</v>
      </c>
    </row>
    <row r="50" spans="1:12" ht="11.25" customHeight="1" x14ac:dyDescent="0.2">
      <c r="A50" s="125" t="s">
        <v>93</v>
      </c>
      <c r="B50" s="126" t="s">
        <v>94</v>
      </c>
      <c r="C50" s="262">
        <f>VLOOKUP($A50,T16Percentage,$C$4+'Table 16 data'!D$1,0)</f>
        <v>1354</v>
      </c>
      <c r="D50" s="263">
        <f>VLOOKUP($A50,T16Percentage,$C$4+'Table 16 data'!E$1,0)</f>
        <v>88.3</v>
      </c>
      <c r="E50" s="263">
        <f>VLOOKUP($A50,T16Percentage,$C$4+'Table 16 data'!F$1,0)</f>
        <v>60.9</v>
      </c>
      <c r="F50" s="263">
        <f>VLOOKUP($A50,T16Percentage,$C$4+'Table 16 data'!G$1,0)</f>
        <v>97.3</v>
      </c>
      <c r="G50" s="263">
        <f>VLOOKUP($A50,T16Percentage,$C$4+'Table 16 data'!H$1,0)</f>
        <v>95.6</v>
      </c>
      <c r="H50" s="263">
        <f>VLOOKUP($A50,T16Percentage,$C$4+'Table 16 data'!I$1,0)</f>
        <v>99</v>
      </c>
      <c r="I50" s="263">
        <f>VLOOKUP($A50,T16Percentage,$C$4+'Table 16 data'!J$1,0)</f>
        <v>345.2</v>
      </c>
      <c r="J50" s="263">
        <f>VLOOKUP($A50,T16Percentage,$C$4+'Table 16 data'!K$1,0)</f>
        <v>489.8</v>
      </c>
      <c r="K50" s="263">
        <f>VLOOKUP($A50,T16Percentage,$C$4+'Table 16 data'!L$1,0)</f>
        <v>97.3</v>
      </c>
      <c r="L50" s="263">
        <f>VLOOKUP($A50,T16Percentage,$C$4+'Table 16 data'!M$1,0)</f>
        <v>61</v>
      </c>
    </row>
    <row r="51" spans="1:12" ht="11.25" customHeight="1" x14ac:dyDescent="0.2">
      <c r="A51" s="125" t="s">
        <v>95</v>
      </c>
      <c r="B51" s="126" t="s">
        <v>96</v>
      </c>
      <c r="C51" s="262">
        <f>VLOOKUP($A51,T16Percentage,$C$4+'Table 16 data'!D$1,0)</f>
        <v>1731</v>
      </c>
      <c r="D51" s="263">
        <f>VLOOKUP($A51,T16Percentage,$C$4+'Table 16 data'!E$1,0)</f>
        <v>83.4</v>
      </c>
      <c r="E51" s="263">
        <f>VLOOKUP($A51,T16Percentage,$C$4+'Table 16 data'!F$1,0)</f>
        <v>51.5</v>
      </c>
      <c r="F51" s="263">
        <f>VLOOKUP($A51,T16Percentage,$C$4+'Table 16 data'!G$1,0)</f>
        <v>93.9</v>
      </c>
      <c r="G51" s="263">
        <f>VLOOKUP($A51,T16Percentage,$C$4+'Table 16 data'!H$1,0)</f>
        <v>91.5</v>
      </c>
      <c r="H51" s="263">
        <f>VLOOKUP($A51,T16Percentage,$C$4+'Table 16 data'!I$1,0)</f>
        <v>99.4</v>
      </c>
      <c r="I51" s="263">
        <f>VLOOKUP($A51,T16Percentage,$C$4+'Table 16 data'!J$1,0)</f>
        <v>323.8</v>
      </c>
      <c r="J51" s="263">
        <f>VLOOKUP($A51,T16Percentage,$C$4+'Table 16 data'!K$1,0)</f>
        <v>455.7</v>
      </c>
      <c r="K51" s="263">
        <f>VLOOKUP($A51,T16Percentage,$C$4+'Table 16 data'!L$1,0)</f>
        <v>95.3</v>
      </c>
      <c r="L51" s="263">
        <f>VLOOKUP($A51,T16Percentage,$C$4+'Table 16 data'!M$1,0)</f>
        <v>52.2</v>
      </c>
    </row>
    <row r="52" spans="1:12" ht="11.25" customHeight="1" x14ac:dyDescent="0.2">
      <c r="A52" s="125" t="s">
        <v>97</v>
      </c>
      <c r="B52" s="126" t="s">
        <v>98</v>
      </c>
      <c r="C52" s="262">
        <f>VLOOKUP($A52,T16Percentage,$C$4+'Table 16 data'!D$1,0)</f>
        <v>1976</v>
      </c>
      <c r="D52" s="263">
        <f>VLOOKUP($A52,T16Percentage,$C$4+'Table 16 data'!E$1,0)</f>
        <v>80</v>
      </c>
      <c r="E52" s="263">
        <f>VLOOKUP($A52,T16Percentage,$C$4+'Table 16 data'!F$1,0)</f>
        <v>55</v>
      </c>
      <c r="F52" s="263">
        <f>VLOOKUP($A52,T16Percentage,$C$4+'Table 16 data'!G$1,0)</f>
        <v>97.1</v>
      </c>
      <c r="G52" s="263">
        <f>VLOOKUP($A52,T16Percentage,$C$4+'Table 16 data'!H$1,0)</f>
        <v>95.7</v>
      </c>
      <c r="H52" s="263">
        <f>VLOOKUP($A52,T16Percentage,$C$4+'Table 16 data'!I$1,0)</f>
        <v>99.5</v>
      </c>
      <c r="I52" s="263">
        <f>VLOOKUP($A52,T16Percentage,$C$4+'Table 16 data'!J$1,0)</f>
        <v>332.8</v>
      </c>
      <c r="J52" s="263">
        <f>VLOOKUP($A52,T16Percentage,$C$4+'Table 16 data'!K$1,0)</f>
        <v>452.7</v>
      </c>
      <c r="K52" s="263">
        <f>VLOOKUP($A52,T16Percentage,$C$4+'Table 16 data'!L$1,0)</f>
        <v>97.9</v>
      </c>
      <c r="L52" s="263">
        <f>VLOOKUP($A52,T16Percentage,$C$4+'Table 16 data'!M$1,0)</f>
        <v>55.9</v>
      </c>
    </row>
    <row r="53" spans="1:12" ht="11.25" customHeight="1" x14ac:dyDescent="0.2">
      <c r="A53" s="125" t="s">
        <v>99</v>
      </c>
      <c r="B53" s="126" t="s">
        <v>100</v>
      </c>
      <c r="C53" s="262">
        <f>VLOOKUP($A53,T16Percentage,$C$4+'Table 16 data'!D$1,0)</f>
        <v>1276</v>
      </c>
      <c r="D53" s="263">
        <f>VLOOKUP($A53,T16Percentage,$C$4+'Table 16 data'!E$1,0)</f>
        <v>86.4</v>
      </c>
      <c r="E53" s="263">
        <f>VLOOKUP($A53,T16Percentage,$C$4+'Table 16 data'!F$1,0)</f>
        <v>47.6</v>
      </c>
      <c r="F53" s="263">
        <f>VLOOKUP($A53,T16Percentage,$C$4+'Table 16 data'!G$1,0)</f>
        <v>94.4</v>
      </c>
      <c r="G53" s="263">
        <f>VLOOKUP($A53,T16Percentage,$C$4+'Table 16 data'!H$1,0)</f>
        <v>92.4</v>
      </c>
      <c r="H53" s="263">
        <f>VLOOKUP($A53,T16Percentage,$C$4+'Table 16 data'!I$1,0)</f>
        <v>99.4</v>
      </c>
      <c r="I53" s="263">
        <f>VLOOKUP($A53,T16Percentage,$C$4+'Table 16 data'!J$1,0)</f>
        <v>329.5</v>
      </c>
      <c r="J53" s="263">
        <f>VLOOKUP($A53,T16Percentage,$C$4+'Table 16 data'!K$1,0)</f>
        <v>480.2</v>
      </c>
      <c r="K53" s="263">
        <f>VLOOKUP($A53,T16Percentage,$C$4+'Table 16 data'!L$1,0)</f>
        <v>95.5</v>
      </c>
      <c r="L53" s="263">
        <f>VLOOKUP($A53,T16Percentage,$C$4+'Table 16 data'!M$1,0)</f>
        <v>47.9</v>
      </c>
    </row>
    <row r="54" spans="1:12" ht="11.25" customHeight="1" x14ac:dyDescent="0.2">
      <c r="A54" s="125" t="s">
        <v>101</v>
      </c>
      <c r="B54" s="126" t="s">
        <v>102</v>
      </c>
      <c r="C54" s="262">
        <f>VLOOKUP($A54,T16Percentage,$C$4+'Table 16 data'!D$1,0)</f>
        <v>2416</v>
      </c>
      <c r="D54" s="263">
        <f>VLOOKUP($A54,T16Percentage,$C$4+'Table 16 data'!E$1,0)</f>
        <v>80.599999999999994</v>
      </c>
      <c r="E54" s="263">
        <f>VLOOKUP($A54,T16Percentage,$C$4+'Table 16 data'!F$1,0)</f>
        <v>58.6</v>
      </c>
      <c r="F54" s="263">
        <f>VLOOKUP($A54,T16Percentage,$C$4+'Table 16 data'!G$1,0)</f>
        <v>96.2</v>
      </c>
      <c r="G54" s="263">
        <f>VLOOKUP($A54,T16Percentage,$C$4+'Table 16 data'!H$1,0)</f>
        <v>95.6</v>
      </c>
      <c r="H54" s="263">
        <f>VLOOKUP($A54,T16Percentage,$C$4+'Table 16 data'!I$1,0)</f>
        <v>99.7</v>
      </c>
      <c r="I54" s="263">
        <f>VLOOKUP($A54,T16Percentage,$C$4+'Table 16 data'!J$1,0)</f>
        <v>334.7</v>
      </c>
      <c r="J54" s="263">
        <f>VLOOKUP($A54,T16Percentage,$C$4+'Table 16 data'!K$1,0)</f>
        <v>466.7</v>
      </c>
      <c r="K54" s="263">
        <f>VLOOKUP($A54,T16Percentage,$C$4+'Table 16 data'!L$1,0)</f>
        <v>97.2</v>
      </c>
      <c r="L54" s="263">
        <f>VLOOKUP($A54,T16Percentage,$C$4+'Table 16 data'!M$1,0)</f>
        <v>60</v>
      </c>
    </row>
    <row r="55" spans="1:12" ht="11.25" customHeight="1" x14ac:dyDescent="0.2">
      <c r="A55" s="125" t="s">
        <v>103</v>
      </c>
      <c r="B55" s="126" t="s">
        <v>104</v>
      </c>
      <c r="C55" s="262">
        <f>VLOOKUP($A55,T16Percentage,$C$4+'Table 16 data'!D$1,0)</f>
        <v>4035</v>
      </c>
      <c r="D55" s="263">
        <f>VLOOKUP($A55,T16Percentage,$C$4+'Table 16 data'!E$1,0)</f>
        <v>82.1</v>
      </c>
      <c r="E55" s="263">
        <f>VLOOKUP($A55,T16Percentage,$C$4+'Table 16 data'!F$1,0)</f>
        <v>52.4</v>
      </c>
      <c r="F55" s="263">
        <f>VLOOKUP($A55,T16Percentage,$C$4+'Table 16 data'!G$1,0)</f>
        <v>94.5</v>
      </c>
      <c r="G55" s="263">
        <f>VLOOKUP($A55,T16Percentage,$C$4+'Table 16 data'!H$1,0)</f>
        <v>91.7</v>
      </c>
      <c r="H55" s="263">
        <f>VLOOKUP($A55,T16Percentage,$C$4+'Table 16 data'!I$1,0)</f>
        <v>98.7</v>
      </c>
      <c r="I55" s="263">
        <f>VLOOKUP($A55,T16Percentage,$C$4+'Table 16 data'!J$1,0)</f>
        <v>327.8</v>
      </c>
      <c r="J55" s="263">
        <f>VLOOKUP($A55,T16Percentage,$C$4+'Table 16 data'!K$1,0)</f>
        <v>460.9</v>
      </c>
      <c r="K55" s="263">
        <f>VLOOKUP($A55,T16Percentage,$C$4+'Table 16 data'!L$1,0)</f>
        <v>96.1</v>
      </c>
      <c r="L55" s="263">
        <f>VLOOKUP($A55,T16Percentage,$C$4+'Table 16 data'!M$1,0)</f>
        <v>53</v>
      </c>
    </row>
    <row r="56" spans="1:12" ht="11.25" customHeight="1" x14ac:dyDescent="0.2">
      <c r="A56" s="125" t="s">
        <v>105</v>
      </c>
      <c r="B56" s="126" t="s">
        <v>106</v>
      </c>
      <c r="C56" s="262">
        <f>VLOOKUP($A56,T16Percentage,$C$4+'Table 16 data'!D$1,0)</f>
        <v>898</v>
      </c>
      <c r="D56" s="263">
        <f>VLOOKUP($A56,T16Percentage,$C$4+'Table 16 data'!E$1,0)</f>
        <v>83.9</v>
      </c>
      <c r="E56" s="263">
        <f>VLOOKUP($A56,T16Percentage,$C$4+'Table 16 data'!F$1,0)</f>
        <v>53.9</v>
      </c>
      <c r="F56" s="263">
        <f>VLOOKUP($A56,T16Percentage,$C$4+'Table 16 data'!G$1,0)</f>
        <v>93.3</v>
      </c>
      <c r="G56" s="263">
        <f>VLOOKUP($A56,T16Percentage,$C$4+'Table 16 data'!H$1,0)</f>
        <v>92</v>
      </c>
      <c r="H56" s="263">
        <f>VLOOKUP($A56,T16Percentage,$C$4+'Table 16 data'!I$1,0)</f>
        <v>99.4</v>
      </c>
      <c r="I56" s="263">
        <f>VLOOKUP($A56,T16Percentage,$C$4+'Table 16 data'!J$1,0)</f>
        <v>327.10000000000002</v>
      </c>
      <c r="J56" s="263">
        <f>VLOOKUP($A56,T16Percentage,$C$4+'Table 16 data'!K$1,0)</f>
        <v>478.8</v>
      </c>
      <c r="K56" s="263">
        <f>VLOOKUP($A56,T16Percentage,$C$4+'Table 16 data'!L$1,0)</f>
        <v>95.1</v>
      </c>
      <c r="L56" s="263">
        <f>VLOOKUP($A56,T16Percentage,$C$4+'Table 16 data'!M$1,0)</f>
        <v>54.1</v>
      </c>
    </row>
    <row r="57" spans="1:12" ht="11.25" customHeight="1" x14ac:dyDescent="0.2">
      <c r="A57" s="125" t="s">
        <v>107</v>
      </c>
      <c r="B57" s="126" t="s">
        <v>108</v>
      </c>
      <c r="C57" s="262">
        <f>VLOOKUP($A57,T16Percentage,$C$4+'Table 16 data'!D$1,0)</f>
        <v>987</v>
      </c>
      <c r="D57" s="263">
        <f>VLOOKUP($A57,T16Percentage,$C$4+'Table 16 data'!E$1,0)</f>
        <v>85.3</v>
      </c>
      <c r="E57" s="263">
        <f>VLOOKUP($A57,T16Percentage,$C$4+'Table 16 data'!F$1,0)</f>
        <v>49</v>
      </c>
      <c r="F57" s="263">
        <f>VLOOKUP($A57,T16Percentage,$C$4+'Table 16 data'!G$1,0)</f>
        <v>96.5</v>
      </c>
      <c r="G57" s="263">
        <f>VLOOKUP($A57,T16Percentage,$C$4+'Table 16 data'!H$1,0)</f>
        <v>94.7</v>
      </c>
      <c r="H57" s="263">
        <f>VLOOKUP($A57,T16Percentage,$C$4+'Table 16 data'!I$1,0)</f>
        <v>99.7</v>
      </c>
      <c r="I57" s="263">
        <f>VLOOKUP($A57,T16Percentage,$C$4+'Table 16 data'!J$1,0)</f>
        <v>341.5</v>
      </c>
      <c r="J57" s="263">
        <f>VLOOKUP($A57,T16Percentage,$C$4+'Table 16 data'!K$1,0)</f>
        <v>470.4</v>
      </c>
      <c r="K57" s="263">
        <f>VLOOKUP($A57,T16Percentage,$C$4+'Table 16 data'!L$1,0)</f>
        <v>97.3</v>
      </c>
      <c r="L57" s="263">
        <f>VLOOKUP($A57,T16Percentage,$C$4+'Table 16 data'!M$1,0)</f>
        <v>49.4</v>
      </c>
    </row>
    <row r="58" spans="1:12" ht="11.25" customHeight="1" x14ac:dyDescent="0.2">
      <c r="A58" s="125" t="s">
        <v>109</v>
      </c>
      <c r="B58" s="126" t="s">
        <v>110</v>
      </c>
      <c r="C58" s="262">
        <f>VLOOKUP($A58,T16Percentage,$C$4+'Table 16 data'!D$1,0)</f>
        <v>3448</v>
      </c>
      <c r="D58" s="263">
        <f>VLOOKUP($A58,T16Percentage,$C$4+'Table 16 data'!E$1,0)</f>
        <v>80.900000000000006</v>
      </c>
      <c r="E58" s="263">
        <f>VLOOKUP($A58,T16Percentage,$C$4+'Table 16 data'!F$1,0)</f>
        <v>59.3</v>
      </c>
      <c r="F58" s="263">
        <f>VLOOKUP($A58,T16Percentage,$C$4+'Table 16 data'!G$1,0)</f>
        <v>96.9</v>
      </c>
      <c r="G58" s="263">
        <f>VLOOKUP($A58,T16Percentage,$C$4+'Table 16 data'!H$1,0)</f>
        <v>94.9</v>
      </c>
      <c r="H58" s="263">
        <f>VLOOKUP($A58,T16Percentage,$C$4+'Table 16 data'!I$1,0)</f>
        <v>99.2</v>
      </c>
      <c r="I58" s="263">
        <f>VLOOKUP($A58,T16Percentage,$C$4+'Table 16 data'!J$1,0)</f>
        <v>340.4</v>
      </c>
      <c r="J58" s="263">
        <f>VLOOKUP($A58,T16Percentage,$C$4+'Table 16 data'!K$1,0)</f>
        <v>468.6</v>
      </c>
      <c r="K58" s="263">
        <f>VLOOKUP($A58,T16Percentage,$C$4+'Table 16 data'!L$1,0)</f>
        <v>97.2</v>
      </c>
      <c r="L58" s="263">
        <f>VLOOKUP($A58,T16Percentage,$C$4+'Table 16 data'!M$1,0)</f>
        <v>60</v>
      </c>
    </row>
    <row r="59" spans="1:12" ht="11.25" customHeight="1" x14ac:dyDescent="0.2">
      <c r="A59" s="125" t="s">
        <v>111</v>
      </c>
      <c r="B59" s="126" t="s">
        <v>112</v>
      </c>
      <c r="C59" s="262">
        <f>VLOOKUP($A59,T16Percentage,$C$4+'Table 16 data'!D$1,0)</f>
        <v>1827</v>
      </c>
      <c r="D59" s="263">
        <f>VLOOKUP($A59,T16Percentage,$C$4+'Table 16 data'!E$1,0)</f>
        <v>80.3</v>
      </c>
      <c r="E59" s="263">
        <f>VLOOKUP($A59,T16Percentage,$C$4+'Table 16 data'!F$1,0)</f>
        <v>58.8</v>
      </c>
      <c r="F59" s="263">
        <f>VLOOKUP($A59,T16Percentage,$C$4+'Table 16 data'!G$1,0)</f>
        <v>94.3</v>
      </c>
      <c r="G59" s="263">
        <f>VLOOKUP($A59,T16Percentage,$C$4+'Table 16 data'!H$1,0)</f>
        <v>92.5</v>
      </c>
      <c r="H59" s="263">
        <f>VLOOKUP($A59,T16Percentage,$C$4+'Table 16 data'!I$1,0)</f>
        <v>99.2</v>
      </c>
      <c r="I59" s="263">
        <f>VLOOKUP($A59,T16Percentage,$C$4+'Table 16 data'!J$1,0)</f>
        <v>323.89999999999998</v>
      </c>
      <c r="J59" s="263">
        <f>VLOOKUP($A59,T16Percentage,$C$4+'Table 16 data'!K$1,0)</f>
        <v>447.5</v>
      </c>
      <c r="K59" s="263">
        <f>VLOOKUP($A59,T16Percentage,$C$4+'Table 16 data'!L$1,0)</f>
        <v>95.3</v>
      </c>
      <c r="L59" s="263">
        <f>VLOOKUP($A59,T16Percentage,$C$4+'Table 16 data'!M$1,0)</f>
        <v>59.4</v>
      </c>
    </row>
    <row r="60" spans="1:12" ht="11.25" customHeight="1" x14ac:dyDescent="0.2">
      <c r="A60" s="125" t="s">
        <v>113</v>
      </c>
      <c r="B60" s="126" t="s">
        <v>114</v>
      </c>
      <c r="C60" s="262">
        <f>VLOOKUP($A60,T16Percentage,$C$4+'Table 16 data'!D$1,0)</f>
        <v>2794</v>
      </c>
      <c r="D60" s="263">
        <f>VLOOKUP($A60,T16Percentage,$C$4+'Table 16 data'!E$1,0)</f>
        <v>70.7</v>
      </c>
      <c r="E60" s="263">
        <f>VLOOKUP($A60,T16Percentage,$C$4+'Table 16 data'!F$1,0)</f>
        <v>51.8</v>
      </c>
      <c r="F60" s="263">
        <f>VLOOKUP($A60,T16Percentage,$C$4+'Table 16 data'!G$1,0)</f>
        <v>92.4</v>
      </c>
      <c r="G60" s="263">
        <f>VLOOKUP($A60,T16Percentage,$C$4+'Table 16 data'!H$1,0)</f>
        <v>90.6</v>
      </c>
      <c r="H60" s="263">
        <f>VLOOKUP($A60,T16Percentage,$C$4+'Table 16 data'!I$1,0)</f>
        <v>99.2</v>
      </c>
      <c r="I60" s="263">
        <f>VLOOKUP($A60,T16Percentage,$C$4+'Table 16 data'!J$1,0)</f>
        <v>311.7</v>
      </c>
      <c r="J60" s="263">
        <f>VLOOKUP($A60,T16Percentage,$C$4+'Table 16 data'!K$1,0)</f>
        <v>424.1</v>
      </c>
      <c r="K60" s="263">
        <f>VLOOKUP($A60,T16Percentage,$C$4+'Table 16 data'!L$1,0)</f>
        <v>94.3</v>
      </c>
      <c r="L60" s="263">
        <f>VLOOKUP($A60,T16Percentage,$C$4+'Table 16 data'!M$1,0)</f>
        <v>53.7</v>
      </c>
    </row>
    <row r="61" spans="1:12" ht="11.25" customHeight="1" x14ac:dyDescent="0.2">
      <c r="A61" s="125" t="s">
        <v>115</v>
      </c>
      <c r="B61" s="126" t="s">
        <v>116</v>
      </c>
      <c r="C61" s="262">
        <f>VLOOKUP($A61,T16Percentage,$C$4+'Table 16 data'!D$1,0)</f>
        <v>2005</v>
      </c>
      <c r="D61" s="263">
        <f>VLOOKUP($A61,T16Percentage,$C$4+'Table 16 data'!E$1,0)</f>
        <v>86.4</v>
      </c>
      <c r="E61" s="263">
        <f>VLOOKUP($A61,T16Percentage,$C$4+'Table 16 data'!F$1,0)</f>
        <v>62.4</v>
      </c>
      <c r="F61" s="263">
        <f>VLOOKUP($A61,T16Percentage,$C$4+'Table 16 data'!G$1,0)</f>
        <v>95.1</v>
      </c>
      <c r="G61" s="263">
        <f>VLOOKUP($A61,T16Percentage,$C$4+'Table 16 data'!H$1,0)</f>
        <v>93.8</v>
      </c>
      <c r="H61" s="263">
        <f>VLOOKUP($A61,T16Percentage,$C$4+'Table 16 data'!I$1,0)</f>
        <v>99.6</v>
      </c>
      <c r="I61" s="263">
        <f>VLOOKUP($A61,T16Percentage,$C$4+'Table 16 data'!J$1,0)</f>
        <v>339</v>
      </c>
      <c r="J61" s="263">
        <f>VLOOKUP($A61,T16Percentage,$C$4+'Table 16 data'!K$1,0)</f>
        <v>513.1</v>
      </c>
      <c r="K61" s="263">
        <f>VLOOKUP($A61,T16Percentage,$C$4+'Table 16 data'!L$1,0)</f>
        <v>96.8</v>
      </c>
      <c r="L61" s="263">
        <f>VLOOKUP($A61,T16Percentage,$C$4+'Table 16 data'!M$1,0)</f>
        <v>62.5</v>
      </c>
    </row>
    <row r="62" spans="1:12" ht="11.25" customHeight="1" x14ac:dyDescent="0.2">
      <c r="A62" s="125" t="s">
        <v>117</v>
      </c>
      <c r="B62" s="126" t="s">
        <v>118</v>
      </c>
      <c r="C62" s="262">
        <f>VLOOKUP($A62,T16Percentage,$C$4+'Table 16 data'!D$1,0)</f>
        <v>879</v>
      </c>
      <c r="D62" s="263">
        <f>VLOOKUP($A62,T16Percentage,$C$4+'Table 16 data'!E$1,0)</f>
        <v>85</v>
      </c>
      <c r="E62" s="263">
        <f>VLOOKUP($A62,T16Percentage,$C$4+'Table 16 data'!F$1,0)</f>
        <v>63.4</v>
      </c>
      <c r="F62" s="263">
        <f>VLOOKUP($A62,T16Percentage,$C$4+'Table 16 data'!G$1,0)</f>
        <v>97.6</v>
      </c>
      <c r="G62" s="263">
        <f>VLOOKUP($A62,T16Percentage,$C$4+'Table 16 data'!H$1,0)</f>
        <v>96.8</v>
      </c>
      <c r="H62" s="263">
        <f>VLOOKUP($A62,T16Percentage,$C$4+'Table 16 data'!I$1,0)</f>
        <v>99.5</v>
      </c>
      <c r="I62" s="263">
        <f>VLOOKUP($A62,T16Percentage,$C$4+'Table 16 data'!J$1,0)</f>
        <v>346.5</v>
      </c>
      <c r="J62" s="263">
        <f>VLOOKUP($A62,T16Percentage,$C$4+'Table 16 data'!K$1,0)</f>
        <v>474.8</v>
      </c>
      <c r="K62" s="263">
        <f>VLOOKUP($A62,T16Percentage,$C$4+'Table 16 data'!L$1,0)</f>
        <v>98</v>
      </c>
      <c r="L62" s="263">
        <f>VLOOKUP($A62,T16Percentage,$C$4+'Table 16 data'!M$1,0)</f>
        <v>63.6</v>
      </c>
    </row>
    <row r="63" spans="1:12" s="3" customFormat="1" ht="11.25" customHeight="1" x14ac:dyDescent="0.2">
      <c r="C63" s="264"/>
      <c r="D63" s="264"/>
      <c r="E63" s="264"/>
      <c r="F63" s="264"/>
      <c r="G63" s="264"/>
      <c r="H63" s="264"/>
      <c r="I63" s="264"/>
      <c r="J63" s="264"/>
      <c r="K63" s="264"/>
      <c r="L63" s="264"/>
    </row>
    <row r="64" spans="1:12" s="17" customFormat="1" ht="11.25" customHeight="1" x14ac:dyDescent="0.2">
      <c r="A64" s="16" t="s">
        <v>385</v>
      </c>
      <c r="B64" s="17" t="s">
        <v>119</v>
      </c>
      <c r="C64" s="260">
        <f>VLOOKUP($A64,T16Percentage,$C$4+'Table 16 data'!D$1,0)</f>
        <v>25559</v>
      </c>
      <c r="D64" s="261">
        <f>VLOOKUP($A64,T16Percentage,$C$4+'Table 16 data'!E$1,0)</f>
        <v>79.2</v>
      </c>
      <c r="E64" s="261">
        <f>VLOOKUP($A64,T16Percentage,$C$4+'Table 16 data'!F$1,0)</f>
        <v>53.8</v>
      </c>
      <c r="F64" s="261">
        <f>VLOOKUP($A64,T16Percentage,$C$4+'Table 16 data'!G$1,0)</f>
        <v>94.7</v>
      </c>
      <c r="G64" s="261">
        <f>VLOOKUP($A64,T16Percentage,$C$4+'Table 16 data'!H$1,0)</f>
        <v>93.1</v>
      </c>
      <c r="H64" s="261">
        <f>VLOOKUP($A64,T16Percentage,$C$4+'Table 16 data'!I$1,0)</f>
        <v>99.1</v>
      </c>
      <c r="I64" s="261">
        <f>VLOOKUP($A64,T16Percentage,$C$4+'Table 16 data'!J$1,0)</f>
        <v>328.4</v>
      </c>
      <c r="J64" s="261">
        <f>VLOOKUP($A64,T16Percentage,$C$4+'Table 16 data'!K$1,0)</f>
        <v>443.3</v>
      </c>
      <c r="K64" s="261">
        <f>VLOOKUP($A64,T16Percentage,$C$4+'Table 16 data'!L$1,0)</f>
        <v>95.7</v>
      </c>
      <c r="L64" s="261">
        <f>VLOOKUP($A64,T16Percentage,$C$4+'Table 16 data'!M$1,0)</f>
        <v>54.6</v>
      </c>
    </row>
    <row r="65" spans="1:12" ht="11.25" customHeight="1" x14ac:dyDescent="0.2">
      <c r="A65" s="125" t="s">
        <v>120</v>
      </c>
      <c r="B65" s="126" t="s">
        <v>121</v>
      </c>
      <c r="C65" s="262">
        <f>VLOOKUP($A65,T16Percentage,$C$4+'Table 16 data'!D$1,0)</f>
        <v>1464</v>
      </c>
      <c r="D65" s="263">
        <f>VLOOKUP($A65,T16Percentage,$C$4+'Table 16 data'!E$1,0)</f>
        <v>77.400000000000006</v>
      </c>
      <c r="E65" s="263">
        <f>VLOOKUP($A65,T16Percentage,$C$4+'Table 16 data'!F$1,0)</f>
        <v>49.2</v>
      </c>
      <c r="F65" s="263">
        <f>VLOOKUP($A65,T16Percentage,$C$4+'Table 16 data'!G$1,0)</f>
        <v>94.5</v>
      </c>
      <c r="G65" s="263">
        <f>VLOOKUP($A65,T16Percentage,$C$4+'Table 16 data'!H$1,0)</f>
        <v>93.6</v>
      </c>
      <c r="H65" s="263">
        <f>VLOOKUP($A65,T16Percentage,$C$4+'Table 16 data'!I$1,0)</f>
        <v>98.9</v>
      </c>
      <c r="I65" s="263">
        <f>VLOOKUP($A65,T16Percentage,$C$4+'Table 16 data'!J$1,0)</f>
        <v>329.7</v>
      </c>
      <c r="J65" s="263">
        <f>VLOOKUP($A65,T16Percentage,$C$4+'Table 16 data'!K$1,0)</f>
        <v>443</v>
      </c>
      <c r="K65" s="263">
        <f>VLOOKUP($A65,T16Percentage,$C$4+'Table 16 data'!L$1,0)</f>
        <v>95.1</v>
      </c>
      <c r="L65" s="263">
        <f>VLOOKUP($A65,T16Percentage,$C$4+'Table 16 data'!M$1,0)</f>
        <v>50.5</v>
      </c>
    </row>
    <row r="66" spans="1:12" ht="11.25" customHeight="1" x14ac:dyDescent="0.2">
      <c r="A66" s="125" t="s">
        <v>122</v>
      </c>
      <c r="B66" s="126" t="s">
        <v>123</v>
      </c>
      <c r="C66" s="262">
        <f>VLOOKUP($A66,T16Percentage,$C$4+'Table 16 data'!D$1,0)</f>
        <v>4216</v>
      </c>
      <c r="D66" s="263">
        <f>VLOOKUP($A66,T16Percentage,$C$4+'Table 16 data'!E$1,0)</f>
        <v>78</v>
      </c>
      <c r="E66" s="263">
        <f>VLOOKUP($A66,T16Percentage,$C$4+'Table 16 data'!F$1,0)</f>
        <v>52.7</v>
      </c>
      <c r="F66" s="263">
        <f>VLOOKUP($A66,T16Percentage,$C$4+'Table 16 data'!G$1,0)</f>
        <v>95.5</v>
      </c>
      <c r="G66" s="263">
        <f>VLOOKUP($A66,T16Percentage,$C$4+'Table 16 data'!H$1,0)</f>
        <v>94</v>
      </c>
      <c r="H66" s="263">
        <f>VLOOKUP($A66,T16Percentage,$C$4+'Table 16 data'!I$1,0)</f>
        <v>99.2</v>
      </c>
      <c r="I66" s="263">
        <f>VLOOKUP($A66,T16Percentage,$C$4+'Table 16 data'!J$1,0)</f>
        <v>326.3</v>
      </c>
      <c r="J66" s="263">
        <f>VLOOKUP($A66,T16Percentage,$C$4+'Table 16 data'!K$1,0)</f>
        <v>431.4</v>
      </c>
      <c r="K66" s="263">
        <f>VLOOKUP($A66,T16Percentage,$C$4+'Table 16 data'!L$1,0)</f>
        <v>96.3</v>
      </c>
      <c r="L66" s="263">
        <f>VLOOKUP($A66,T16Percentage,$C$4+'Table 16 data'!M$1,0)</f>
        <v>53.4</v>
      </c>
    </row>
    <row r="67" spans="1:12" ht="11.25" customHeight="1" x14ac:dyDescent="0.2">
      <c r="A67" s="125" t="s">
        <v>124</v>
      </c>
      <c r="B67" s="126" t="s">
        <v>125</v>
      </c>
      <c r="C67" s="262">
        <f>VLOOKUP($A67,T16Percentage,$C$4+'Table 16 data'!D$1,0)</f>
        <v>1811</v>
      </c>
      <c r="D67" s="263">
        <f>VLOOKUP($A67,T16Percentage,$C$4+'Table 16 data'!E$1,0)</f>
        <v>75.5</v>
      </c>
      <c r="E67" s="263">
        <f>VLOOKUP($A67,T16Percentage,$C$4+'Table 16 data'!F$1,0)</f>
        <v>50.4</v>
      </c>
      <c r="F67" s="263">
        <f>VLOOKUP($A67,T16Percentage,$C$4+'Table 16 data'!G$1,0)</f>
        <v>91.7</v>
      </c>
      <c r="G67" s="263">
        <f>VLOOKUP($A67,T16Percentage,$C$4+'Table 16 data'!H$1,0)</f>
        <v>89.8</v>
      </c>
      <c r="H67" s="263">
        <f>VLOOKUP($A67,T16Percentage,$C$4+'Table 16 data'!I$1,0)</f>
        <v>98.1</v>
      </c>
      <c r="I67" s="263">
        <f>VLOOKUP($A67,T16Percentage,$C$4+'Table 16 data'!J$1,0)</f>
        <v>317.89999999999998</v>
      </c>
      <c r="J67" s="263">
        <f>VLOOKUP($A67,T16Percentage,$C$4+'Table 16 data'!K$1,0)</f>
        <v>430</v>
      </c>
      <c r="K67" s="263">
        <f>VLOOKUP($A67,T16Percentage,$C$4+'Table 16 data'!L$1,0)</f>
        <v>92.9</v>
      </c>
      <c r="L67" s="263">
        <f>VLOOKUP($A67,T16Percentage,$C$4+'Table 16 data'!M$1,0)</f>
        <v>50.6</v>
      </c>
    </row>
    <row r="68" spans="1:12" ht="11.25" customHeight="1" x14ac:dyDescent="0.2">
      <c r="A68" s="125" t="s">
        <v>126</v>
      </c>
      <c r="B68" s="126" t="s">
        <v>127</v>
      </c>
      <c r="C68" s="262">
        <f>VLOOKUP($A68,T16Percentage,$C$4+'Table 16 data'!D$1,0)</f>
        <v>3729</v>
      </c>
      <c r="D68" s="263">
        <f>VLOOKUP($A68,T16Percentage,$C$4+'Table 16 data'!E$1,0)</f>
        <v>78.7</v>
      </c>
      <c r="E68" s="263">
        <f>VLOOKUP($A68,T16Percentage,$C$4+'Table 16 data'!F$1,0)</f>
        <v>55.3</v>
      </c>
      <c r="F68" s="263">
        <f>VLOOKUP($A68,T16Percentage,$C$4+'Table 16 data'!G$1,0)</f>
        <v>95.8</v>
      </c>
      <c r="G68" s="263">
        <f>VLOOKUP($A68,T16Percentage,$C$4+'Table 16 data'!H$1,0)</f>
        <v>94.7</v>
      </c>
      <c r="H68" s="263">
        <f>VLOOKUP($A68,T16Percentage,$C$4+'Table 16 data'!I$1,0)</f>
        <v>99.4</v>
      </c>
      <c r="I68" s="263">
        <f>VLOOKUP($A68,T16Percentage,$C$4+'Table 16 data'!J$1,0)</f>
        <v>332.2</v>
      </c>
      <c r="J68" s="263">
        <f>VLOOKUP($A68,T16Percentage,$C$4+'Table 16 data'!K$1,0)</f>
        <v>441.1</v>
      </c>
      <c r="K68" s="263">
        <f>VLOOKUP($A68,T16Percentage,$C$4+'Table 16 data'!L$1,0)</f>
        <v>96.8</v>
      </c>
      <c r="L68" s="263">
        <f>VLOOKUP($A68,T16Percentage,$C$4+'Table 16 data'!M$1,0)</f>
        <v>56.1</v>
      </c>
    </row>
    <row r="69" spans="1:12" ht="11.25" customHeight="1" x14ac:dyDescent="0.2">
      <c r="A69" s="125" t="s">
        <v>128</v>
      </c>
      <c r="B69" s="126" t="s">
        <v>129</v>
      </c>
      <c r="C69" s="262">
        <f>VLOOKUP($A69,T16Percentage,$C$4+'Table 16 data'!D$1,0)</f>
        <v>4239</v>
      </c>
      <c r="D69" s="263">
        <f>VLOOKUP($A69,T16Percentage,$C$4+'Table 16 data'!E$1,0)</f>
        <v>81.099999999999994</v>
      </c>
      <c r="E69" s="263">
        <f>VLOOKUP($A69,T16Percentage,$C$4+'Table 16 data'!F$1,0)</f>
        <v>55.7</v>
      </c>
      <c r="F69" s="263">
        <f>VLOOKUP($A69,T16Percentage,$C$4+'Table 16 data'!G$1,0)</f>
        <v>95.4</v>
      </c>
      <c r="G69" s="263">
        <f>VLOOKUP($A69,T16Percentage,$C$4+'Table 16 data'!H$1,0)</f>
        <v>93.7</v>
      </c>
      <c r="H69" s="263">
        <f>VLOOKUP($A69,T16Percentage,$C$4+'Table 16 data'!I$1,0)</f>
        <v>99.5</v>
      </c>
      <c r="I69" s="263">
        <f>VLOOKUP($A69,T16Percentage,$C$4+'Table 16 data'!J$1,0)</f>
        <v>334.2</v>
      </c>
      <c r="J69" s="263">
        <f>VLOOKUP($A69,T16Percentage,$C$4+'Table 16 data'!K$1,0)</f>
        <v>456.1</v>
      </c>
      <c r="K69" s="263">
        <f>VLOOKUP($A69,T16Percentage,$C$4+'Table 16 data'!L$1,0)</f>
        <v>96.3</v>
      </c>
      <c r="L69" s="263">
        <f>VLOOKUP($A69,T16Percentage,$C$4+'Table 16 data'!M$1,0)</f>
        <v>56.7</v>
      </c>
    </row>
    <row r="70" spans="1:12" ht="11.25" customHeight="1" x14ac:dyDescent="0.2">
      <c r="A70" s="125" t="s">
        <v>130</v>
      </c>
      <c r="B70" s="126" t="s">
        <v>131</v>
      </c>
      <c r="C70" s="262">
        <f>VLOOKUP($A70,T16Percentage,$C$4+'Table 16 data'!D$1,0)</f>
        <v>4047</v>
      </c>
      <c r="D70" s="263">
        <f>VLOOKUP($A70,T16Percentage,$C$4+'Table 16 data'!E$1,0)</f>
        <v>76.2</v>
      </c>
      <c r="E70" s="263">
        <f>VLOOKUP($A70,T16Percentage,$C$4+'Table 16 data'!F$1,0)</f>
        <v>53.3</v>
      </c>
      <c r="F70" s="263">
        <f>VLOOKUP($A70,T16Percentage,$C$4+'Table 16 data'!G$1,0)</f>
        <v>94.4</v>
      </c>
      <c r="G70" s="263">
        <f>VLOOKUP($A70,T16Percentage,$C$4+'Table 16 data'!H$1,0)</f>
        <v>92.8</v>
      </c>
      <c r="H70" s="263">
        <f>VLOOKUP($A70,T16Percentage,$C$4+'Table 16 data'!I$1,0)</f>
        <v>99</v>
      </c>
      <c r="I70" s="263">
        <f>VLOOKUP($A70,T16Percentage,$C$4+'Table 16 data'!J$1,0)</f>
        <v>324.3</v>
      </c>
      <c r="J70" s="263">
        <f>VLOOKUP($A70,T16Percentage,$C$4+'Table 16 data'!K$1,0)</f>
        <v>435.4</v>
      </c>
      <c r="K70" s="263">
        <f>VLOOKUP($A70,T16Percentage,$C$4+'Table 16 data'!L$1,0)</f>
        <v>95.5</v>
      </c>
      <c r="L70" s="263">
        <f>VLOOKUP($A70,T16Percentage,$C$4+'Table 16 data'!M$1,0)</f>
        <v>54.4</v>
      </c>
    </row>
    <row r="71" spans="1:12" ht="11.25" customHeight="1" x14ac:dyDescent="0.2">
      <c r="A71" s="125" t="s">
        <v>132</v>
      </c>
      <c r="B71" s="126" t="s">
        <v>133</v>
      </c>
      <c r="C71" s="262">
        <f>VLOOKUP($A71,T16Percentage,$C$4+'Table 16 data'!D$1,0)</f>
        <v>1414</v>
      </c>
      <c r="D71" s="263">
        <f>VLOOKUP($A71,T16Percentage,$C$4+'Table 16 data'!E$1,0)</f>
        <v>72.3</v>
      </c>
      <c r="E71" s="263">
        <f>VLOOKUP($A71,T16Percentage,$C$4+'Table 16 data'!F$1,0)</f>
        <v>45.1</v>
      </c>
      <c r="F71" s="263">
        <f>VLOOKUP($A71,T16Percentage,$C$4+'Table 16 data'!G$1,0)</f>
        <v>87.3</v>
      </c>
      <c r="G71" s="263">
        <f>VLOOKUP($A71,T16Percentage,$C$4+'Table 16 data'!H$1,0)</f>
        <v>84</v>
      </c>
      <c r="H71" s="263">
        <f>VLOOKUP($A71,T16Percentage,$C$4+'Table 16 data'!I$1,0)</f>
        <v>97.9</v>
      </c>
      <c r="I71" s="263">
        <f>VLOOKUP($A71,T16Percentage,$C$4+'Table 16 data'!J$1,0)</f>
        <v>297</v>
      </c>
      <c r="J71" s="263">
        <f>VLOOKUP($A71,T16Percentage,$C$4+'Table 16 data'!K$1,0)</f>
        <v>384.1</v>
      </c>
      <c r="K71" s="263">
        <f>VLOOKUP($A71,T16Percentage,$C$4+'Table 16 data'!L$1,0)</f>
        <v>91.1</v>
      </c>
      <c r="L71" s="263">
        <f>VLOOKUP($A71,T16Percentage,$C$4+'Table 16 data'!M$1,0)</f>
        <v>45.9</v>
      </c>
    </row>
    <row r="72" spans="1:12" ht="11.25" customHeight="1" x14ac:dyDescent="0.2">
      <c r="A72" s="125" t="s">
        <v>134</v>
      </c>
      <c r="B72" s="126" t="s">
        <v>135</v>
      </c>
      <c r="C72" s="262">
        <f>VLOOKUP($A72,T16Percentage,$C$4+'Table 16 data'!D$1,0)</f>
        <v>4389</v>
      </c>
      <c r="D72" s="263">
        <f>VLOOKUP($A72,T16Percentage,$C$4+'Table 16 data'!E$1,0)</f>
        <v>86.2</v>
      </c>
      <c r="E72" s="263">
        <f>VLOOKUP($A72,T16Percentage,$C$4+'Table 16 data'!F$1,0)</f>
        <v>57.4</v>
      </c>
      <c r="F72" s="263">
        <f>VLOOKUP($A72,T16Percentage,$C$4+'Table 16 data'!G$1,0)</f>
        <v>95.8</v>
      </c>
      <c r="G72" s="263">
        <f>VLOOKUP($A72,T16Percentage,$C$4+'Table 16 data'!H$1,0)</f>
        <v>94.2</v>
      </c>
      <c r="H72" s="263">
        <f>VLOOKUP($A72,T16Percentage,$C$4+'Table 16 data'!I$1,0)</f>
        <v>99.4</v>
      </c>
      <c r="I72" s="263">
        <f>VLOOKUP($A72,T16Percentage,$C$4+'Table 16 data'!J$1,0)</f>
        <v>338.9</v>
      </c>
      <c r="J72" s="263">
        <f>VLOOKUP($A72,T16Percentage,$C$4+'Table 16 data'!K$1,0)</f>
        <v>476.4</v>
      </c>
      <c r="K72" s="263">
        <f>VLOOKUP($A72,T16Percentage,$C$4+'Table 16 data'!L$1,0)</f>
        <v>96.7</v>
      </c>
      <c r="L72" s="263">
        <f>VLOOKUP($A72,T16Percentage,$C$4+'Table 16 data'!M$1,0)</f>
        <v>57.8</v>
      </c>
    </row>
    <row r="73" spans="1:12" ht="11.25" customHeight="1" x14ac:dyDescent="0.2">
      <c r="A73" s="125" t="s">
        <v>136</v>
      </c>
      <c r="B73" s="126" t="s">
        <v>137</v>
      </c>
      <c r="C73" s="262">
        <f>VLOOKUP($A73,T16Percentage,$C$4+'Table 16 data'!D$1,0)</f>
        <v>250</v>
      </c>
      <c r="D73" s="263">
        <f>VLOOKUP($A73,T16Percentage,$C$4+'Table 16 data'!E$1,0)</f>
        <v>81.599999999999994</v>
      </c>
      <c r="E73" s="263">
        <f>VLOOKUP($A73,T16Percentage,$C$4+'Table 16 data'!F$1,0)</f>
        <v>58.4</v>
      </c>
      <c r="F73" s="263">
        <f>VLOOKUP($A73,T16Percentage,$C$4+'Table 16 data'!G$1,0)</f>
        <v>98.8</v>
      </c>
      <c r="G73" s="263">
        <f>VLOOKUP($A73,T16Percentage,$C$4+'Table 16 data'!H$1,0)</f>
        <v>98.8</v>
      </c>
      <c r="H73" s="263">
        <f>VLOOKUP($A73,T16Percentage,$C$4+'Table 16 data'!I$1,0)</f>
        <v>100</v>
      </c>
      <c r="I73" s="263">
        <f>VLOOKUP($A73,T16Percentage,$C$4+'Table 16 data'!J$1,0)</f>
        <v>337.3</v>
      </c>
      <c r="J73" s="263">
        <f>VLOOKUP($A73,T16Percentage,$C$4+'Table 16 data'!K$1,0)</f>
        <v>439</v>
      </c>
      <c r="K73" s="263">
        <f>VLOOKUP($A73,T16Percentage,$C$4+'Table 16 data'!L$1,0)</f>
        <v>98.8</v>
      </c>
      <c r="L73" s="263">
        <f>VLOOKUP($A73,T16Percentage,$C$4+'Table 16 data'!M$1,0)</f>
        <v>60</v>
      </c>
    </row>
    <row r="74" spans="1:12" s="3" customFormat="1" ht="11.25" customHeight="1" x14ac:dyDescent="0.2">
      <c r="C74" s="264"/>
      <c r="D74" s="264"/>
      <c r="E74" s="264"/>
      <c r="F74" s="264"/>
      <c r="G74" s="264"/>
      <c r="H74" s="264"/>
      <c r="I74" s="264"/>
      <c r="J74" s="264"/>
      <c r="K74" s="264"/>
      <c r="L74" s="264"/>
    </row>
    <row r="75" spans="1:12" s="17" customFormat="1" ht="11.25" customHeight="1" x14ac:dyDescent="0.2">
      <c r="A75" s="17" t="s">
        <v>386</v>
      </c>
      <c r="B75" s="17" t="s">
        <v>138</v>
      </c>
      <c r="C75" s="260">
        <f>VLOOKUP($A75,T16Percentage,$C$4+'Table 16 data'!D$1,0)</f>
        <v>33086</v>
      </c>
      <c r="D75" s="261">
        <f>VLOOKUP($A75,T16Percentage,$C$4+'Table 16 data'!E$1,0)</f>
        <v>82.7</v>
      </c>
      <c r="E75" s="261">
        <f>VLOOKUP($A75,T16Percentage,$C$4+'Table 16 data'!F$1,0)</f>
        <v>55</v>
      </c>
      <c r="F75" s="261">
        <f>VLOOKUP($A75,T16Percentage,$C$4+'Table 16 data'!G$1,0)</f>
        <v>95.3</v>
      </c>
      <c r="G75" s="261">
        <f>VLOOKUP($A75,T16Percentage,$C$4+'Table 16 data'!H$1,0)</f>
        <v>93.1</v>
      </c>
      <c r="H75" s="261">
        <f>VLOOKUP($A75,T16Percentage,$C$4+'Table 16 data'!I$1,0)</f>
        <v>99.3</v>
      </c>
      <c r="I75" s="261">
        <f>VLOOKUP($A75,T16Percentage,$C$4+'Table 16 data'!J$1,0)</f>
        <v>333.4</v>
      </c>
      <c r="J75" s="261">
        <f>VLOOKUP($A75,T16Percentage,$C$4+'Table 16 data'!K$1,0)</f>
        <v>463.6</v>
      </c>
      <c r="K75" s="261">
        <f>VLOOKUP($A75,T16Percentage,$C$4+'Table 16 data'!L$1,0)</f>
        <v>95.7</v>
      </c>
      <c r="L75" s="261">
        <f>VLOOKUP($A75,T16Percentage,$C$4+'Table 16 data'!M$1,0)</f>
        <v>55.5</v>
      </c>
    </row>
    <row r="76" spans="1:12" ht="11.25" customHeight="1" x14ac:dyDescent="0.2">
      <c r="A76" s="125" t="s">
        <v>139</v>
      </c>
      <c r="B76" s="126" t="s">
        <v>140</v>
      </c>
      <c r="C76" s="262">
        <f>VLOOKUP($A76,T16Percentage,$C$4+'Table 16 data'!D$1,0)</f>
        <v>6309</v>
      </c>
      <c r="D76" s="263">
        <f>VLOOKUP($A76,T16Percentage,$C$4+'Table 16 data'!E$1,0)</f>
        <v>85.4</v>
      </c>
      <c r="E76" s="263">
        <f>VLOOKUP($A76,T16Percentage,$C$4+'Table 16 data'!F$1,0)</f>
        <v>55</v>
      </c>
      <c r="F76" s="263">
        <f>VLOOKUP($A76,T16Percentage,$C$4+'Table 16 data'!G$1,0)</f>
        <v>95.4</v>
      </c>
      <c r="G76" s="263">
        <f>VLOOKUP($A76,T16Percentage,$C$4+'Table 16 data'!H$1,0)</f>
        <v>91.6</v>
      </c>
      <c r="H76" s="263">
        <f>VLOOKUP($A76,T16Percentage,$C$4+'Table 16 data'!I$1,0)</f>
        <v>99.2</v>
      </c>
      <c r="I76" s="263">
        <f>VLOOKUP($A76,T16Percentage,$C$4+'Table 16 data'!J$1,0)</f>
        <v>338.2</v>
      </c>
      <c r="J76" s="263">
        <f>VLOOKUP($A76,T16Percentage,$C$4+'Table 16 data'!K$1,0)</f>
        <v>474</v>
      </c>
      <c r="K76" s="263">
        <f>VLOOKUP($A76,T16Percentage,$C$4+'Table 16 data'!L$1,0)</f>
        <v>94.1</v>
      </c>
      <c r="L76" s="263">
        <f>VLOOKUP($A76,T16Percentage,$C$4+'Table 16 data'!M$1,0)</f>
        <v>55.7</v>
      </c>
    </row>
    <row r="77" spans="1:12" ht="11.25" customHeight="1" x14ac:dyDescent="0.2">
      <c r="A77" s="125" t="s">
        <v>141</v>
      </c>
      <c r="B77" s="126" t="s">
        <v>142</v>
      </c>
      <c r="C77" s="262">
        <f>VLOOKUP($A77,T16Percentage,$C$4+'Table 16 data'!D$1,0)</f>
        <v>1811</v>
      </c>
      <c r="D77" s="263">
        <f>VLOOKUP($A77,T16Percentage,$C$4+'Table 16 data'!E$1,0)</f>
        <v>86.2</v>
      </c>
      <c r="E77" s="263">
        <f>VLOOKUP($A77,T16Percentage,$C$4+'Table 16 data'!F$1,0)</f>
        <v>51.8</v>
      </c>
      <c r="F77" s="263">
        <f>VLOOKUP($A77,T16Percentage,$C$4+'Table 16 data'!G$1,0)</f>
        <v>95.9</v>
      </c>
      <c r="G77" s="263">
        <f>VLOOKUP($A77,T16Percentage,$C$4+'Table 16 data'!H$1,0)</f>
        <v>93.7</v>
      </c>
      <c r="H77" s="263">
        <f>VLOOKUP($A77,T16Percentage,$C$4+'Table 16 data'!I$1,0)</f>
        <v>99.1</v>
      </c>
      <c r="I77" s="263">
        <f>VLOOKUP($A77,T16Percentage,$C$4+'Table 16 data'!J$1,0)</f>
        <v>339.1</v>
      </c>
      <c r="J77" s="263">
        <f>VLOOKUP($A77,T16Percentage,$C$4+'Table 16 data'!K$1,0)</f>
        <v>503.1</v>
      </c>
      <c r="K77" s="263">
        <f>VLOOKUP($A77,T16Percentage,$C$4+'Table 16 data'!L$1,0)</f>
        <v>96.1</v>
      </c>
      <c r="L77" s="263">
        <f>VLOOKUP($A77,T16Percentage,$C$4+'Table 16 data'!M$1,0)</f>
        <v>52.1</v>
      </c>
    </row>
    <row r="78" spans="1:12" ht="11.25" customHeight="1" x14ac:dyDescent="0.2">
      <c r="A78" s="125" t="s">
        <v>143</v>
      </c>
      <c r="B78" s="126" t="s">
        <v>144</v>
      </c>
      <c r="C78" s="262">
        <f>VLOOKUP($A78,T16Percentage,$C$4+'Table 16 data'!D$1,0)</f>
        <v>2073</v>
      </c>
      <c r="D78" s="263">
        <f>VLOOKUP($A78,T16Percentage,$C$4+'Table 16 data'!E$1,0)</f>
        <v>77.5</v>
      </c>
      <c r="E78" s="263">
        <f>VLOOKUP($A78,T16Percentage,$C$4+'Table 16 data'!F$1,0)</f>
        <v>55.6</v>
      </c>
      <c r="F78" s="263">
        <f>VLOOKUP($A78,T16Percentage,$C$4+'Table 16 data'!G$1,0)</f>
        <v>95.5</v>
      </c>
      <c r="G78" s="263">
        <f>VLOOKUP($A78,T16Percentage,$C$4+'Table 16 data'!H$1,0)</f>
        <v>93</v>
      </c>
      <c r="H78" s="263">
        <f>VLOOKUP($A78,T16Percentage,$C$4+'Table 16 data'!I$1,0)</f>
        <v>99.3</v>
      </c>
      <c r="I78" s="263">
        <f>VLOOKUP($A78,T16Percentage,$C$4+'Table 16 data'!J$1,0)</f>
        <v>328</v>
      </c>
      <c r="J78" s="263">
        <f>VLOOKUP($A78,T16Percentage,$C$4+'Table 16 data'!K$1,0)</f>
        <v>441.8</v>
      </c>
      <c r="K78" s="263">
        <f>VLOOKUP($A78,T16Percentage,$C$4+'Table 16 data'!L$1,0)</f>
        <v>96.1</v>
      </c>
      <c r="L78" s="263">
        <f>VLOOKUP($A78,T16Percentage,$C$4+'Table 16 data'!M$1,0)</f>
        <v>56.3</v>
      </c>
    </row>
    <row r="79" spans="1:12" ht="11.25" customHeight="1" x14ac:dyDescent="0.2">
      <c r="A79" s="125" t="s">
        <v>355</v>
      </c>
      <c r="B79" s="126" t="s">
        <v>145</v>
      </c>
      <c r="C79" s="262">
        <f>VLOOKUP($A79,T16Percentage,$C$4+'Table 16 data'!D$1,0)</f>
        <v>940</v>
      </c>
      <c r="D79" s="263">
        <f>VLOOKUP($A79,T16Percentage,$C$4+'Table 16 data'!E$1,0)</f>
        <v>80.5</v>
      </c>
      <c r="E79" s="263">
        <f>VLOOKUP($A79,T16Percentage,$C$4+'Table 16 data'!F$1,0)</f>
        <v>50.1</v>
      </c>
      <c r="F79" s="263">
        <f>VLOOKUP($A79,T16Percentage,$C$4+'Table 16 data'!G$1,0)</f>
        <v>95.3</v>
      </c>
      <c r="G79" s="263">
        <f>VLOOKUP($A79,T16Percentage,$C$4+'Table 16 data'!H$1,0)</f>
        <v>92.3</v>
      </c>
      <c r="H79" s="263">
        <f>VLOOKUP($A79,T16Percentage,$C$4+'Table 16 data'!I$1,0)</f>
        <v>98.6</v>
      </c>
      <c r="I79" s="263">
        <f>VLOOKUP($A79,T16Percentage,$C$4+'Table 16 data'!J$1,0)</f>
        <v>329.6</v>
      </c>
      <c r="J79" s="263">
        <f>VLOOKUP($A79,T16Percentage,$C$4+'Table 16 data'!K$1,0)</f>
        <v>447.8</v>
      </c>
      <c r="K79" s="263">
        <f>VLOOKUP($A79,T16Percentage,$C$4+'Table 16 data'!L$1,0)</f>
        <v>94.4</v>
      </c>
      <c r="L79" s="263">
        <f>VLOOKUP($A79,T16Percentage,$C$4+'Table 16 data'!M$1,0)</f>
        <v>50.6</v>
      </c>
    </row>
    <row r="80" spans="1:12" ht="11.25" customHeight="1" x14ac:dyDescent="0.2">
      <c r="A80" s="125" t="s">
        <v>146</v>
      </c>
      <c r="B80" s="126" t="s">
        <v>147</v>
      </c>
      <c r="C80" s="262">
        <f>VLOOKUP($A80,T16Percentage,$C$4+'Table 16 data'!D$1,0)</f>
        <v>1977</v>
      </c>
      <c r="D80" s="263">
        <f>VLOOKUP($A80,T16Percentage,$C$4+'Table 16 data'!E$1,0)</f>
        <v>85.7</v>
      </c>
      <c r="E80" s="263">
        <f>VLOOKUP($A80,T16Percentage,$C$4+'Table 16 data'!F$1,0)</f>
        <v>48.9</v>
      </c>
      <c r="F80" s="263">
        <f>VLOOKUP($A80,T16Percentage,$C$4+'Table 16 data'!G$1,0)</f>
        <v>95.3</v>
      </c>
      <c r="G80" s="263">
        <f>VLOOKUP($A80,T16Percentage,$C$4+'Table 16 data'!H$1,0)</f>
        <v>92.9</v>
      </c>
      <c r="H80" s="263">
        <f>VLOOKUP($A80,T16Percentage,$C$4+'Table 16 data'!I$1,0)</f>
        <v>99.4</v>
      </c>
      <c r="I80" s="263">
        <f>VLOOKUP($A80,T16Percentage,$C$4+'Table 16 data'!J$1,0)</f>
        <v>326.89999999999998</v>
      </c>
      <c r="J80" s="263">
        <f>VLOOKUP($A80,T16Percentage,$C$4+'Table 16 data'!K$1,0)</f>
        <v>461.2</v>
      </c>
      <c r="K80" s="263">
        <f>VLOOKUP($A80,T16Percentage,$C$4+'Table 16 data'!L$1,0)</f>
        <v>96.4</v>
      </c>
      <c r="L80" s="263">
        <f>VLOOKUP($A80,T16Percentage,$C$4+'Table 16 data'!M$1,0)</f>
        <v>49.1</v>
      </c>
    </row>
    <row r="81" spans="1:12" ht="11.25" customHeight="1" x14ac:dyDescent="0.2">
      <c r="A81" s="125" t="s">
        <v>148</v>
      </c>
      <c r="B81" s="126" t="s">
        <v>149</v>
      </c>
      <c r="C81" s="262">
        <f>VLOOKUP($A81,T16Percentage,$C$4+'Table 16 data'!D$1,0)</f>
        <v>1650</v>
      </c>
      <c r="D81" s="263">
        <f>VLOOKUP($A81,T16Percentage,$C$4+'Table 16 data'!E$1,0)</f>
        <v>75.099999999999994</v>
      </c>
      <c r="E81" s="263">
        <f>VLOOKUP($A81,T16Percentage,$C$4+'Table 16 data'!F$1,0)</f>
        <v>54.7</v>
      </c>
      <c r="F81" s="263">
        <f>VLOOKUP($A81,T16Percentage,$C$4+'Table 16 data'!G$1,0)</f>
        <v>96.4</v>
      </c>
      <c r="G81" s="263">
        <f>VLOOKUP($A81,T16Percentage,$C$4+'Table 16 data'!H$1,0)</f>
        <v>94.7</v>
      </c>
      <c r="H81" s="263">
        <f>VLOOKUP($A81,T16Percentage,$C$4+'Table 16 data'!I$1,0)</f>
        <v>99.2</v>
      </c>
      <c r="I81" s="263">
        <f>VLOOKUP($A81,T16Percentage,$C$4+'Table 16 data'!J$1,0)</f>
        <v>325.10000000000002</v>
      </c>
      <c r="J81" s="263">
        <f>VLOOKUP($A81,T16Percentage,$C$4+'Table 16 data'!K$1,0)</f>
        <v>431</v>
      </c>
      <c r="K81" s="263">
        <f>VLOOKUP($A81,T16Percentage,$C$4+'Table 16 data'!L$1,0)</f>
        <v>96.9</v>
      </c>
      <c r="L81" s="263">
        <f>VLOOKUP($A81,T16Percentage,$C$4+'Table 16 data'!M$1,0)</f>
        <v>55.3</v>
      </c>
    </row>
    <row r="82" spans="1:12" ht="11.25" customHeight="1" x14ac:dyDescent="0.2">
      <c r="A82" s="125" t="s">
        <v>150</v>
      </c>
      <c r="B82" s="126" t="s">
        <v>151</v>
      </c>
      <c r="C82" s="262">
        <f>VLOOKUP($A82,T16Percentage,$C$4+'Table 16 data'!D$1,0)</f>
        <v>1584</v>
      </c>
      <c r="D82" s="263">
        <f>VLOOKUP($A82,T16Percentage,$C$4+'Table 16 data'!E$1,0)</f>
        <v>87.4</v>
      </c>
      <c r="E82" s="263">
        <f>VLOOKUP($A82,T16Percentage,$C$4+'Table 16 data'!F$1,0)</f>
        <v>63.3</v>
      </c>
      <c r="F82" s="263">
        <f>VLOOKUP($A82,T16Percentage,$C$4+'Table 16 data'!G$1,0)</f>
        <v>97.2</v>
      </c>
      <c r="G82" s="263">
        <f>VLOOKUP($A82,T16Percentage,$C$4+'Table 16 data'!H$1,0)</f>
        <v>96</v>
      </c>
      <c r="H82" s="263">
        <f>VLOOKUP($A82,T16Percentage,$C$4+'Table 16 data'!I$1,0)</f>
        <v>99.6</v>
      </c>
      <c r="I82" s="263">
        <f>VLOOKUP($A82,T16Percentage,$C$4+'Table 16 data'!J$1,0)</f>
        <v>343.5</v>
      </c>
      <c r="J82" s="263">
        <f>VLOOKUP($A82,T16Percentage,$C$4+'Table 16 data'!K$1,0)</f>
        <v>484.8</v>
      </c>
      <c r="K82" s="263">
        <f>VLOOKUP($A82,T16Percentage,$C$4+'Table 16 data'!L$1,0)</f>
        <v>97.9</v>
      </c>
      <c r="L82" s="263">
        <f>VLOOKUP($A82,T16Percentage,$C$4+'Table 16 data'!M$1,0)</f>
        <v>63.9</v>
      </c>
    </row>
    <row r="83" spans="1:12" ht="11.25" customHeight="1" x14ac:dyDescent="0.2">
      <c r="A83" s="125" t="s">
        <v>152</v>
      </c>
      <c r="B83" s="126" t="s">
        <v>153</v>
      </c>
      <c r="C83" s="262">
        <f>VLOOKUP($A83,T16Percentage,$C$4+'Table 16 data'!D$1,0)</f>
        <v>4922</v>
      </c>
      <c r="D83" s="263">
        <f>VLOOKUP($A83,T16Percentage,$C$4+'Table 16 data'!E$1,0)</f>
        <v>80</v>
      </c>
      <c r="E83" s="263">
        <f>VLOOKUP($A83,T16Percentage,$C$4+'Table 16 data'!F$1,0)</f>
        <v>54</v>
      </c>
      <c r="F83" s="263">
        <f>VLOOKUP($A83,T16Percentage,$C$4+'Table 16 data'!G$1,0)</f>
        <v>95.2</v>
      </c>
      <c r="G83" s="263">
        <f>VLOOKUP($A83,T16Percentage,$C$4+'Table 16 data'!H$1,0)</f>
        <v>93.4</v>
      </c>
      <c r="H83" s="263">
        <f>VLOOKUP($A83,T16Percentage,$C$4+'Table 16 data'!I$1,0)</f>
        <v>99.5</v>
      </c>
      <c r="I83" s="263">
        <f>VLOOKUP($A83,T16Percentage,$C$4+'Table 16 data'!J$1,0)</f>
        <v>330</v>
      </c>
      <c r="J83" s="263">
        <f>VLOOKUP($A83,T16Percentage,$C$4+'Table 16 data'!K$1,0)</f>
        <v>452.4</v>
      </c>
      <c r="K83" s="263">
        <f>VLOOKUP($A83,T16Percentage,$C$4+'Table 16 data'!L$1,0)</f>
        <v>96.1</v>
      </c>
      <c r="L83" s="263">
        <f>VLOOKUP($A83,T16Percentage,$C$4+'Table 16 data'!M$1,0)</f>
        <v>54.8</v>
      </c>
    </row>
    <row r="84" spans="1:12" ht="11.25" customHeight="1" x14ac:dyDescent="0.2">
      <c r="A84" s="125" t="s">
        <v>154</v>
      </c>
      <c r="B84" s="126" t="s">
        <v>155</v>
      </c>
      <c r="C84" s="262">
        <f>VLOOKUP($A84,T16Percentage,$C$4+'Table 16 data'!D$1,0)</f>
        <v>1383</v>
      </c>
      <c r="D84" s="263">
        <f>VLOOKUP($A84,T16Percentage,$C$4+'Table 16 data'!E$1,0)</f>
        <v>78.3</v>
      </c>
      <c r="E84" s="263">
        <f>VLOOKUP($A84,T16Percentage,$C$4+'Table 16 data'!F$1,0)</f>
        <v>44.8</v>
      </c>
      <c r="F84" s="263">
        <f>VLOOKUP($A84,T16Percentage,$C$4+'Table 16 data'!G$1,0)</f>
        <v>92.8</v>
      </c>
      <c r="G84" s="263">
        <f>VLOOKUP($A84,T16Percentage,$C$4+'Table 16 data'!H$1,0)</f>
        <v>91.4</v>
      </c>
      <c r="H84" s="263">
        <f>VLOOKUP($A84,T16Percentage,$C$4+'Table 16 data'!I$1,0)</f>
        <v>98.9</v>
      </c>
      <c r="I84" s="263">
        <f>VLOOKUP($A84,T16Percentage,$C$4+'Table 16 data'!J$1,0)</f>
        <v>316.5</v>
      </c>
      <c r="J84" s="263">
        <f>VLOOKUP($A84,T16Percentage,$C$4+'Table 16 data'!K$1,0)</f>
        <v>433.4</v>
      </c>
      <c r="K84" s="263">
        <f>VLOOKUP($A84,T16Percentage,$C$4+'Table 16 data'!L$1,0)</f>
        <v>95.2</v>
      </c>
      <c r="L84" s="263">
        <f>VLOOKUP($A84,T16Percentage,$C$4+'Table 16 data'!M$1,0)</f>
        <v>45.2</v>
      </c>
    </row>
    <row r="85" spans="1:12" ht="11.25" customHeight="1" x14ac:dyDescent="0.2">
      <c r="A85" s="125" t="s">
        <v>156</v>
      </c>
      <c r="B85" s="126" t="s">
        <v>157</v>
      </c>
      <c r="C85" s="262">
        <f>VLOOKUP($A85,T16Percentage,$C$4+'Table 16 data'!D$1,0)</f>
        <v>1081</v>
      </c>
      <c r="D85" s="263">
        <f>VLOOKUP($A85,T16Percentage,$C$4+'Table 16 data'!E$1,0)</f>
        <v>85.4</v>
      </c>
      <c r="E85" s="263">
        <f>VLOOKUP($A85,T16Percentage,$C$4+'Table 16 data'!F$1,0)</f>
        <v>55</v>
      </c>
      <c r="F85" s="263">
        <f>VLOOKUP($A85,T16Percentage,$C$4+'Table 16 data'!G$1,0)</f>
        <v>94.6</v>
      </c>
      <c r="G85" s="263">
        <f>VLOOKUP($A85,T16Percentage,$C$4+'Table 16 data'!H$1,0)</f>
        <v>92.6</v>
      </c>
      <c r="H85" s="263">
        <f>VLOOKUP($A85,T16Percentage,$C$4+'Table 16 data'!I$1,0)</f>
        <v>99.6</v>
      </c>
      <c r="I85" s="263">
        <f>VLOOKUP($A85,T16Percentage,$C$4+'Table 16 data'!J$1,0)</f>
        <v>340</v>
      </c>
      <c r="J85" s="263">
        <f>VLOOKUP($A85,T16Percentage,$C$4+'Table 16 data'!K$1,0)</f>
        <v>483.2</v>
      </c>
      <c r="K85" s="263">
        <f>VLOOKUP($A85,T16Percentage,$C$4+'Table 16 data'!L$1,0)</f>
        <v>95.6</v>
      </c>
      <c r="L85" s="263">
        <f>VLOOKUP($A85,T16Percentage,$C$4+'Table 16 data'!M$1,0)</f>
        <v>55.3</v>
      </c>
    </row>
    <row r="86" spans="1:12" ht="11.25" customHeight="1" x14ac:dyDescent="0.2">
      <c r="A86" s="125" t="s">
        <v>158</v>
      </c>
      <c r="B86" s="126" t="s">
        <v>159</v>
      </c>
      <c r="C86" s="262">
        <f>VLOOKUP($A86,T16Percentage,$C$4+'Table 16 data'!D$1,0)</f>
        <v>1789</v>
      </c>
      <c r="D86" s="263">
        <f>VLOOKUP($A86,T16Percentage,$C$4+'Table 16 data'!E$1,0)</f>
        <v>85.2</v>
      </c>
      <c r="E86" s="263">
        <f>VLOOKUP($A86,T16Percentage,$C$4+'Table 16 data'!F$1,0)</f>
        <v>53.2</v>
      </c>
      <c r="F86" s="263">
        <f>VLOOKUP($A86,T16Percentage,$C$4+'Table 16 data'!G$1,0)</f>
        <v>93.5</v>
      </c>
      <c r="G86" s="263">
        <f>VLOOKUP($A86,T16Percentage,$C$4+'Table 16 data'!H$1,0)</f>
        <v>91.6</v>
      </c>
      <c r="H86" s="263">
        <f>VLOOKUP($A86,T16Percentage,$C$4+'Table 16 data'!I$1,0)</f>
        <v>98.8</v>
      </c>
      <c r="I86" s="263">
        <f>VLOOKUP($A86,T16Percentage,$C$4+'Table 16 data'!J$1,0)</f>
        <v>331.8</v>
      </c>
      <c r="J86" s="263">
        <f>VLOOKUP($A86,T16Percentage,$C$4+'Table 16 data'!K$1,0)</f>
        <v>470.1</v>
      </c>
      <c r="K86" s="263">
        <f>VLOOKUP($A86,T16Percentage,$C$4+'Table 16 data'!L$1,0)</f>
        <v>95.8</v>
      </c>
      <c r="L86" s="263">
        <f>VLOOKUP($A86,T16Percentage,$C$4+'Table 16 data'!M$1,0)</f>
        <v>53.8</v>
      </c>
    </row>
    <row r="87" spans="1:12" ht="11.25" customHeight="1" x14ac:dyDescent="0.2">
      <c r="A87" s="125" t="s">
        <v>160</v>
      </c>
      <c r="B87" s="126" t="s">
        <v>161</v>
      </c>
      <c r="C87" s="262">
        <f>VLOOKUP($A87,T16Percentage,$C$4+'Table 16 data'!D$1,0)</f>
        <v>3093</v>
      </c>
      <c r="D87" s="263">
        <f>VLOOKUP($A87,T16Percentage,$C$4+'Table 16 data'!E$1,0)</f>
        <v>82.9</v>
      </c>
      <c r="E87" s="263">
        <f>VLOOKUP($A87,T16Percentage,$C$4+'Table 16 data'!F$1,0)</f>
        <v>61.4</v>
      </c>
      <c r="F87" s="263">
        <f>VLOOKUP($A87,T16Percentage,$C$4+'Table 16 data'!G$1,0)</f>
        <v>96.2</v>
      </c>
      <c r="G87" s="263">
        <f>VLOOKUP($A87,T16Percentage,$C$4+'Table 16 data'!H$1,0)</f>
        <v>94.6</v>
      </c>
      <c r="H87" s="263">
        <f>VLOOKUP($A87,T16Percentage,$C$4+'Table 16 data'!I$1,0)</f>
        <v>99.4</v>
      </c>
      <c r="I87" s="263">
        <f>VLOOKUP($A87,T16Percentage,$C$4+'Table 16 data'!J$1,0)</f>
        <v>342</v>
      </c>
      <c r="J87" s="263">
        <f>VLOOKUP($A87,T16Percentage,$C$4+'Table 16 data'!K$1,0)</f>
        <v>484.6</v>
      </c>
      <c r="K87" s="263">
        <f>VLOOKUP($A87,T16Percentage,$C$4+'Table 16 data'!L$1,0)</f>
        <v>96.2</v>
      </c>
      <c r="L87" s="263">
        <f>VLOOKUP($A87,T16Percentage,$C$4+'Table 16 data'!M$1,0)</f>
        <v>61.8</v>
      </c>
    </row>
    <row r="88" spans="1:12" ht="11.25" customHeight="1" x14ac:dyDescent="0.2">
      <c r="A88" s="125" t="s">
        <v>162</v>
      </c>
      <c r="B88" s="126" t="s">
        <v>163</v>
      </c>
      <c r="C88" s="262">
        <f>VLOOKUP($A88,T16Percentage,$C$4+'Table 16 data'!D$1,0)</f>
        <v>1294</v>
      </c>
      <c r="D88" s="263">
        <f>VLOOKUP($A88,T16Percentage,$C$4+'Table 16 data'!E$1,0)</f>
        <v>85.2</v>
      </c>
      <c r="E88" s="263">
        <f>VLOOKUP($A88,T16Percentage,$C$4+'Table 16 data'!F$1,0)</f>
        <v>55.3</v>
      </c>
      <c r="F88" s="263">
        <f>VLOOKUP($A88,T16Percentage,$C$4+'Table 16 data'!G$1,0)</f>
        <v>93.7</v>
      </c>
      <c r="G88" s="263">
        <f>VLOOKUP($A88,T16Percentage,$C$4+'Table 16 data'!H$1,0)</f>
        <v>92.1</v>
      </c>
      <c r="H88" s="263">
        <f>VLOOKUP($A88,T16Percentage,$C$4+'Table 16 data'!I$1,0)</f>
        <v>99</v>
      </c>
      <c r="I88" s="263">
        <f>VLOOKUP($A88,T16Percentage,$C$4+'Table 16 data'!J$1,0)</f>
        <v>331.9</v>
      </c>
      <c r="J88" s="263">
        <f>VLOOKUP($A88,T16Percentage,$C$4+'Table 16 data'!K$1,0)</f>
        <v>468.2</v>
      </c>
      <c r="K88" s="263">
        <f>VLOOKUP($A88,T16Percentage,$C$4+'Table 16 data'!L$1,0)</f>
        <v>94</v>
      </c>
      <c r="L88" s="263">
        <f>VLOOKUP($A88,T16Percentage,$C$4+'Table 16 data'!M$1,0)</f>
        <v>55.6</v>
      </c>
    </row>
    <row r="89" spans="1:12" ht="11.25" customHeight="1" x14ac:dyDescent="0.2">
      <c r="A89" s="125" t="s">
        <v>164</v>
      </c>
      <c r="B89" s="126" t="s">
        <v>165</v>
      </c>
      <c r="C89" s="262">
        <f>VLOOKUP($A89,T16Percentage,$C$4+'Table 16 data'!D$1,0)</f>
        <v>3180</v>
      </c>
      <c r="D89" s="263">
        <f>VLOOKUP($A89,T16Percentage,$C$4+'Table 16 data'!E$1,0)</f>
        <v>81.599999999999994</v>
      </c>
      <c r="E89" s="263">
        <f>VLOOKUP($A89,T16Percentage,$C$4+'Table 16 data'!F$1,0)</f>
        <v>57.8</v>
      </c>
      <c r="F89" s="263">
        <f>VLOOKUP($A89,T16Percentage,$C$4+'Table 16 data'!G$1,0)</f>
        <v>95.8</v>
      </c>
      <c r="G89" s="263">
        <f>VLOOKUP($A89,T16Percentage,$C$4+'Table 16 data'!H$1,0)</f>
        <v>94.6</v>
      </c>
      <c r="H89" s="263">
        <f>VLOOKUP($A89,T16Percentage,$C$4+'Table 16 data'!I$1,0)</f>
        <v>99.5</v>
      </c>
      <c r="I89" s="263">
        <f>VLOOKUP($A89,T16Percentage,$C$4+'Table 16 data'!J$1,0)</f>
        <v>331.9</v>
      </c>
      <c r="J89" s="263">
        <f>VLOOKUP($A89,T16Percentage,$C$4+'Table 16 data'!K$1,0)</f>
        <v>445.5</v>
      </c>
      <c r="K89" s="263">
        <f>VLOOKUP($A89,T16Percentage,$C$4+'Table 16 data'!L$1,0)</f>
        <v>96.7</v>
      </c>
      <c r="L89" s="263">
        <f>VLOOKUP($A89,T16Percentage,$C$4+'Table 16 data'!M$1,0)</f>
        <v>58.4</v>
      </c>
    </row>
    <row r="90" spans="1:12" s="3" customFormat="1" ht="11.25" customHeight="1" x14ac:dyDescent="0.2">
      <c r="C90" s="264"/>
      <c r="D90" s="264"/>
      <c r="E90" s="264"/>
      <c r="F90" s="264"/>
      <c r="G90" s="264"/>
      <c r="H90" s="264"/>
      <c r="I90" s="264"/>
      <c r="J90" s="264"/>
      <c r="K90" s="264"/>
      <c r="L90" s="264"/>
    </row>
    <row r="91" spans="1:12" s="17" customFormat="1" ht="11.25" customHeight="1" x14ac:dyDescent="0.2">
      <c r="A91" s="17" t="s">
        <v>383</v>
      </c>
      <c r="B91" s="17" t="s">
        <v>166</v>
      </c>
      <c r="C91" s="260">
        <f>VLOOKUP($A91,T16Percentage,$C$4+'Table 16 data'!D$1,0)</f>
        <v>33186</v>
      </c>
      <c r="D91" s="261">
        <f>VLOOKUP($A91,T16Percentage,$C$4+'Table 16 data'!E$1,0)</f>
        <v>76.099999999999994</v>
      </c>
      <c r="E91" s="261">
        <f>VLOOKUP($A91,T16Percentage,$C$4+'Table 16 data'!F$1,0)</f>
        <v>54.8</v>
      </c>
      <c r="F91" s="261">
        <f>VLOOKUP($A91,T16Percentage,$C$4+'Table 16 data'!G$1,0)</f>
        <v>94.9</v>
      </c>
      <c r="G91" s="261">
        <f>VLOOKUP($A91,T16Percentage,$C$4+'Table 16 data'!H$1,0)</f>
        <v>93.2</v>
      </c>
      <c r="H91" s="261">
        <f>VLOOKUP($A91,T16Percentage,$C$4+'Table 16 data'!I$1,0)</f>
        <v>99.2</v>
      </c>
      <c r="I91" s="261">
        <f>VLOOKUP($A91,T16Percentage,$C$4+'Table 16 data'!J$1,0)</f>
        <v>327.39999999999998</v>
      </c>
      <c r="J91" s="261">
        <f>VLOOKUP($A91,T16Percentage,$C$4+'Table 16 data'!K$1,0)</f>
        <v>436.5</v>
      </c>
      <c r="K91" s="261">
        <f>VLOOKUP($A91,T16Percentage,$C$4+'Table 16 data'!L$1,0)</f>
        <v>96.1</v>
      </c>
      <c r="L91" s="261">
        <f>VLOOKUP($A91,T16Percentage,$C$4+'Table 16 data'!M$1,0)</f>
        <v>55.9</v>
      </c>
    </row>
    <row r="92" spans="1:12" ht="11.25" customHeight="1" x14ac:dyDescent="0.2">
      <c r="A92" s="125" t="s">
        <v>167</v>
      </c>
      <c r="B92" s="126" t="s">
        <v>168</v>
      </c>
      <c r="C92" s="262">
        <f>VLOOKUP($A92,T16Percentage,$C$4+'Table 16 data'!D$1,0)</f>
        <v>989</v>
      </c>
      <c r="D92" s="263">
        <f>VLOOKUP($A92,T16Percentage,$C$4+'Table 16 data'!E$1,0)</f>
        <v>73.900000000000006</v>
      </c>
      <c r="E92" s="263">
        <f>VLOOKUP($A92,T16Percentage,$C$4+'Table 16 data'!F$1,0)</f>
        <v>54.2</v>
      </c>
      <c r="F92" s="263">
        <f>VLOOKUP($A92,T16Percentage,$C$4+'Table 16 data'!G$1,0)</f>
        <v>93.9</v>
      </c>
      <c r="G92" s="263">
        <f>VLOOKUP($A92,T16Percentage,$C$4+'Table 16 data'!H$1,0)</f>
        <v>93.2</v>
      </c>
      <c r="H92" s="263">
        <f>VLOOKUP($A92,T16Percentage,$C$4+'Table 16 data'!I$1,0)</f>
        <v>99.1</v>
      </c>
      <c r="I92" s="263">
        <f>VLOOKUP($A92,T16Percentage,$C$4+'Table 16 data'!J$1,0)</f>
        <v>320.10000000000002</v>
      </c>
      <c r="J92" s="263">
        <f>VLOOKUP($A92,T16Percentage,$C$4+'Table 16 data'!K$1,0)</f>
        <v>436.7</v>
      </c>
      <c r="K92" s="263">
        <f>VLOOKUP($A92,T16Percentage,$C$4+'Table 16 data'!L$1,0)</f>
        <v>97.1</v>
      </c>
      <c r="L92" s="263">
        <f>VLOOKUP($A92,T16Percentage,$C$4+'Table 16 data'!M$1,0)</f>
        <v>56</v>
      </c>
    </row>
    <row r="93" spans="1:12" ht="11.25" customHeight="1" x14ac:dyDescent="0.2">
      <c r="A93" s="125" t="s">
        <v>169</v>
      </c>
      <c r="B93" s="126" t="s">
        <v>170</v>
      </c>
      <c r="C93" s="262">
        <f>VLOOKUP($A93,T16Percentage,$C$4+'Table 16 data'!D$1,0)</f>
        <v>3094</v>
      </c>
      <c r="D93" s="263">
        <f>VLOOKUP($A93,T16Percentage,$C$4+'Table 16 data'!E$1,0)</f>
        <v>76</v>
      </c>
      <c r="E93" s="263">
        <f>VLOOKUP($A93,T16Percentage,$C$4+'Table 16 data'!F$1,0)</f>
        <v>55.8</v>
      </c>
      <c r="F93" s="263">
        <f>VLOOKUP($A93,T16Percentage,$C$4+'Table 16 data'!G$1,0)</f>
        <v>93.9</v>
      </c>
      <c r="G93" s="263">
        <f>VLOOKUP($A93,T16Percentage,$C$4+'Table 16 data'!H$1,0)</f>
        <v>92.7</v>
      </c>
      <c r="H93" s="263">
        <f>VLOOKUP($A93,T16Percentage,$C$4+'Table 16 data'!I$1,0)</f>
        <v>99.3</v>
      </c>
      <c r="I93" s="263">
        <f>VLOOKUP($A93,T16Percentage,$C$4+'Table 16 data'!J$1,0)</f>
        <v>327.2</v>
      </c>
      <c r="J93" s="263">
        <f>VLOOKUP($A93,T16Percentage,$C$4+'Table 16 data'!K$1,0)</f>
        <v>419.9</v>
      </c>
      <c r="K93" s="263">
        <f>VLOOKUP($A93,T16Percentage,$C$4+'Table 16 data'!L$1,0)</f>
        <v>95</v>
      </c>
      <c r="L93" s="263">
        <f>VLOOKUP($A93,T16Percentage,$C$4+'Table 16 data'!M$1,0)</f>
        <v>57.5</v>
      </c>
    </row>
    <row r="94" spans="1:12" ht="11.25" customHeight="1" x14ac:dyDescent="0.2">
      <c r="A94" s="125" t="s">
        <v>171</v>
      </c>
      <c r="B94" s="126" t="s">
        <v>172</v>
      </c>
      <c r="C94" s="262">
        <f>VLOOKUP($A94,T16Percentage,$C$4+'Table 16 data'!D$1,0)</f>
        <v>1502</v>
      </c>
      <c r="D94" s="263">
        <f>VLOOKUP($A94,T16Percentage,$C$4+'Table 16 data'!E$1,0)</f>
        <v>77.8</v>
      </c>
      <c r="E94" s="263">
        <f>VLOOKUP($A94,T16Percentage,$C$4+'Table 16 data'!F$1,0)</f>
        <v>52.1</v>
      </c>
      <c r="F94" s="263">
        <f>VLOOKUP($A94,T16Percentage,$C$4+'Table 16 data'!G$1,0)</f>
        <v>94.9</v>
      </c>
      <c r="G94" s="263">
        <f>VLOOKUP($A94,T16Percentage,$C$4+'Table 16 data'!H$1,0)</f>
        <v>93.3</v>
      </c>
      <c r="H94" s="263">
        <f>VLOOKUP($A94,T16Percentage,$C$4+'Table 16 data'!I$1,0)</f>
        <v>98.7</v>
      </c>
      <c r="I94" s="263">
        <f>VLOOKUP($A94,T16Percentage,$C$4+'Table 16 data'!J$1,0)</f>
        <v>327.10000000000002</v>
      </c>
      <c r="J94" s="263">
        <f>VLOOKUP($A94,T16Percentage,$C$4+'Table 16 data'!K$1,0)</f>
        <v>451.5</v>
      </c>
      <c r="K94" s="263">
        <f>VLOOKUP($A94,T16Percentage,$C$4+'Table 16 data'!L$1,0)</f>
        <v>95.6</v>
      </c>
      <c r="L94" s="263">
        <f>VLOOKUP($A94,T16Percentage,$C$4+'Table 16 data'!M$1,0)</f>
        <v>52.7</v>
      </c>
    </row>
    <row r="95" spans="1:12" ht="11.25" customHeight="1" x14ac:dyDescent="0.2">
      <c r="A95" s="125" t="s">
        <v>173</v>
      </c>
      <c r="B95" s="126" t="s">
        <v>174</v>
      </c>
      <c r="C95" s="262">
        <f>VLOOKUP($A95,T16Percentage,$C$4+'Table 16 data'!D$1,0)</f>
        <v>8079</v>
      </c>
      <c r="D95" s="263">
        <f>VLOOKUP($A95,T16Percentage,$C$4+'Table 16 data'!E$1,0)</f>
        <v>76.7</v>
      </c>
      <c r="E95" s="263">
        <f>VLOOKUP($A95,T16Percentage,$C$4+'Table 16 data'!F$1,0)</f>
        <v>55.4</v>
      </c>
      <c r="F95" s="263">
        <f>VLOOKUP($A95,T16Percentage,$C$4+'Table 16 data'!G$1,0)</f>
        <v>94.2</v>
      </c>
      <c r="G95" s="263">
        <f>VLOOKUP($A95,T16Percentage,$C$4+'Table 16 data'!H$1,0)</f>
        <v>92.6</v>
      </c>
      <c r="H95" s="263">
        <f>VLOOKUP($A95,T16Percentage,$C$4+'Table 16 data'!I$1,0)</f>
        <v>99.1</v>
      </c>
      <c r="I95" s="263">
        <f>VLOOKUP($A95,T16Percentage,$C$4+'Table 16 data'!J$1,0)</f>
        <v>326</v>
      </c>
      <c r="J95" s="263">
        <f>VLOOKUP($A95,T16Percentage,$C$4+'Table 16 data'!K$1,0)</f>
        <v>438.9</v>
      </c>
      <c r="K95" s="263">
        <f>VLOOKUP($A95,T16Percentage,$C$4+'Table 16 data'!L$1,0)</f>
        <v>96.1</v>
      </c>
      <c r="L95" s="263">
        <f>VLOOKUP($A95,T16Percentage,$C$4+'Table 16 data'!M$1,0)</f>
        <v>56.5</v>
      </c>
    </row>
    <row r="96" spans="1:12" ht="11.25" customHeight="1" x14ac:dyDescent="0.2">
      <c r="A96" s="125" t="s">
        <v>175</v>
      </c>
      <c r="B96" s="126" t="s">
        <v>176</v>
      </c>
      <c r="C96" s="262">
        <f>VLOOKUP($A96,T16Percentage,$C$4+'Table 16 data'!D$1,0)</f>
        <v>6599</v>
      </c>
      <c r="D96" s="263">
        <f>VLOOKUP($A96,T16Percentage,$C$4+'Table 16 data'!E$1,0)</f>
        <v>81</v>
      </c>
      <c r="E96" s="263">
        <f>VLOOKUP($A96,T16Percentage,$C$4+'Table 16 data'!F$1,0)</f>
        <v>61.1</v>
      </c>
      <c r="F96" s="263">
        <f>VLOOKUP($A96,T16Percentage,$C$4+'Table 16 data'!G$1,0)</f>
        <v>96.1</v>
      </c>
      <c r="G96" s="263">
        <f>VLOOKUP($A96,T16Percentage,$C$4+'Table 16 data'!H$1,0)</f>
        <v>94.7</v>
      </c>
      <c r="H96" s="263">
        <f>VLOOKUP($A96,T16Percentage,$C$4+'Table 16 data'!I$1,0)</f>
        <v>99.4</v>
      </c>
      <c r="I96" s="263">
        <f>VLOOKUP($A96,T16Percentage,$C$4+'Table 16 data'!J$1,0)</f>
        <v>342.3</v>
      </c>
      <c r="J96" s="263">
        <f>VLOOKUP($A96,T16Percentage,$C$4+'Table 16 data'!K$1,0)</f>
        <v>454.3</v>
      </c>
      <c r="K96" s="263">
        <f>VLOOKUP($A96,T16Percentage,$C$4+'Table 16 data'!L$1,0)</f>
        <v>96.5</v>
      </c>
      <c r="L96" s="263">
        <f>VLOOKUP($A96,T16Percentage,$C$4+'Table 16 data'!M$1,0)</f>
        <v>61.8</v>
      </c>
    </row>
    <row r="97" spans="1:12" ht="11.25" customHeight="1" x14ac:dyDescent="0.2">
      <c r="A97" s="125" t="s">
        <v>177</v>
      </c>
      <c r="B97" s="126" t="s">
        <v>178</v>
      </c>
      <c r="C97" s="262">
        <f>VLOOKUP($A97,T16Percentage,$C$4+'Table 16 data'!D$1,0)</f>
        <v>1245</v>
      </c>
      <c r="D97" s="263">
        <f>VLOOKUP($A97,T16Percentage,$C$4+'Table 16 data'!E$1,0)</f>
        <v>85</v>
      </c>
      <c r="E97" s="263">
        <f>VLOOKUP($A97,T16Percentage,$C$4+'Table 16 data'!F$1,0)</f>
        <v>53.2</v>
      </c>
      <c r="F97" s="263">
        <f>VLOOKUP($A97,T16Percentage,$C$4+'Table 16 data'!G$1,0)</f>
        <v>96.9</v>
      </c>
      <c r="G97" s="263">
        <f>VLOOKUP($A97,T16Percentage,$C$4+'Table 16 data'!H$1,0)</f>
        <v>94.6</v>
      </c>
      <c r="H97" s="263">
        <f>VLOOKUP($A97,T16Percentage,$C$4+'Table 16 data'!I$1,0)</f>
        <v>99</v>
      </c>
      <c r="I97" s="263">
        <f>VLOOKUP($A97,T16Percentage,$C$4+'Table 16 data'!J$1,0)</f>
        <v>338</v>
      </c>
      <c r="J97" s="263">
        <f>VLOOKUP($A97,T16Percentage,$C$4+'Table 16 data'!K$1,0)</f>
        <v>467.9</v>
      </c>
      <c r="K97" s="263">
        <f>VLOOKUP($A97,T16Percentage,$C$4+'Table 16 data'!L$1,0)</f>
        <v>96.8</v>
      </c>
      <c r="L97" s="263">
        <f>VLOOKUP($A97,T16Percentage,$C$4+'Table 16 data'!M$1,0)</f>
        <v>54</v>
      </c>
    </row>
    <row r="98" spans="1:12" ht="11.25" customHeight="1" x14ac:dyDescent="0.2">
      <c r="A98" s="125" t="s">
        <v>179</v>
      </c>
      <c r="B98" s="126" t="s">
        <v>180</v>
      </c>
      <c r="C98" s="262">
        <f>VLOOKUP($A98,T16Percentage,$C$4+'Table 16 data'!D$1,0)</f>
        <v>4565</v>
      </c>
      <c r="D98" s="263">
        <f>VLOOKUP($A98,T16Percentage,$C$4+'Table 16 data'!E$1,0)</f>
        <v>67.7</v>
      </c>
      <c r="E98" s="263">
        <f>VLOOKUP($A98,T16Percentage,$C$4+'Table 16 data'!F$1,0)</f>
        <v>49.5</v>
      </c>
      <c r="F98" s="263">
        <f>VLOOKUP($A98,T16Percentage,$C$4+'Table 16 data'!G$1,0)</f>
        <v>95</v>
      </c>
      <c r="G98" s="263">
        <f>VLOOKUP($A98,T16Percentage,$C$4+'Table 16 data'!H$1,0)</f>
        <v>92.6</v>
      </c>
      <c r="H98" s="263">
        <f>VLOOKUP($A98,T16Percentage,$C$4+'Table 16 data'!I$1,0)</f>
        <v>99</v>
      </c>
      <c r="I98" s="263">
        <f>VLOOKUP($A98,T16Percentage,$C$4+'Table 16 data'!J$1,0)</f>
        <v>314.5</v>
      </c>
      <c r="J98" s="263">
        <f>VLOOKUP($A98,T16Percentage,$C$4+'Table 16 data'!K$1,0)</f>
        <v>407.4</v>
      </c>
      <c r="K98" s="263">
        <f>VLOOKUP($A98,T16Percentage,$C$4+'Table 16 data'!L$1,0)</f>
        <v>96.1</v>
      </c>
      <c r="L98" s="263">
        <f>VLOOKUP($A98,T16Percentage,$C$4+'Table 16 data'!M$1,0)</f>
        <v>50.9</v>
      </c>
    </row>
    <row r="99" spans="1:12" ht="11.25" customHeight="1" x14ac:dyDescent="0.2">
      <c r="A99" s="125" t="s">
        <v>181</v>
      </c>
      <c r="B99" s="126" t="s">
        <v>182</v>
      </c>
      <c r="C99" s="262">
        <f>VLOOKUP($A99,T16Percentage,$C$4+'Table 16 data'!D$1,0)</f>
        <v>1118</v>
      </c>
      <c r="D99" s="263">
        <f>VLOOKUP($A99,T16Percentage,$C$4+'Table 16 data'!E$1,0)</f>
        <v>83.6</v>
      </c>
      <c r="E99" s="263">
        <f>VLOOKUP($A99,T16Percentage,$C$4+'Table 16 data'!F$1,0)</f>
        <v>50.5</v>
      </c>
      <c r="F99" s="263">
        <f>VLOOKUP($A99,T16Percentage,$C$4+'Table 16 data'!G$1,0)</f>
        <v>93.7</v>
      </c>
      <c r="G99" s="263">
        <f>VLOOKUP($A99,T16Percentage,$C$4+'Table 16 data'!H$1,0)</f>
        <v>92.1</v>
      </c>
      <c r="H99" s="263">
        <f>VLOOKUP($A99,T16Percentage,$C$4+'Table 16 data'!I$1,0)</f>
        <v>99.3</v>
      </c>
      <c r="I99" s="263">
        <f>VLOOKUP($A99,T16Percentage,$C$4+'Table 16 data'!J$1,0)</f>
        <v>326.3</v>
      </c>
      <c r="J99" s="263">
        <f>VLOOKUP($A99,T16Percentage,$C$4+'Table 16 data'!K$1,0)</f>
        <v>444.1</v>
      </c>
      <c r="K99" s="263">
        <f>VLOOKUP($A99,T16Percentage,$C$4+'Table 16 data'!L$1,0)</f>
        <v>95.9</v>
      </c>
      <c r="L99" s="263">
        <f>VLOOKUP($A99,T16Percentage,$C$4+'Table 16 data'!M$1,0)</f>
        <v>51.8</v>
      </c>
    </row>
    <row r="100" spans="1:12" ht="11.25" customHeight="1" x14ac:dyDescent="0.2">
      <c r="A100" s="125" t="s">
        <v>183</v>
      </c>
      <c r="B100" s="126" t="s">
        <v>184</v>
      </c>
      <c r="C100" s="262">
        <f>VLOOKUP($A100,T16Percentage,$C$4+'Table 16 data'!D$1,0)</f>
        <v>1159</v>
      </c>
      <c r="D100" s="263">
        <f>VLOOKUP($A100,T16Percentage,$C$4+'Table 16 data'!E$1,0)</f>
        <v>78.3</v>
      </c>
      <c r="E100" s="263">
        <f>VLOOKUP($A100,T16Percentage,$C$4+'Table 16 data'!F$1,0)</f>
        <v>58.1</v>
      </c>
      <c r="F100" s="263">
        <f>VLOOKUP($A100,T16Percentage,$C$4+'Table 16 data'!G$1,0)</f>
        <v>91.5</v>
      </c>
      <c r="G100" s="263">
        <f>VLOOKUP($A100,T16Percentage,$C$4+'Table 16 data'!H$1,0)</f>
        <v>90</v>
      </c>
      <c r="H100" s="263">
        <f>VLOOKUP($A100,T16Percentage,$C$4+'Table 16 data'!I$1,0)</f>
        <v>98.6</v>
      </c>
      <c r="I100" s="263">
        <f>VLOOKUP($A100,T16Percentage,$C$4+'Table 16 data'!J$1,0)</f>
        <v>330.9</v>
      </c>
      <c r="J100" s="263">
        <f>VLOOKUP($A100,T16Percentage,$C$4+'Table 16 data'!K$1,0)</f>
        <v>450.6</v>
      </c>
      <c r="K100" s="263">
        <f>VLOOKUP($A100,T16Percentage,$C$4+'Table 16 data'!L$1,0)</f>
        <v>93.4</v>
      </c>
      <c r="L100" s="263">
        <f>VLOOKUP($A100,T16Percentage,$C$4+'Table 16 data'!M$1,0)</f>
        <v>58.8</v>
      </c>
    </row>
    <row r="101" spans="1:12" ht="11.25" customHeight="1" x14ac:dyDescent="0.2">
      <c r="A101" s="125" t="s">
        <v>185</v>
      </c>
      <c r="B101" s="126" t="s">
        <v>186</v>
      </c>
      <c r="C101" s="262">
        <f>VLOOKUP($A101,T16Percentage,$C$4+'Table 16 data'!D$1,0)</f>
        <v>3958</v>
      </c>
      <c r="D101" s="263">
        <f>VLOOKUP($A101,T16Percentage,$C$4+'Table 16 data'!E$1,0)</f>
        <v>68.400000000000006</v>
      </c>
      <c r="E101" s="263">
        <f>VLOOKUP($A101,T16Percentage,$C$4+'Table 16 data'!F$1,0)</f>
        <v>49.7</v>
      </c>
      <c r="F101" s="263">
        <f>VLOOKUP($A101,T16Percentage,$C$4+'Table 16 data'!G$1,0)</f>
        <v>95.3</v>
      </c>
      <c r="G101" s="263">
        <f>VLOOKUP($A101,T16Percentage,$C$4+'Table 16 data'!H$1,0)</f>
        <v>93.4</v>
      </c>
      <c r="H101" s="263">
        <f>VLOOKUP($A101,T16Percentage,$C$4+'Table 16 data'!I$1,0)</f>
        <v>99.2</v>
      </c>
      <c r="I101" s="263">
        <f>VLOOKUP($A101,T16Percentage,$C$4+'Table 16 data'!J$1,0)</f>
        <v>316.5</v>
      </c>
      <c r="J101" s="263">
        <f>VLOOKUP($A101,T16Percentage,$C$4+'Table 16 data'!K$1,0)</f>
        <v>417.5</v>
      </c>
      <c r="K101" s="263">
        <f>VLOOKUP($A101,T16Percentage,$C$4+'Table 16 data'!L$1,0)</f>
        <v>96.7</v>
      </c>
      <c r="L101" s="263">
        <f>VLOOKUP($A101,T16Percentage,$C$4+'Table 16 data'!M$1,0)</f>
        <v>51.1</v>
      </c>
    </row>
    <row r="102" spans="1:12" ht="11.25" customHeight="1" x14ac:dyDescent="0.2">
      <c r="A102" s="125" t="s">
        <v>187</v>
      </c>
      <c r="B102" s="126" t="s">
        <v>188</v>
      </c>
      <c r="C102" s="262">
        <f>VLOOKUP($A102,T16Percentage,$C$4+'Table 16 data'!D$1,0)</f>
        <v>878</v>
      </c>
      <c r="D102" s="263">
        <f>VLOOKUP($A102,T16Percentage,$C$4+'Table 16 data'!E$1,0)</f>
        <v>86.7</v>
      </c>
      <c r="E102" s="263">
        <f>VLOOKUP($A102,T16Percentage,$C$4+'Table 16 data'!F$1,0)</f>
        <v>56</v>
      </c>
      <c r="F102" s="263">
        <f>VLOOKUP($A102,T16Percentage,$C$4+'Table 16 data'!G$1,0)</f>
        <v>97</v>
      </c>
      <c r="G102" s="263">
        <f>VLOOKUP($A102,T16Percentage,$C$4+'Table 16 data'!H$1,0)</f>
        <v>94.1</v>
      </c>
      <c r="H102" s="263">
        <f>VLOOKUP($A102,T16Percentage,$C$4+'Table 16 data'!I$1,0)</f>
        <v>99.7</v>
      </c>
      <c r="I102" s="263">
        <f>VLOOKUP($A102,T16Percentage,$C$4+'Table 16 data'!J$1,0)</f>
        <v>337.8</v>
      </c>
      <c r="J102" s="263">
        <f>VLOOKUP($A102,T16Percentage,$C$4+'Table 16 data'!K$1,0)</f>
        <v>475.5</v>
      </c>
      <c r="K102" s="263">
        <f>VLOOKUP($A102,T16Percentage,$C$4+'Table 16 data'!L$1,0)</f>
        <v>96.5</v>
      </c>
      <c r="L102" s="263">
        <f>VLOOKUP($A102,T16Percentage,$C$4+'Table 16 data'!M$1,0)</f>
        <v>56.2</v>
      </c>
    </row>
    <row r="103" spans="1:12" s="3" customFormat="1" ht="11.25" customHeight="1" x14ac:dyDescent="0.2">
      <c r="C103" s="264"/>
      <c r="D103" s="264"/>
      <c r="E103" s="264"/>
      <c r="F103" s="264"/>
      <c r="G103" s="264"/>
      <c r="H103" s="264"/>
      <c r="I103" s="264"/>
      <c r="J103" s="264"/>
      <c r="K103" s="264"/>
      <c r="L103" s="264"/>
    </row>
    <row r="104" spans="1:12" s="17" customFormat="1" ht="11.25" customHeight="1" x14ac:dyDescent="0.2">
      <c r="A104" s="17" t="s">
        <v>384</v>
      </c>
      <c r="B104" s="17" t="s">
        <v>189</v>
      </c>
      <c r="C104" s="260">
        <f>VLOOKUP($A104,T16Percentage,$C$4+'Table 16 data'!D$1,0)</f>
        <v>38268</v>
      </c>
      <c r="D104" s="261">
        <f>VLOOKUP($A104,T16Percentage,$C$4+'Table 16 data'!E$1,0)</f>
        <v>81.599999999999994</v>
      </c>
      <c r="E104" s="261">
        <f>VLOOKUP($A104,T16Percentage,$C$4+'Table 16 data'!F$1,0)</f>
        <v>61.1</v>
      </c>
      <c r="F104" s="261">
        <f>VLOOKUP($A104,T16Percentage,$C$4+'Table 16 data'!G$1,0)</f>
        <v>95.4</v>
      </c>
      <c r="G104" s="261">
        <f>VLOOKUP($A104,T16Percentage,$C$4+'Table 16 data'!H$1,0)</f>
        <v>93.9</v>
      </c>
      <c r="H104" s="261">
        <f>VLOOKUP($A104,T16Percentage,$C$4+'Table 16 data'!I$1,0)</f>
        <v>99.1</v>
      </c>
      <c r="I104" s="261">
        <f>VLOOKUP($A104,T16Percentage,$C$4+'Table 16 data'!J$1,0)</f>
        <v>335.9</v>
      </c>
      <c r="J104" s="261">
        <f>VLOOKUP($A104,T16Percentage,$C$4+'Table 16 data'!K$1,0)</f>
        <v>447.2</v>
      </c>
      <c r="K104" s="261">
        <f>VLOOKUP($A104,T16Percentage,$C$4+'Table 16 data'!L$1,0)</f>
        <v>96.3</v>
      </c>
      <c r="L104" s="261">
        <f>VLOOKUP($A104,T16Percentage,$C$4+'Table 16 data'!M$1,0)</f>
        <v>62.1</v>
      </c>
    </row>
    <row r="105" spans="1:12" s="27" customFormat="1" ht="11.25" customHeight="1" x14ac:dyDescent="0.2">
      <c r="A105" s="16" t="s">
        <v>190</v>
      </c>
      <c r="B105" s="17" t="s">
        <v>191</v>
      </c>
      <c r="C105" s="262">
        <f>VLOOKUP($A105,T16Percentage,$C$4+'Table 16 data'!D$1,0)</f>
        <v>12002</v>
      </c>
      <c r="D105" s="263">
        <f>VLOOKUP($A105,T16Percentage,$C$4+'Table 16 data'!E$1,0)</f>
        <v>80.2</v>
      </c>
      <c r="E105" s="263">
        <f>VLOOKUP($A105,T16Percentage,$C$4+'Table 16 data'!F$1,0)</f>
        <v>59.3</v>
      </c>
      <c r="F105" s="263">
        <f>VLOOKUP($A105,T16Percentage,$C$4+'Table 16 data'!G$1,0)</f>
        <v>94.7</v>
      </c>
      <c r="G105" s="263">
        <f>VLOOKUP($A105,T16Percentage,$C$4+'Table 16 data'!H$1,0)</f>
        <v>93.2</v>
      </c>
      <c r="H105" s="263">
        <f>VLOOKUP($A105,T16Percentage,$C$4+'Table 16 data'!I$1,0)</f>
        <v>98.9</v>
      </c>
      <c r="I105" s="263">
        <f>VLOOKUP($A105,T16Percentage,$C$4+'Table 16 data'!J$1,0)</f>
        <v>329.5</v>
      </c>
      <c r="J105" s="263">
        <f>VLOOKUP($A105,T16Percentage,$C$4+'Table 16 data'!K$1,0)</f>
        <v>434.2</v>
      </c>
      <c r="K105" s="263">
        <f>VLOOKUP($A105,T16Percentage,$C$4+'Table 16 data'!L$1,0)</f>
        <v>95.9</v>
      </c>
      <c r="L105" s="263">
        <f>VLOOKUP($A105,T16Percentage,$C$4+'Table 16 data'!M$1,0)</f>
        <v>60.5</v>
      </c>
    </row>
    <row r="106" spans="1:12" s="23" customFormat="1" ht="11.25" customHeight="1" x14ac:dyDescent="0.2">
      <c r="A106" s="125" t="s">
        <v>192</v>
      </c>
      <c r="B106" s="126" t="s">
        <v>193</v>
      </c>
      <c r="C106" s="262">
        <f>VLOOKUP($A106,T16Percentage,$C$4+'Table 16 data'!D$1,0)</f>
        <v>627</v>
      </c>
      <c r="D106" s="263">
        <f>VLOOKUP($A106,T16Percentage,$C$4+'Table 16 data'!E$1,0)</f>
        <v>69.099999999999994</v>
      </c>
      <c r="E106" s="263">
        <f>VLOOKUP($A106,T16Percentage,$C$4+'Table 16 data'!F$1,0)</f>
        <v>49.6</v>
      </c>
      <c r="F106" s="263">
        <f>VLOOKUP($A106,T16Percentage,$C$4+'Table 16 data'!G$1,0)</f>
        <v>92.7</v>
      </c>
      <c r="G106" s="263">
        <f>VLOOKUP($A106,T16Percentage,$C$4+'Table 16 data'!H$1,0)</f>
        <v>91.7</v>
      </c>
      <c r="H106" s="263">
        <f>VLOOKUP($A106,T16Percentage,$C$4+'Table 16 data'!I$1,0)</f>
        <v>97.9</v>
      </c>
      <c r="I106" s="263">
        <f>VLOOKUP($A106,T16Percentage,$C$4+'Table 16 data'!J$1,0)</f>
        <v>316.2</v>
      </c>
      <c r="J106" s="263">
        <f>VLOOKUP($A106,T16Percentage,$C$4+'Table 16 data'!K$1,0)</f>
        <v>408.9</v>
      </c>
      <c r="K106" s="263">
        <f>VLOOKUP($A106,T16Percentage,$C$4+'Table 16 data'!L$1,0)</f>
        <v>94.4</v>
      </c>
      <c r="L106" s="263">
        <f>VLOOKUP($A106,T16Percentage,$C$4+'Table 16 data'!M$1,0)</f>
        <v>51.7</v>
      </c>
    </row>
    <row r="107" spans="1:12" s="23" customFormat="1" ht="11.25" customHeight="1" x14ac:dyDescent="0.2">
      <c r="A107" s="125" t="s">
        <v>194</v>
      </c>
      <c r="B107" s="143" t="s">
        <v>195</v>
      </c>
      <c r="C107" s="265" t="s">
        <v>196</v>
      </c>
      <c r="D107" s="265" t="s">
        <v>196</v>
      </c>
      <c r="E107" s="265" t="s">
        <v>196</v>
      </c>
      <c r="F107" s="265" t="s">
        <v>196</v>
      </c>
      <c r="G107" s="265" t="s">
        <v>196</v>
      </c>
      <c r="H107" s="265" t="s">
        <v>196</v>
      </c>
      <c r="I107" s="265" t="s">
        <v>196</v>
      </c>
      <c r="J107" s="265" t="s">
        <v>196</v>
      </c>
      <c r="K107" s="265" t="s">
        <v>196</v>
      </c>
      <c r="L107" s="265" t="s">
        <v>196</v>
      </c>
    </row>
    <row r="108" spans="1:12" ht="11.25" customHeight="1" x14ac:dyDescent="0.2">
      <c r="A108" s="125" t="s">
        <v>197</v>
      </c>
      <c r="B108" s="126" t="s">
        <v>198</v>
      </c>
      <c r="C108" s="262">
        <f>VLOOKUP($A108,T16Percentage,$C$4+'Table 16 data'!D$1,0)</f>
        <v>682</v>
      </c>
      <c r="D108" s="263">
        <f>VLOOKUP($A108,T16Percentage,$C$4+'Table 16 data'!E$1,0)</f>
        <v>77.599999999999994</v>
      </c>
      <c r="E108" s="263">
        <f>VLOOKUP($A108,T16Percentage,$C$4+'Table 16 data'!F$1,0)</f>
        <v>58.7</v>
      </c>
      <c r="F108" s="263">
        <f>VLOOKUP($A108,T16Percentage,$C$4+'Table 16 data'!G$1,0)</f>
        <v>94.3</v>
      </c>
      <c r="G108" s="263">
        <f>VLOOKUP($A108,T16Percentage,$C$4+'Table 16 data'!H$1,0)</f>
        <v>91.5</v>
      </c>
      <c r="H108" s="263">
        <f>VLOOKUP($A108,T16Percentage,$C$4+'Table 16 data'!I$1,0)</f>
        <v>98.8</v>
      </c>
      <c r="I108" s="263">
        <f>VLOOKUP($A108,T16Percentage,$C$4+'Table 16 data'!J$1,0)</f>
        <v>325.3</v>
      </c>
      <c r="J108" s="263">
        <f>VLOOKUP($A108,T16Percentage,$C$4+'Table 16 data'!K$1,0)</f>
        <v>404.5</v>
      </c>
      <c r="K108" s="263">
        <f>VLOOKUP($A108,T16Percentage,$C$4+'Table 16 data'!L$1,0)</f>
        <v>94.3</v>
      </c>
      <c r="L108" s="263">
        <f>VLOOKUP($A108,T16Percentage,$C$4+'Table 16 data'!M$1,0)</f>
        <v>60</v>
      </c>
    </row>
    <row r="109" spans="1:12" ht="11.25" customHeight="1" x14ac:dyDescent="0.2">
      <c r="A109" s="125" t="s">
        <v>199</v>
      </c>
      <c r="B109" s="126" t="s">
        <v>200</v>
      </c>
      <c r="C109" s="262">
        <f>VLOOKUP($A109,T16Percentage,$C$4+'Table 16 data'!D$1,0)</f>
        <v>558</v>
      </c>
      <c r="D109" s="263">
        <f>VLOOKUP($A109,T16Percentage,$C$4+'Table 16 data'!E$1,0)</f>
        <v>79.900000000000006</v>
      </c>
      <c r="E109" s="263">
        <f>VLOOKUP($A109,T16Percentage,$C$4+'Table 16 data'!F$1,0)</f>
        <v>60.8</v>
      </c>
      <c r="F109" s="263">
        <f>VLOOKUP($A109,T16Percentage,$C$4+'Table 16 data'!G$1,0)</f>
        <v>95</v>
      </c>
      <c r="G109" s="263">
        <f>VLOOKUP($A109,T16Percentage,$C$4+'Table 16 data'!H$1,0)</f>
        <v>93.9</v>
      </c>
      <c r="H109" s="263">
        <f>VLOOKUP($A109,T16Percentage,$C$4+'Table 16 data'!I$1,0)</f>
        <v>99.8</v>
      </c>
      <c r="I109" s="263">
        <f>VLOOKUP($A109,T16Percentage,$C$4+'Table 16 data'!J$1,0)</f>
        <v>347.1</v>
      </c>
      <c r="J109" s="263">
        <f>VLOOKUP($A109,T16Percentage,$C$4+'Table 16 data'!K$1,0)</f>
        <v>448.5</v>
      </c>
      <c r="K109" s="263">
        <f>VLOOKUP($A109,T16Percentage,$C$4+'Table 16 data'!L$1,0)</f>
        <v>96.6</v>
      </c>
      <c r="L109" s="263">
        <f>VLOOKUP($A109,T16Percentage,$C$4+'Table 16 data'!M$1,0)</f>
        <v>61.1</v>
      </c>
    </row>
    <row r="110" spans="1:12" ht="11.25" customHeight="1" x14ac:dyDescent="0.2">
      <c r="A110" s="125" t="s">
        <v>201</v>
      </c>
      <c r="B110" s="126" t="s">
        <v>202</v>
      </c>
      <c r="C110" s="262">
        <f>VLOOKUP($A110,T16Percentage,$C$4+'Table 16 data'!D$1,0)</f>
        <v>1107</v>
      </c>
      <c r="D110" s="263">
        <f>VLOOKUP($A110,T16Percentage,$C$4+'Table 16 data'!E$1,0)</f>
        <v>81.400000000000006</v>
      </c>
      <c r="E110" s="263">
        <f>VLOOKUP($A110,T16Percentage,$C$4+'Table 16 data'!F$1,0)</f>
        <v>60.4</v>
      </c>
      <c r="F110" s="263">
        <f>VLOOKUP($A110,T16Percentage,$C$4+'Table 16 data'!G$1,0)</f>
        <v>93.6</v>
      </c>
      <c r="G110" s="263">
        <f>VLOOKUP($A110,T16Percentage,$C$4+'Table 16 data'!H$1,0)</f>
        <v>91.8</v>
      </c>
      <c r="H110" s="263">
        <f>VLOOKUP($A110,T16Percentage,$C$4+'Table 16 data'!I$1,0)</f>
        <v>99.3</v>
      </c>
      <c r="I110" s="263">
        <f>VLOOKUP($A110,T16Percentage,$C$4+'Table 16 data'!J$1,0)</f>
        <v>328.7</v>
      </c>
      <c r="J110" s="263">
        <f>VLOOKUP($A110,T16Percentage,$C$4+'Table 16 data'!K$1,0)</f>
        <v>416</v>
      </c>
      <c r="K110" s="263">
        <f>VLOOKUP($A110,T16Percentage,$C$4+'Table 16 data'!L$1,0)</f>
        <v>94.9</v>
      </c>
      <c r="L110" s="263">
        <f>VLOOKUP($A110,T16Percentage,$C$4+'Table 16 data'!M$1,0)</f>
        <v>61.3</v>
      </c>
    </row>
    <row r="111" spans="1:12" ht="11.25" customHeight="1" x14ac:dyDescent="0.2">
      <c r="A111" s="125" t="s">
        <v>203</v>
      </c>
      <c r="B111" s="126" t="s">
        <v>204</v>
      </c>
      <c r="C111" s="262">
        <f>VLOOKUP($A111,T16Percentage,$C$4+'Table 16 data'!D$1,0)</f>
        <v>772</v>
      </c>
      <c r="D111" s="263">
        <f>VLOOKUP($A111,T16Percentage,$C$4+'Table 16 data'!E$1,0)</f>
        <v>85.8</v>
      </c>
      <c r="E111" s="263">
        <f>VLOOKUP($A111,T16Percentage,$C$4+'Table 16 data'!F$1,0)</f>
        <v>63.7</v>
      </c>
      <c r="F111" s="263">
        <f>VLOOKUP($A111,T16Percentage,$C$4+'Table 16 data'!G$1,0)</f>
        <v>96.6</v>
      </c>
      <c r="G111" s="263">
        <f>VLOOKUP($A111,T16Percentage,$C$4+'Table 16 data'!H$1,0)</f>
        <v>95.3</v>
      </c>
      <c r="H111" s="263">
        <f>VLOOKUP($A111,T16Percentage,$C$4+'Table 16 data'!I$1,0)</f>
        <v>98.6</v>
      </c>
      <c r="I111" s="263">
        <f>VLOOKUP($A111,T16Percentage,$C$4+'Table 16 data'!J$1,0)</f>
        <v>336.8</v>
      </c>
      <c r="J111" s="263">
        <f>VLOOKUP($A111,T16Percentage,$C$4+'Table 16 data'!K$1,0)</f>
        <v>440.7</v>
      </c>
      <c r="K111" s="263">
        <f>VLOOKUP($A111,T16Percentage,$C$4+'Table 16 data'!L$1,0)</f>
        <v>97.2</v>
      </c>
      <c r="L111" s="263">
        <f>VLOOKUP($A111,T16Percentage,$C$4+'Table 16 data'!M$1,0)</f>
        <v>64.8</v>
      </c>
    </row>
    <row r="112" spans="1:12" ht="11.25" customHeight="1" x14ac:dyDescent="0.2">
      <c r="A112" s="125" t="s">
        <v>205</v>
      </c>
      <c r="B112" s="126" t="s">
        <v>206</v>
      </c>
      <c r="C112" s="262">
        <f>VLOOKUP($A112,T16Percentage,$C$4+'Table 16 data'!D$1,0)</f>
        <v>328</v>
      </c>
      <c r="D112" s="263">
        <f>VLOOKUP($A112,T16Percentage,$C$4+'Table 16 data'!E$1,0)</f>
        <v>94.8</v>
      </c>
      <c r="E112" s="263">
        <f>VLOOKUP($A112,T16Percentage,$C$4+'Table 16 data'!F$1,0)</f>
        <v>83.2</v>
      </c>
      <c r="F112" s="263">
        <f>VLOOKUP($A112,T16Percentage,$C$4+'Table 16 data'!G$1,0)</f>
        <v>97.6</v>
      </c>
      <c r="G112" s="263">
        <f>VLOOKUP($A112,T16Percentage,$C$4+'Table 16 data'!H$1,0)</f>
        <v>96.6</v>
      </c>
      <c r="H112" s="263">
        <f>VLOOKUP($A112,T16Percentage,$C$4+'Table 16 data'!I$1,0)</f>
        <v>99.4</v>
      </c>
      <c r="I112" s="263">
        <f>VLOOKUP($A112,T16Percentage,$C$4+'Table 16 data'!J$1,0)</f>
        <v>377.6</v>
      </c>
      <c r="J112" s="263">
        <f>VLOOKUP($A112,T16Percentage,$C$4+'Table 16 data'!K$1,0)</f>
        <v>581.29999999999995</v>
      </c>
      <c r="K112" s="263">
        <f>VLOOKUP($A112,T16Percentage,$C$4+'Table 16 data'!L$1,0)</f>
        <v>97.3</v>
      </c>
      <c r="L112" s="263">
        <f>VLOOKUP($A112,T16Percentage,$C$4+'Table 16 data'!M$1,0)</f>
        <v>83.2</v>
      </c>
    </row>
    <row r="113" spans="1:12" ht="11.25" customHeight="1" x14ac:dyDescent="0.2">
      <c r="A113" s="125" t="s">
        <v>207</v>
      </c>
      <c r="B113" s="126" t="s">
        <v>208</v>
      </c>
      <c r="C113" s="262">
        <f>VLOOKUP($A113,T16Percentage,$C$4+'Table 16 data'!D$1,0)</f>
        <v>935</v>
      </c>
      <c r="D113" s="263">
        <f>VLOOKUP($A113,T16Percentage,$C$4+'Table 16 data'!E$1,0)</f>
        <v>83.1</v>
      </c>
      <c r="E113" s="263">
        <f>VLOOKUP($A113,T16Percentage,$C$4+'Table 16 data'!F$1,0)</f>
        <v>63.3</v>
      </c>
      <c r="F113" s="263">
        <f>VLOOKUP($A113,T16Percentage,$C$4+'Table 16 data'!G$1,0)</f>
        <v>94.7</v>
      </c>
      <c r="G113" s="263">
        <f>VLOOKUP($A113,T16Percentage,$C$4+'Table 16 data'!H$1,0)</f>
        <v>93.6</v>
      </c>
      <c r="H113" s="263">
        <f>VLOOKUP($A113,T16Percentage,$C$4+'Table 16 data'!I$1,0)</f>
        <v>99.4</v>
      </c>
      <c r="I113" s="263">
        <f>VLOOKUP($A113,T16Percentage,$C$4+'Table 16 data'!J$1,0)</f>
        <v>328.4</v>
      </c>
      <c r="J113" s="263">
        <f>VLOOKUP($A113,T16Percentage,$C$4+'Table 16 data'!K$1,0)</f>
        <v>428.8</v>
      </c>
      <c r="K113" s="263">
        <f>VLOOKUP($A113,T16Percentage,$C$4+'Table 16 data'!L$1,0)</f>
        <v>95.9</v>
      </c>
      <c r="L113" s="263">
        <f>VLOOKUP($A113,T16Percentage,$C$4+'Table 16 data'!M$1,0)</f>
        <v>64.7</v>
      </c>
    </row>
    <row r="114" spans="1:12" ht="11.25" customHeight="1" x14ac:dyDescent="0.2">
      <c r="A114" s="125" t="s">
        <v>209</v>
      </c>
      <c r="B114" s="126" t="s">
        <v>210</v>
      </c>
      <c r="C114" s="262">
        <f>VLOOKUP($A114,T16Percentage,$C$4+'Table 16 data'!D$1,0)</f>
        <v>1191</v>
      </c>
      <c r="D114" s="263">
        <f>VLOOKUP($A114,T16Percentage,$C$4+'Table 16 data'!E$1,0)</f>
        <v>77.2</v>
      </c>
      <c r="E114" s="263">
        <f>VLOOKUP($A114,T16Percentage,$C$4+'Table 16 data'!F$1,0)</f>
        <v>52.6</v>
      </c>
      <c r="F114" s="263">
        <f>VLOOKUP($A114,T16Percentage,$C$4+'Table 16 data'!G$1,0)</f>
        <v>93</v>
      </c>
      <c r="G114" s="263">
        <f>VLOOKUP($A114,T16Percentage,$C$4+'Table 16 data'!H$1,0)</f>
        <v>91</v>
      </c>
      <c r="H114" s="263">
        <f>VLOOKUP($A114,T16Percentage,$C$4+'Table 16 data'!I$1,0)</f>
        <v>98.3</v>
      </c>
      <c r="I114" s="263">
        <f>VLOOKUP($A114,T16Percentage,$C$4+'Table 16 data'!J$1,0)</f>
        <v>313.8</v>
      </c>
      <c r="J114" s="263">
        <f>VLOOKUP($A114,T16Percentage,$C$4+'Table 16 data'!K$1,0)</f>
        <v>405.3</v>
      </c>
      <c r="K114" s="263">
        <f>VLOOKUP($A114,T16Percentage,$C$4+'Table 16 data'!L$1,0)</f>
        <v>94.8</v>
      </c>
      <c r="L114" s="263">
        <f>VLOOKUP($A114,T16Percentage,$C$4+'Table 16 data'!M$1,0)</f>
        <v>53.7</v>
      </c>
    </row>
    <row r="115" spans="1:12" ht="11.25" customHeight="1" x14ac:dyDescent="0.2">
      <c r="A115" s="125" t="s">
        <v>211</v>
      </c>
      <c r="B115" s="126" t="s">
        <v>212</v>
      </c>
      <c r="C115" s="262">
        <f>VLOOKUP($A115,T16Percentage,$C$4+'Table 16 data'!D$1,0)</f>
        <v>1699</v>
      </c>
      <c r="D115" s="263">
        <f>VLOOKUP($A115,T16Percentage,$C$4+'Table 16 data'!E$1,0)</f>
        <v>75.8</v>
      </c>
      <c r="E115" s="263">
        <f>VLOOKUP($A115,T16Percentage,$C$4+'Table 16 data'!F$1,0)</f>
        <v>52.7</v>
      </c>
      <c r="F115" s="263">
        <f>VLOOKUP($A115,T16Percentage,$C$4+'Table 16 data'!G$1,0)</f>
        <v>95.4</v>
      </c>
      <c r="G115" s="263">
        <f>VLOOKUP($A115,T16Percentage,$C$4+'Table 16 data'!H$1,0)</f>
        <v>93.8</v>
      </c>
      <c r="H115" s="263">
        <f>VLOOKUP($A115,T16Percentage,$C$4+'Table 16 data'!I$1,0)</f>
        <v>99.5</v>
      </c>
      <c r="I115" s="263">
        <f>VLOOKUP($A115,T16Percentage,$C$4+'Table 16 data'!J$1,0)</f>
        <v>323.39999999999998</v>
      </c>
      <c r="J115" s="263">
        <f>VLOOKUP($A115,T16Percentage,$C$4+'Table 16 data'!K$1,0)</f>
        <v>434.6</v>
      </c>
      <c r="K115" s="263">
        <f>VLOOKUP($A115,T16Percentage,$C$4+'Table 16 data'!L$1,0)</f>
        <v>96.9</v>
      </c>
      <c r="L115" s="263">
        <f>VLOOKUP($A115,T16Percentage,$C$4+'Table 16 data'!M$1,0)</f>
        <v>53.9</v>
      </c>
    </row>
    <row r="116" spans="1:12" ht="11.25" customHeight="1" x14ac:dyDescent="0.2">
      <c r="A116" s="125" t="s">
        <v>213</v>
      </c>
      <c r="B116" s="126" t="s">
        <v>214</v>
      </c>
      <c r="C116" s="262">
        <f>VLOOKUP($A116,T16Percentage,$C$4+'Table 16 data'!D$1,0)</f>
        <v>1164</v>
      </c>
      <c r="D116" s="263">
        <f>VLOOKUP($A116,T16Percentage,$C$4+'Table 16 data'!E$1,0)</f>
        <v>80.8</v>
      </c>
      <c r="E116" s="263">
        <f>VLOOKUP($A116,T16Percentage,$C$4+'Table 16 data'!F$1,0)</f>
        <v>62.5</v>
      </c>
      <c r="F116" s="263">
        <f>VLOOKUP($A116,T16Percentage,$C$4+'Table 16 data'!G$1,0)</f>
        <v>93.6</v>
      </c>
      <c r="G116" s="263">
        <f>VLOOKUP($A116,T16Percentage,$C$4+'Table 16 data'!H$1,0)</f>
        <v>93</v>
      </c>
      <c r="H116" s="263">
        <f>VLOOKUP($A116,T16Percentage,$C$4+'Table 16 data'!I$1,0)</f>
        <v>98.2</v>
      </c>
      <c r="I116" s="263">
        <f>VLOOKUP($A116,T16Percentage,$C$4+'Table 16 data'!J$1,0)</f>
        <v>325</v>
      </c>
      <c r="J116" s="263">
        <f>VLOOKUP($A116,T16Percentage,$C$4+'Table 16 data'!K$1,0)</f>
        <v>431.1</v>
      </c>
      <c r="K116" s="263">
        <f>VLOOKUP($A116,T16Percentage,$C$4+'Table 16 data'!L$1,0)</f>
        <v>95.4</v>
      </c>
      <c r="L116" s="263">
        <f>VLOOKUP($A116,T16Percentage,$C$4+'Table 16 data'!M$1,0)</f>
        <v>64.5</v>
      </c>
    </row>
    <row r="117" spans="1:12" ht="11.25" customHeight="1" x14ac:dyDescent="0.2">
      <c r="A117" s="125" t="s">
        <v>215</v>
      </c>
      <c r="B117" s="126" t="s">
        <v>216</v>
      </c>
      <c r="C117" s="262">
        <f>VLOOKUP($A117,T16Percentage,$C$4+'Table 16 data'!D$1,0)</f>
        <v>1281</v>
      </c>
      <c r="D117" s="263">
        <f>VLOOKUP($A117,T16Percentage,$C$4+'Table 16 data'!E$1,0)</f>
        <v>81.900000000000006</v>
      </c>
      <c r="E117" s="263">
        <f>VLOOKUP($A117,T16Percentage,$C$4+'Table 16 data'!F$1,0)</f>
        <v>62.4</v>
      </c>
      <c r="F117" s="263">
        <f>VLOOKUP($A117,T16Percentage,$C$4+'Table 16 data'!G$1,0)</f>
        <v>96.6</v>
      </c>
      <c r="G117" s="263">
        <f>VLOOKUP($A117,T16Percentage,$C$4+'Table 16 data'!H$1,0)</f>
        <v>94.4</v>
      </c>
      <c r="H117" s="263">
        <f>VLOOKUP($A117,T16Percentage,$C$4+'Table 16 data'!I$1,0)</f>
        <v>99.6</v>
      </c>
      <c r="I117" s="263">
        <f>VLOOKUP($A117,T16Percentage,$C$4+'Table 16 data'!J$1,0)</f>
        <v>332.2</v>
      </c>
      <c r="J117" s="263">
        <f>VLOOKUP($A117,T16Percentage,$C$4+'Table 16 data'!K$1,0)</f>
        <v>439.9</v>
      </c>
      <c r="K117" s="263">
        <f>VLOOKUP($A117,T16Percentage,$C$4+'Table 16 data'!L$1,0)</f>
        <v>97.4</v>
      </c>
      <c r="L117" s="263">
        <f>VLOOKUP($A117,T16Percentage,$C$4+'Table 16 data'!M$1,0)</f>
        <v>62.9</v>
      </c>
    </row>
    <row r="118" spans="1:12" ht="11.25" customHeight="1" x14ac:dyDescent="0.2">
      <c r="A118" s="125" t="s">
        <v>217</v>
      </c>
      <c r="B118" s="126" t="s">
        <v>218</v>
      </c>
      <c r="C118" s="262">
        <f>VLOOKUP($A118,T16Percentage,$C$4+'Table 16 data'!D$1,0)</f>
        <v>1007</v>
      </c>
      <c r="D118" s="263">
        <f>VLOOKUP($A118,T16Percentage,$C$4+'Table 16 data'!E$1,0)</f>
        <v>81.099999999999994</v>
      </c>
      <c r="E118" s="263">
        <f>VLOOKUP($A118,T16Percentage,$C$4+'Table 16 data'!F$1,0)</f>
        <v>57.4</v>
      </c>
      <c r="F118" s="263">
        <f>VLOOKUP($A118,T16Percentage,$C$4+'Table 16 data'!G$1,0)</f>
        <v>92.6</v>
      </c>
      <c r="G118" s="263">
        <f>VLOOKUP($A118,T16Percentage,$C$4+'Table 16 data'!H$1,0)</f>
        <v>92.1</v>
      </c>
      <c r="H118" s="263">
        <f>VLOOKUP($A118,T16Percentage,$C$4+'Table 16 data'!I$1,0)</f>
        <v>97.7</v>
      </c>
      <c r="I118" s="263">
        <f>VLOOKUP($A118,T16Percentage,$C$4+'Table 16 data'!J$1,0)</f>
        <v>334.8</v>
      </c>
      <c r="J118" s="263">
        <f>VLOOKUP($A118,T16Percentage,$C$4+'Table 16 data'!K$1,0)</f>
        <v>460.3</v>
      </c>
      <c r="K118" s="263">
        <f>VLOOKUP($A118,T16Percentage,$C$4+'Table 16 data'!L$1,0)</f>
        <v>94</v>
      </c>
      <c r="L118" s="263">
        <f>VLOOKUP($A118,T16Percentage,$C$4+'Table 16 data'!M$1,0)</f>
        <v>59</v>
      </c>
    </row>
    <row r="119" spans="1:12" ht="11.25" customHeight="1" x14ac:dyDescent="0.2">
      <c r="A119" s="125" t="s">
        <v>219</v>
      </c>
      <c r="B119" s="126" t="s">
        <v>220</v>
      </c>
      <c r="C119" s="262">
        <f>VLOOKUP($A119,T16Percentage,$C$4+'Table 16 data'!D$1,0)</f>
        <v>651</v>
      </c>
      <c r="D119" s="263">
        <f>VLOOKUP($A119,T16Percentage,$C$4+'Table 16 data'!E$1,0)</f>
        <v>84.3</v>
      </c>
      <c r="E119" s="263">
        <f>VLOOKUP($A119,T16Percentage,$C$4+'Table 16 data'!F$1,0)</f>
        <v>64.099999999999994</v>
      </c>
      <c r="F119" s="263">
        <f>VLOOKUP($A119,T16Percentage,$C$4+'Table 16 data'!G$1,0)</f>
        <v>97.7</v>
      </c>
      <c r="G119" s="263">
        <f>VLOOKUP($A119,T16Percentage,$C$4+'Table 16 data'!H$1,0)</f>
        <v>96.5</v>
      </c>
      <c r="H119" s="263">
        <f>VLOOKUP($A119,T16Percentage,$C$4+'Table 16 data'!I$1,0)</f>
        <v>99.2</v>
      </c>
      <c r="I119" s="263">
        <f>VLOOKUP($A119,T16Percentage,$C$4+'Table 16 data'!J$1,0)</f>
        <v>340.6</v>
      </c>
      <c r="J119" s="263">
        <f>VLOOKUP($A119,T16Percentage,$C$4+'Table 16 data'!K$1,0)</f>
        <v>441</v>
      </c>
      <c r="K119" s="263">
        <f>VLOOKUP($A119,T16Percentage,$C$4+'Table 16 data'!L$1,0)</f>
        <v>98</v>
      </c>
      <c r="L119" s="263">
        <f>VLOOKUP($A119,T16Percentage,$C$4+'Table 16 data'!M$1,0)</f>
        <v>65.900000000000006</v>
      </c>
    </row>
    <row r="120" spans="1:12" ht="11.25" customHeight="1" x14ac:dyDescent="0.2">
      <c r="A120" s="3"/>
      <c r="B120" s="26"/>
      <c r="C120" s="266"/>
      <c r="D120" s="218"/>
      <c r="E120" s="267"/>
      <c r="F120" s="267"/>
      <c r="G120" s="267"/>
      <c r="H120" s="267"/>
      <c r="I120" s="218"/>
      <c r="J120" s="267"/>
      <c r="K120" s="266"/>
      <c r="L120" s="266"/>
    </row>
    <row r="121" spans="1:12" s="27" customFormat="1" ht="11.25" customHeight="1" x14ac:dyDescent="0.2">
      <c r="A121" s="17" t="s">
        <v>221</v>
      </c>
      <c r="B121" s="17" t="s">
        <v>222</v>
      </c>
      <c r="C121" s="260">
        <f>VLOOKUP($A121,T16Percentage,$C$4+'Table 16 data'!D$1,0)</f>
        <v>26266</v>
      </c>
      <c r="D121" s="261">
        <f>VLOOKUP($A121,T16Percentage,$C$4+'Table 16 data'!E$1,0)</f>
        <v>82.3</v>
      </c>
      <c r="E121" s="261">
        <f>VLOOKUP($A121,T16Percentage,$C$4+'Table 16 data'!F$1,0)</f>
        <v>61.9</v>
      </c>
      <c r="F121" s="261">
        <f>VLOOKUP($A121,T16Percentage,$C$4+'Table 16 data'!G$1,0)</f>
        <v>95.8</v>
      </c>
      <c r="G121" s="261">
        <f>VLOOKUP($A121,T16Percentage,$C$4+'Table 16 data'!H$1,0)</f>
        <v>94.2</v>
      </c>
      <c r="H121" s="261">
        <f>VLOOKUP($A121,T16Percentage,$C$4+'Table 16 data'!I$1,0)</f>
        <v>99.3</v>
      </c>
      <c r="I121" s="261">
        <f>VLOOKUP($A121,T16Percentage,$C$4+'Table 16 data'!J$1,0)</f>
        <v>338.8</v>
      </c>
      <c r="J121" s="261">
        <f>VLOOKUP($A121,T16Percentage,$C$4+'Table 16 data'!K$1,0)</f>
        <v>453.1</v>
      </c>
      <c r="K121" s="261">
        <f>VLOOKUP($A121,T16Percentage,$C$4+'Table 16 data'!L$1,0)</f>
        <v>96.5</v>
      </c>
      <c r="L121" s="261">
        <f>VLOOKUP($A121,T16Percentage,$C$4+'Table 16 data'!M$1,0)</f>
        <v>62.9</v>
      </c>
    </row>
    <row r="122" spans="1:12" s="23" customFormat="1" ht="11.25" customHeight="1" x14ac:dyDescent="0.2">
      <c r="A122" s="125" t="s">
        <v>223</v>
      </c>
      <c r="B122" s="126" t="s">
        <v>224</v>
      </c>
      <c r="C122" s="262">
        <f>VLOOKUP($A122,T16Percentage,$C$4+'Table 16 data'!D$1,0)</f>
        <v>1153</v>
      </c>
      <c r="D122" s="263">
        <f>VLOOKUP($A122,T16Percentage,$C$4+'Table 16 data'!E$1,0)</f>
        <v>81.400000000000006</v>
      </c>
      <c r="E122" s="263">
        <f>VLOOKUP($A122,T16Percentage,$C$4+'Table 16 data'!F$1,0)</f>
        <v>57.7</v>
      </c>
      <c r="F122" s="263">
        <f>VLOOKUP($A122,T16Percentage,$C$4+'Table 16 data'!G$1,0)</f>
        <v>93.9</v>
      </c>
      <c r="G122" s="263">
        <f>VLOOKUP($A122,T16Percentage,$C$4+'Table 16 data'!H$1,0)</f>
        <v>92</v>
      </c>
      <c r="H122" s="263">
        <f>VLOOKUP($A122,T16Percentage,$C$4+'Table 16 data'!I$1,0)</f>
        <v>99.4</v>
      </c>
      <c r="I122" s="263">
        <f>VLOOKUP($A122,T16Percentage,$C$4+'Table 16 data'!J$1,0)</f>
        <v>328.4</v>
      </c>
      <c r="J122" s="263">
        <f>VLOOKUP($A122,T16Percentage,$C$4+'Table 16 data'!K$1,0)</f>
        <v>441</v>
      </c>
      <c r="K122" s="263">
        <f>VLOOKUP($A122,T16Percentage,$C$4+'Table 16 data'!L$1,0)</f>
        <v>95.6</v>
      </c>
      <c r="L122" s="263">
        <f>VLOOKUP($A122,T16Percentage,$C$4+'Table 16 data'!M$1,0)</f>
        <v>58.3</v>
      </c>
    </row>
    <row r="123" spans="1:12" ht="11.25" customHeight="1" x14ac:dyDescent="0.2">
      <c r="A123" s="125" t="s">
        <v>225</v>
      </c>
      <c r="B123" s="126" t="s">
        <v>226</v>
      </c>
      <c r="C123" s="262">
        <f>VLOOKUP($A123,T16Percentage,$C$4+'Table 16 data'!D$1,0)</f>
        <v>1841</v>
      </c>
      <c r="D123" s="263">
        <f>VLOOKUP($A123,T16Percentage,$C$4+'Table 16 data'!E$1,0)</f>
        <v>84</v>
      </c>
      <c r="E123" s="263">
        <f>VLOOKUP($A123,T16Percentage,$C$4+'Table 16 data'!F$1,0)</f>
        <v>68.5</v>
      </c>
      <c r="F123" s="263">
        <f>VLOOKUP($A123,T16Percentage,$C$4+'Table 16 data'!G$1,0)</f>
        <v>96.3</v>
      </c>
      <c r="G123" s="263">
        <f>VLOOKUP($A123,T16Percentage,$C$4+'Table 16 data'!H$1,0)</f>
        <v>94.9</v>
      </c>
      <c r="H123" s="263">
        <f>VLOOKUP($A123,T16Percentage,$C$4+'Table 16 data'!I$1,0)</f>
        <v>99.6</v>
      </c>
      <c r="I123" s="263">
        <f>VLOOKUP($A123,T16Percentage,$C$4+'Table 16 data'!J$1,0)</f>
        <v>356.8</v>
      </c>
      <c r="J123" s="263">
        <f>VLOOKUP($A123,T16Percentage,$C$4+'Table 16 data'!K$1,0)</f>
        <v>474.5</v>
      </c>
      <c r="K123" s="263">
        <f>VLOOKUP($A123,T16Percentage,$C$4+'Table 16 data'!L$1,0)</f>
        <v>96.6</v>
      </c>
      <c r="L123" s="263">
        <f>VLOOKUP($A123,T16Percentage,$C$4+'Table 16 data'!M$1,0)</f>
        <v>69.3</v>
      </c>
    </row>
    <row r="124" spans="1:12" ht="11.25" customHeight="1" x14ac:dyDescent="0.2">
      <c r="A124" s="125" t="s">
        <v>227</v>
      </c>
      <c r="B124" s="126" t="s">
        <v>228</v>
      </c>
      <c r="C124" s="262">
        <f>VLOOKUP($A124,T16Percentage,$C$4+'Table 16 data'!D$1,0)</f>
        <v>1629</v>
      </c>
      <c r="D124" s="263">
        <f>VLOOKUP($A124,T16Percentage,$C$4+'Table 16 data'!E$1,0)</f>
        <v>86.2</v>
      </c>
      <c r="E124" s="263">
        <f>VLOOKUP($A124,T16Percentage,$C$4+'Table 16 data'!F$1,0)</f>
        <v>60.8</v>
      </c>
      <c r="F124" s="263">
        <f>VLOOKUP($A124,T16Percentage,$C$4+'Table 16 data'!G$1,0)</f>
        <v>96.2</v>
      </c>
      <c r="G124" s="263">
        <f>VLOOKUP($A124,T16Percentage,$C$4+'Table 16 data'!H$1,0)</f>
        <v>94.3</v>
      </c>
      <c r="H124" s="263">
        <f>VLOOKUP($A124,T16Percentage,$C$4+'Table 16 data'!I$1,0)</f>
        <v>99.6</v>
      </c>
      <c r="I124" s="263">
        <f>VLOOKUP($A124,T16Percentage,$C$4+'Table 16 data'!J$1,0)</f>
        <v>344.1</v>
      </c>
      <c r="J124" s="263">
        <f>VLOOKUP($A124,T16Percentage,$C$4+'Table 16 data'!K$1,0)</f>
        <v>472.8</v>
      </c>
      <c r="K124" s="263">
        <f>VLOOKUP($A124,T16Percentage,$C$4+'Table 16 data'!L$1,0)</f>
        <v>97.1</v>
      </c>
      <c r="L124" s="263">
        <f>VLOOKUP($A124,T16Percentage,$C$4+'Table 16 data'!M$1,0)</f>
        <v>61</v>
      </c>
    </row>
    <row r="125" spans="1:12" ht="11.25" customHeight="1" x14ac:dyDescent="0.2">
      <c r="A125" s="125" t="s">
        <v>229</v>
      </c>
      <c r="B125" s="126" t="s">
        <v>230</v>
      </c>
      <c r="C125" s="262">
        <f>VLOOKUP($A125,T16Percentage,$C$4+'Table 16 data'!D$1,0)</f>
        <v>1477</v>
      </c>
      <c r="D125" s="263">
        <f>VLOOKUP($A125,T16Percentage,$C$4+'Table 16 data'!E$1,0)</f>
        <v>76</v>
      </c>
      <c r="E125" s="263">
        <f>VLOOKUP($A125,T16Percentage,$C$4+'Table 16 data'!F$1,0)</f>
        <v>57.9</v>
      </c>
      <c r="F125" s="263">
        <f>VLOOKUP($A125,T16Percentage,$C$4+'Table 16 data'!G$1,0)</f>
        <v>94.4</v>
      </c>
      <c r="G125" s="263">
        <f>VLOOKUP($A125,T16Percentage,$C$4+'Table 16 data'!H$1,0)</f>
        <v>92.3</v>
      </c>
      <c r="H125" s="263">
        <f>VLOOKUP($A125,T16Percentage,$C$4+'Table 16 data'!I$1,0)</f>
        <v>99.2</v>
      </c>
      <c r="I125" s="263">
        <f>VLOOKUP($A125,T16Percentage,$C$4+'Table 16 data'!J$1,0)</f>
        <v>328.4</v>
      </c>
      <c r="J125" s="263">
        <f>VLOOKUP($A125,T16Percentage,$C$4+'Table 16 data'!K$1,0)</f>
        <v>415.1</v>
      </c>
      <c r="K125" s="263">
        <f>VLOOKUP($A125,T16Percentage,$C$4+'Table 16 data'!L$1,0)</f>
        <v>96.1</v>
      </c>
      <c r="L125" s="263">
        <f>VLOOKUP($A125,T16Percentage,$C$4+'Table 16 data'!M$1,0)</f>
        <v>59.2</v>
      </c>
    </row>
    <row r="126" spans="1:12" ht="11.25" customHeight="1" x14ac:dyDescent="0.2">
      <c r="A126" s="125" t="s">
        <v>231</v>
      </c>
      <c r="B126" s="126" t="s">
        <v>232</v>
      </c>
      <c r="C126" s="262">
        <f>VLOOKUP($A126,T16Percentage,$C$4+'Table 16 data'!D$1,0)</f>
        <v>1685</v>
      </c>
      <c r="D126" s="263">
        <f>VLOOKUP($A126,T16Percentage,$C$4+'Table 16 data'!E$1,0)</f>
        <v>90.3</v>
      </c>
      <c r="E126" s="263">
        <f>VLOOKUP($A126,T16Percentage,$C$4+'Table 16 data'!F$1,0)</f>
        <v>71.7</v>
      </c>
      <c r="F126" s="263">
        <f>VLOOKUP($A126,T16Percentage,$C$4+'Table 16 data'!G$1,0)</f>
        <v>97.3</v>
      </c>
      <c r="G126" s="263">
        <f>VLOOKUP($A126,T16Percentage,$C$4+'Table 16 data'!H$1,0)</f>
        <v>96.2</v>
      </c>
      <c r="H126" s="263">
        <f>VLOOKUP($A126,T16Percentage,$C$4+'Table 16 data'!I$1,0)</f>
        <v>99.2</v>
      </c>
      <c r="I126" s="263">
        <f>VLOOKUP($A126,T16Percentage,$C$4+'Table 16 data'!J$1,0)</f>
        <v>353</v>
      </c>
      <c r="J126" s="263">
        <f>VLOOKUP($A126,T16Percentage,$C$4+'Table 16 data'!K$1,0)</f>
        <v>481.1</v>
      </c>
      <c r="K126" s="263">
        <f>VLOOKUP($A126,T16Percentage,$C$4+'Table 16 data'!L$1,0)</f>
        <v>97.6</v>
      </c>
      <c r="L126" s="263">
        <f>VLOOKUP($A126,T16Percentage,$C$4+'Table 16 data'!M$1,0)</f>
        <v>72.599999999999994</v>
      </c>
    </row>
    <row r="127" spans="1:12" ht="11.25" customHeight="1" x14ac:dyDescent="0.2">
      <c r="A127" s="125" t="s">
        <v>233</v>
      </c>
      <c r="B127" s="126" t="s">
        <v>234</v>
      </c>
      <c r="C127" s="262">
        <f>VLOOKUP($A127,T16Percentage,$C$4+'Table 16 data'!D$1,0)</f>
        <v>1826</v>
      </c>
      <c r="D127" s="263">
        <f>VLOOKUP($A127,T16Percentage,$C$4+'Table 16 data'!E$1,0)</f>
        <v>82.1</v>
      </c>
      <c r="E127" s="263">
        <f>VLOOKUP($A127,T16Percentage,$C$4+'Table 16 data'!F$1,0)</f>
        <v>59.5</v>
      </c>
      <c r="F127" s="263">
        <f>VLOOKUP($A127,T16Percentage,$C$4+'Table 16 data'!G$1,0)</f>
        <v>95.3</v>
      </c>
      <c r="G127" s="263">
        <f>VLOOKUP($A127,T16Percentage,$C$4+'Table 16 data'!H$1,0)</f>
        <v>93.5</v>
      </c>
      <c r="H127" s="263">
        <f>VLOOKUP($A127,T16Percentage,$C$4+'Table 16 data'!I$1,0)</f>
        <v>99.2</v>
      </c>
      <c r="I127" s="263">
        <f>VLOOKUP($A127,T16Percentage,$C$4+'Table 16 data'!J$1,0)</f>
        <v>328.8</v>
      </c>
      <c r="J127" s="263">
        <f>VLOOKUP($A127,T16Percentage,$C$4+'Table 16 data'!K$1,0)</f>
        <v>445.2</v>
      </c>
      <c r="K127" s="263">
        <f>VLOOKUP($A127,T16Percentage,$C$4+'Table 16 data'!L$1,0)</f>
        <v>96.2</v>
      </c>
      <c r="L127" s="263">
        <f>VLOOKUP($A127,T16Percentage,$C$4+'Table 16 data'!M$1,0)</f>
        <v>60.5</v>
      </c>
    </row>
    <row r="128" spans="1:12" ht="11.25" customHeight="1" x14ac:dyDescent="0.2">
      <c r="A128" s="125" t="s">
        <v>235</v>
      </c>
      <c r="B128" s="126" t="s">
        <v>236</v>
      </c>
      <c r="C128" s="262">
        <f>VLOOKUP($A128,T16Percentage,$C$4+'Table 16 data'!D$1,0)</f>
        <v>1424</v>
      </c>
      <c r="D128" s="263">
        <f>VLOOKUP($A128,T16Percentage,$C$4+'Table 16 data'!E$1,0)</f>
        <v>75.8</v>
      </c>
      <c r="E128" s="263">
        <f>VLOOKUP($A128,T16Percentage,$C$4+'Table 16 data'!F$1,0)</f>
        <v>56</v>
      </c>
      <c r="F128" s="263">
        <f>VLOOKUP($A128,T16Percentage,$C$4+'Table 16 data'!G$1,0)</f>
        <v>95.4</v>
      </c>
      <c r="G128" s="263">
        <f>VLOOKUP($A128,T16Percentage,$C$4+'Table 16 data'!H$1,0)</f>
        <v>93.5</v>
      </c>
      <c r="H128" s="263">
        <f>VLOOKUP($A128,T16Percentage,$C$4+'Table 16 data'!I$1,0)</f>
        <v>99.4</v>
      </c>
      <c r="I128" s="263">
        <f>VLOOKUP($A128,T16Percentage,$C$4+'Table 16 data'!J$1,0)</f>
        <v>329.3</v>
      </c>
      <c r="J128" s="263">
        <f>VLOOKUP($A128,T16Percentage,$C$4+'Table 16 data'!K$1,0)</f>
        <v>445.6</v>
      </c>
      <c r="K128" s="263">
        <f>VLOOKUP($A128,T16Percentage,$C$4+'Table 16 data'!L$1,0)</f>
        <v>96.3</v>
      </c>
      <c r="L128" s="263">
        <f>VLOOKUP($A128,T16Percentage,$C$4+'Table 16 data'!M$1,0)</f>
        <v>57</v>
      </c>
    </row>
    <row r="129" spans="1:12" ht="11.25" customHeight="1" x14ac:dyDescent="0.2">
      <c r="A129" s="125" t="s">
        <v>237</v>
      </c>
      <c r="B129" s="126" t="s">
        <v>238</v>
      </c>
      <c r="C129" s="262">
        <f>VLOOKUP($A129,T16Percentage,$C$4+'Table 16 data'!D$1,0)</f>
        <v>1911</v>
      </c>
      <c r="D129" s="263">
        <f>VLOOKUP($A129,T16Percentage,$C$4+'Table 16 data'!E$1,0)</f>
        <v>78</v>
      </c>
      <c r="E129" s="263">
        <f>VLOOKUP($A129,T16Percentage,$C$4+'Table 16 data'!F$1,0)</f>
        <v>60.3</v>
      </c>
      <c r="F129" s="263">
        <f>VLOOKUP($A129,T16Percentage,$C$4+'Table 16 data'!G$1,0)</f>
        <v>94.5</v>
      </c>
      <c r="G129" s="263">
        <f>VLOOKUP($A129,T16Percentage,$C$4+'Table 16 data'!H$1,0)</f>
        <v>92.7</v>
      </c>
      <c r="H129" s="263">
        <f>VLOOKUP($A129,T16Percentage,$C$4+'Table 16 data'!I$1,0)</f>
        <v>98.5</v>
      </c>
      <c r="I129" s="263">
        <f>VLOOKUP($A129,T16Percentage,$C$4+'Table 16 data'!J$1,0)</f>
        <v>328.4</v>
      </c>
      <c r="J129" s="263">
        <f>VLOOKUP($A129,T16Percentage,$C$4+'Table 16 data'!K$1,0)</f>
        <v>429.6</v>
      </c>
      <c r="K129" s="263">
        <f>VLOOKUP($A129,T16Percentage,$C$4+'Table 16 data'!L$1,0)</f>
        <v>96</v>
      </c>
      <c r="L129" s="263">
        <f>VLOOKUP($A129,T16Percentage,$C$4+'Table 16 data'!M$1,0)</f>
        <v>62.2</v>
      </c>
    </row>
    <row r="130" spans="1:12" ht="11.25" customHeight="1" x14ac:dyDescent="0.2">
      <c r="A130" s="125" t="s">
        <v>239</v>
      </c>
      <c r="B130" s="126" t="s">
        <v>240</v>
      </c>
      <c r="C130" s="262">
        <f>VLOOKUP($A130,T16Percentage,$C$4+'Table 16 data'!D$1,0)</f>
        <v>1013</v>
      </c>
      <c r="D130" s="263">
        <f>VLOOKUP($A130,T16Percentage,$C$4+'Table 16 data'!E$1,0)</f>
        <v>88.4</v>
      </c>
      <c r="E130" s="263">
        <f>VLOOKUP($A130,T16Percentage,$C$4+'Table 16 data'!F$1,0)</f>
        <v>61.8</v>
      </c>
      <c r="F130" s="263">
        <f>VLOOKUP($A130,T16Percentage,$C$4+'Table 16 data'!G$1,0)</f>
        <v>95.9</v>
      </c>
      <c r="G130" s="263">
        <f>VLOOKUP($A130,T16Percentage,$C$4+'Table 16 data'!H$1,0)</f>
        <v>93.9</v>
      </c>
      <c r="H130" s="263">
        <f>VLOOKUP($A130,T16Percentage,$C$4+'Table 16 data'!I$1,0)</f>
        <v>99.5</v>
      </c>
      <c r="I130" s="263">
        <f>VLOOKUP($A130,T16Percentage,$C$4+'Table 16 data'!J$1,0)</f>
        <v>340.1</v>
      </c>
      <c r="J130" s="263">
        <f>VLOOKUP($A130,T16Percentage,$C$4+'Table 16 data'!K$1,0)</f>
        <v>450.7</v>
      </c>
      <c r="K130" s="263">
        <f>VLOOKUP($A130,T16Percentage,$C$4+'Table 16 data'!L$1,0)</f>
        <v>95.9</v>
      </c>
      <c r="L130" s="263">
        <f>VLOOKUP($A130,T16Percentage,$C$4+'Table 16 data'!M$1,0)</f>
        <v>62.7</v>
      </c>
    </row>
    <row r="131" spans="1:12" ht="11.25" customHeight="1" x14ac:dyDescent="0.2">
      <c r="A131" s="125" t="s">
        <v>241</v>
      </c>
      <c r="B131" s="126" t="s">
        <v>242</v>
      </c>
      <c r="C131" s="262">
        <f>VLOOKUP($A131,T16Percentage,$C$4+'Table 16 data'!D$1,0)</f>
        <v>1034</v>
      </c>
      <c r="D131" s="263">
        <f>VLOOKUP($A131,T16Percentage,$C$4+'Table 16 data'!E$1,0)</f>
        <v>76.7</v>
      </c>
      <c r="E131" s="263">
        <f>VLOOKUP($A131,T16Percentage,$C$4+'Table 16 data'!F$1,0)</f>
        <v>57.4</v>
      </c>
      <c r="F131" s="263">
        <f>VLOOKUP($A131,T16Percentage,$C$4+'Table 16 data'!G$1,0)</f>
        <v>96.4</v>
      </c>
      <c r="G131" s="263">
        <f>VLOOKUP($A131,T16Percentage,$C$4+'Table 16 data'!H$1,0)</f>
        <v>95.2</v>
      </c>
      <c r="H131" s="263">
        <f>VLOOKUP($A131,T16Percentage,$C$4+'Table 16 data'!I$1,0)</f>
        <v>99.3</v>
      </c>
      <c r="I131" s="263">
        <f>VLOOKUP($A131,T16Percentage,$C$4+'Table 16 data'!J$1,0)</f>
        <v>334</v>
      </c>
      <c r="J131" s="263">
        <f>VLOOKUP($A131,T16Percentage,$C$4+'Table 16 data'!K$1,0)</f>
        <v>437.4</v>
      </c>
      <c r="K131" s="263">
        <f>VLOOKUP($A131,T16Percentage,$C$4+'Table 16 data'!L$1,0)</f>
        <v>96.7</v>
      </c>
      <c r="L131" s="263">
        <f>VLOOKUP($A131,T16Percentage,$C$4+'Table 16 data'!M$1,0)</f>
        <v>59.4</v>
      </c>
    </row>
    <row r="132" spans="1:12" ht="11.25" customHeight="1" x14ac:dyDescent="0.2">
      <c r="A132" s="125" t="s">
        <v>243</v>
      </c>
      <c r="B132" s="126" t="s">
        <v>244</v>
      </c>
      <c r="C132" s="262">
        <f>VLOOKUP($A132,T16Percentage,$C$4+'Table 16 data'!D$1,0)</f>
        <v>1544</v>
      </c>
      <c r="D132" s="263">
        <f>VLOOKUP($A132,T16Percentage,$C$4+'Table 16 data'!E$1,0)</f>
        <v>77.099999999999994</v>
      </c>
      <c r="E132" s="263">
        <f>VLOOKUP($A132,T16Percentage,$C$4+'Table 16 data'!F$1,0)</f>
        <v>60.8</v>
      </c>
      <c r="F132" s="263">
        <f>VLOOKUP($A132,T16Percentage,$C$4+'Table 16 data'!G$1,0)</f>
        <v>97.2</v>
      </c>
      <c r="G132" s="263">
        <f>VLOOKUP($A132,T16Percentage,$C$4+'Table 16 data'!H$1,0)</f>
        <v>96</v>
      </c>
      <c r="H132" s="263">
        <f>VLOOKUP($A132,T16Percentage,$C$4+'Table 16 data'!I$1,0)</f>
        <v>99.6</v>
      </c>
      <c r="I132" s="263">
        <f>VLOOKUP($A132,T16Percentage,$C$4+'Table 16 data'!J$1,0)</f>
        <v>328.5</v>
      </c>
      <c r="J132" s="263">
        <f>VLOOKUP($A132,T16Percentage,$C$4+'Table 16 data'!K$1,0)</f>
        <v>433.7</v>
      </c>
      <c r="K132" s="263">
        <f>VLOOKUP($A132,T16Percentage,$C$4+'Table 16 data'!L$1,0)</f>
        <v>97.7</v>
      </c>
      <c r="L132" s="263">
        <f>VLOOKUP($A132,T16Percentage,$C$4+'Table 16 data'!M$1,0)</f>
        <v>62.4</v>
      </c>
    </row>
    <row r="133" spans="1:12" ht="11.25" customHeight="1" x14ac:dyDescent="0.2">
      <c r="A133" s="125" t="s">
        <v>245</v>
      </c>
      <c r="B133" s="126" t="s">
        <v>246</v>
      </c>
      <c r="C133" s="262">
        <f>VLOOKUP($A133,T16Percentage,$C$4+'Table 16 data'!D$1,0)</f>
        <v>1561</v>
      </c>
      <c r="D133" s="263">
        <f>VLOOKUP($A133,T16Percentage,$C$4+'Table 16 data'!E$1,0)</f>
        <v>84.8</v>
      </c>
      <c r="E133" s="263">
        <f>VLOOKUP($A133,T16Percentage,$C$4+'Table 16 data'!F$1,0)</f>
        <v>54.8</v>
      </c>
      <c r="F133" s="263">
        <f>VLOOKUP($A133,T16Percentage,$C$4+'Table 16 data'!G$1,0)</f>
        <v>95.5</v>
      </c>
      <c r="G133" s="263">
        <f>VLOOKUP($A133,T16Percentage,$C$4+'Table 16 data'!H$1,0)</f>
        <v>94.2</v>
      </c>
      <c r="H133" s="263">
        <f>VLOOKUP($A133,T16Percentage,$C$4+'Table 16 data'!I$1,0)</f>
        <v>99.4</v>
      </c>
      <c r="I133" s="263">
        <f>VLOOKUP($A133,T16Percentage,$C$4+'Table 16 data'!J$1,0)</f>
        <v>331.7</v>
      </c>
      <c r="J133" s="263">
        <f>VLOOKUP($A133,T16Percentage,$C$4+'Table 16 data'!K$1,0)</f>
        <v>451</v>
      </c>
      <c r="K133" s="263">
        <f>VLOOKUP($A133,T16Percentage,$C$4+'Table 16 data'!L$1,0)</f>
        <v>96.6</v>
      </c>
      <c r="L133" s="263">
        <f>VLOOKUP($A133,T16Percentage,$C$4+'Table 16 data'!M$1,0)</f>
        <v>55.3</v>
      </c>
    </row>
    <row r="134" spans="1:12" ht="11.25" customHeight="1" x14ac:dyDescent="0.2">
      <c r="A134" s="125" t="s">
        <v>247</v>
      </c>
      <c r="B134" s="126" t="s">
        <v>248</v>
      </c>
      <c r="C134" s="262">
        <f>VLOOKUP($A134,T16Percentage,$C$4+'Table 16 data'!D$1,0)</f>
        <v>1366</v>
      </c>
      <c r="D134" s="263">
        <f>VLOOKUP($A134,T16Percentage,$C$4+'Table 16 data'!E$1,0)</f>
        <v>84.3</v>
      </c>
      <c r="E134" s="263">
        <f>VLOOKUP($A134,T16Percentage,$C$4+'Table 16 data'!F$1,0)</f>
        <v>63.4</v>
      </c>
      <c r="F134" s="263">
        <f>VLOOKUP($A134,T16Percentage,$C$4+'Table 16 data'!G$1,0)</f>
        <v>96.6</v>
      </c>
      <c r="G134" s="263">
        <f>VLOOKUP($A134,T16Percentage,$C$4+'Table 16 data'!H$1,0)</f>
        <v>95.6</v>
      </c>
      <c r="H134" s="263">
        <f>VLOOKUP($A134,T16Percentage,$C$4+'Table 16 data'!I$1,0)</f>
        <v>99.7</v>
      </c>
      <c r="I134" s="263">
        <f>VLOOKUP($A134,T16Percentage,$C$4+'Table 16 data'!J$1,0)</f>
        <v>340.3</v>
      </c>
      <c r="J134" s="263">
        <f>VLOOKUP($A134,T16Percentage,$C$4+'Table 16 data'!K$1,0)</f>
        <v>451.1</v>
      </c>
      <c r="K134" s="263">
        <f>VLOOKUP($A134,T16Percentage,$C$4+'Table 16 data'!L$1,0)</f>
        <v>97.1</v>
      </c>
      <c r="L134" s="263">
        <f>VLOOKUP($A134,T16Percentage,$C$4+'Table 16 data'!M$1,0)</f>
        <v>64.099999999999994</v>
      </c>
    </row>
    <row r="135" spans="1:12" ht="11.25" customHeight="1" x14ac:dyDescent="0.2">
      <c r="A135" s="125" t="s">
        <v>249</v>
      </c>
      <c r="B135" s="126" t="s">
        <v>250</v>
      </c>
      <c r="C135" s="262">
        <f>VLOOKUP($A135,T16Percentage,$C$4+'Table 16 data'!D$1,0)</f>
        <v>786</v>
      </c>
      <c r="D135" s="263">
        <f>VLOOKUP($A135,T16Percentage,$C$4+'Table 16 data'!E$1,0)</f>
        <v>83.3</v>
      </c>
      <c r="E135" s="263">
        <f>VLOOKUP($A135,T16Percentage,$C$4+'Table 16 data'!F$1,0)</f>
        <v>68.099999999999994</v>
      </c>
      <c r="F135" s="263">
        <f>VLOOKUP($A135,T16Percentage,$C$4+'Table 16 data'!G$1,0)</f>
        <v>94</v>
      </c>
      <c r="G135" s="263">
        <f>VLOOKUP($A135,T16Percentage,$C$4+'Table 16 data'!H$1,0)</f>
        <v>93.1</v>
      </c>
      <c r="H135" s="263">
        <f>VLOOKUP($A135,T16Percentage,$C$4+'Table 16 data'!I$1,0)</f>
        <v>98</v>
      </c>
      <c r="I135" s="263">
        <f>VLOOKUP($A135,T16Percentage,$C$4+'Table 16 data'!J$1,0)</f>
        <v>347.3</v>
      </c>
      <c r="J135" s="263">
        <f>VLOOKUP($A135,T16Percentage,$C$4+'Table 16 data'!K$1,0)</f>
        <v>459.2</v>
      </c>
      <c r="K135" s="263">
        <f>VLOOKUP($A135,T16Percentage,$C$4+'Table 16 data'!L$1,0)</f>
        <v>95.3</v>
      </c>
      <c r="L135" s="263">
        <f>VLOOKUP($A135,T16Percentage,$C$4+'Table 16 data'!M$1,0)</f>
        <v>68.8</v>
      </c>
    </row>
    <row r="136" spans="1:12" ht="11.25" customHeight="1" x14ac:dyDescent="0.2">
      <c r="A136" s="125" t="s">
        <v>251</v>
      </c>
      <c r="B136" s="126" t="s">
        <v>252</v>
      </c>
      <c r="C136" s="262">
        <f>VLOOKUP($A136,T16Percentage,$C$4+'Table 16 data'!D$1,0)</f>
        <v>842</v>
      </c>
      <c r="D136" s="263">
        <f>VLOOKUP($A136,T16Percentage,$C$4+'Table 16 data'!E$1,0)</f>
        <v>81.400000000000006</v>
      </c>
      <c r="E136" s="263">
        <f>VLOOKUP($A136,T16Percentage,$C$4+'Table 16 data'!F$1,0)</f>
        <v>61.4</v>
      </c>
      <c r="F136" s="263">
        <f>VLOOKUP($A136,T16Percentage,$C$4+'Table 16 data'!G$1,0)</f>
        <v>94.1</v>
      </c>
      <c r="G136" s="263">
        <f>VLOOKUP($A136,T16Percentage,$C$4+'Table 16 data'!H$1,0)</f>
        <v>91.8</v>
      </c>
      <c r="H136" s="263">
        <f>VLOOKUP($A136,T16Percentage,$C$4+'Table 16 data'!I$1,0)</f>
        <v>99</v>
      </c>
      <c r="I136" s="263">
        <f>VLOOKUP($A136,T16Percentage,$C$4+'Table 16 data'!J$1,0)</f>
        <v>330.3</v>
      </c>
      <c r="J136" s="263">
        <f>VLOOKUP($A136,T16Percentage,$C$4+'Table 16 data'!K$1,0)</f>
        <v>446.4</v>
      </c>
      <c r="K136" s="263">
        <f>VLOOKUP($A136,T16Percentage,$C$4+'Table 16 data'!L$1,0)</f>
        <v>94.1</v>
      </c>
      <c r="L136" s="263">
        <f>VLOOKUP($A136,T16Percentage,$C$4+'Table 16 data'!M$1,0)</f>
        <v>62.4</v>
      </c>
    </row>
    <row r="137" spans="1:12" ht="11.25" customHeight="1" x14ac:dyDescent="0.2">
      <c r="A137" s="125" t="s">
        <v>253</v>
      </c>
      <c r="B137" s="126" t="s">
        <v>254</v>
      </c>
      <c r="C137" s="262">
        <f>VLOOKUP($A137,T16Percentage,$C$4+'Table 16 data'!D$1,0)</f>
        <v>1819</v>
      </c>
      <c r="D137" s="263">
        <f>VLOOKUP($A137,T16Percentage,$C$4+'Table 16 data'!E$1,0)</f>
        <v>84.4</v>
      </c>
      <c r="E137" s="263">
        <f>VLOOKUP($A137,T16Percentage,$C$4+'Table 16 data'!F$1,0)</f>
        <v>66</v>
      </c>
      <c r="F137" s="263">
        <f>VLOOKUP($A137,T16Percentage,$C$4+'Table 16 data'!G$1,0)</f>
        <v>96.3</v>
      </c>
      <c r="G137" s="263">
        <f>VLOOKUP($A137,T16Percentage,$C$4+'Table 16 data'!H$1,0)</f>
        <v>94.9</v>
      </c>
      <c r="H137" s="263">
        <f>VLOOKUP($A137,T16Percentage,$C$4+'Table 16 data'!I$1,0)</f>
        <v>99.2</v>
      </c>
      <c r="I137" s="263">
        <f>VLOOKUP($A137,T16Percentage,$C$4+'Table 16 data'!J$1,0)</f>
        <v>349.2</v>
      </c>
      <c r="J137" s="263">
        <f>VLOOKUP($A137,T16Percentage,$C$4+'Table 16 data'!K$1,0)</f>
        <v>470</v>
      </c>
      <c r="K137" s="263">
        <f>VLOOKUP($A137,T16Percentage,$C$4+'Table 16 data'!L$1,0)</f>
        <v>97.2</v>
      </c>
      <c r="L137" s="263">
        <f>VLOOKUP($A137,T16Percentage,$C$4+'Table 16 data'!M$1,0)</f>
        <v>66.8</v>
      </c>
    </row>
    <row r="138" spans="1:12" ht="11.25" customHeight="1" x14ac:dyDescent="0.2">
      <c r="A138" s="125" t="s">
        <v>255</v>
      </c>
      <c r="B138" s="126" t="s">
        <v>256</v>
      </c>
      <c r="C138" s="262">
        <f>VLOOKUP($A138,T16Percentage,$C$4+'Table 16 data'!D$1,0)</f>
        <v>669</v>
      </c>
      <c r="D138" s="263">
        <f>VLOOKUP($A138,T16Percentage,$C$4+'Table 16 data'!E$1,0)</f>
        <v>82.7</v>
      </c>
      <c r="E138" s="263">
        <f>VLOOKUP($A138,T16Percentage,$C$4+'Table 16 data'!F$1,0)</f>
        <v>63.5</v>
      </c>
      <c r="F138" s="263">
        <f>VLOOKUP($A138,T16Percentage,$C$4+'Table 16 data'!G$1,0)</f>
        <v>95.4</v>
      </c>
      <c r="G138" s="263">
        <f>VLOOKUP($A138,T16Percentage,$C$4+'Table 16 data'!H$1,0)</f>
        <v>94</v>
      </c>
      <c r="H138" s="263">
        <f>VLOOKUP($A138,T16Percentage,$C$4+'Table 16 data'!I$1,0)</f>
        <v>99.6</v>
      </c>
      <c r="I138" s="263">
        <f>VLOOKUP($A138,T16Percentage,$C$4+'Table 16 data'!J$1,0)</f>
        <v>337.6</v>
      </c>
      <c r="J138" s="263">
        <f>VLOOKUP($A138,T16Percentage,$C$4+'Table 16 data'!K$1,0)</f>
        <v>451.9</v>
      </c>
      <c r="K138" s="263">
        <f>VLOOKUP($A138,T16Percentage,$C$4+'Table 16 data'!L$1,0)</f>
        <v>96</v>
      </c>
      <c r="L138" s="263">
        <f>VLOOKUP($A138,T16Percentage,$C$4+'Table 16 data'!M$1,0)</f>
        <v>64.400000000000006</v>
      </c>
    </row>
    <row r="139" spans="1:12" ht="11.25" customHeight="1" x14ac:dyDescent="0.2">
      <c r="A139" s="125" t="s">
        <v>257</v>
      </c>
      <c r="B139" s="126" t="s">
        <v>258</v>
      </c>
      <c r="C139" s="262">
        <f>VLOOKUP($A139,T16Percentage,$C$4+'Table 16 data'!D$1,0)</f>
        <v>1359</v>
      </c>
      <c r="D139" s="263">
        <f>VLOOKUP($A139,T16Percentage,$C$4+'Table 16 data'!E$1,0)</f>
        <v>91.4</v>
      </c>
      <c r="E139" s="263">
        <f>VLOOKUP($A139,T16Percentage,$C$4+'Table 16 data'!F$1,0)</f>
        <v>74.7</v>
      </c>
      <c r="F139" s="263">
        <f>VLOOKUP($A139,T16Percentage,$C$4+'Table 16 data'!G$1,0)</f>
        <v>97.1</v>
      </c>
      <c r="G139" s="263">
        <f>VLOOKUP($A139,T16Percentage,$C$4+'Table 16 data'!H$1,0)</f>
        <v>96</v>
      </c>
      <c r="H139" s="263">
        <f>VLOOKUP($A139,T16Percentage,$C$4+'Table 16 data'!I$1,0)</f>
        <v>99.4</v>
      </c>
      <c r="I139" s="263">
        <f>VLOOKUP($A139,T16Percentage,$C$4+'Table 16 data'!J$1,0)</f>
        <v>371.5</v>
      </c>
      <c r="J139" s="263">
        <f>VLOOKUP($A139,T16Percentage,$C$4+'Table 16 data'!K$1,0)</f>
        <v>517.9</v>
      </c>
      <c r="K139" s="263">
        <f>VLOOKUP($A139,T16Percentage,$C$4+'Table 16 data'!L$1,0)</f>
        <v>97.6</v>
      </c>
      <c r="L139" s="263">
        <f>VLOOKUP($A139,T16Percentage,$C$4+'Table 16 data'!M$1,0)</f>
        <v>74.8</v>
      </c>
    </row>
    <row r="140" spans="1:12" ht="11.25" customHeight="1" x14ac:dyDescent="0.2">
      <c r="A140" s="125" t="s">
        <v>259</v>
      </c>
      <c r="B140" s="126" t="s">
        <v>260</v>
      </c>
      <c r="C140" s="262">
        <f>VLOOKUP($A140,T16Percentage,$C$4+'Table 16 data'!D$1,0)</f>
        <v>1327</v>
      </c>
      <c r="D140" s="263">
        <f>VLOOKUP($A140,T16Percentage,$C$4+'Table 16 data'!E$1,0)</f>
        <v>73.900000000000006</v>
      </c>
      <c r="E140" s="263">
        <f>VLOOKUP($A140,T16Percentage,$C$4+'Table 16 data'!F$1,0)</f>
        <v>50.5</v>
      </c>
      <c r="F140" s="263">
        <f>VLOOKUP($A140,T16Percentage,$C$4+'Table 16 data'!G$1,0)</f>
        <v>96.1</v>
      </c>
      <c r="G140" s="263">
        <f>VLOOKUP($A140,T16Percentage,$C$4+'Table 16 data'!H$1,0)</f>
        <v>93.9</v>
      </c>
      <c r="H140" s="263">
        <f>VLOOKUP($A140,T16Percentage,$C$4+'Table 16 data'!I$1,0)</f>
        <v>98.8</v>
      </c>
      <c r="I140" s="263">
        <f>VLOOKUP($A140,T16Percentage,$C$4+'Table 16 data'!J$1,0)</f>
        <v>323.10000000000002</v>
      </c>
      <c r="J140" s="263">
        <f>VLOOKUP($A140,T16Percentage,$C$4+'Table 16 data'!K$1,0)</f>
        <v>422</v>
      </c>
      <c r="K140" s="263">
        <f>VLOOKUP($A140,T16Percentage,$C$4+'Table 16 data'!L$1,0)</f>
        <v>95.3</v>
      </c>
      <c r="L140" s="263">
        <f>VLOOKUP($A140,T16Percentage,$C$4+'Table 16 data'!M$1,0)</f>
        <v>51.8</v>
      </c>
    </row>
    <row r="141" spans="1:12" ht="11.25" customHeight="1" x14ac:dyDescent="0.2">
      <c r="A141" s="3"/>
      <c r="B141" s="26"/>
      <c r="C141" s="266"/>
      <c r="D141" s="218"/>
      <c r="E141" s="267"/>
      <c r="F141" s="267"/>
      <c r="G141" s="267"/>
      <c r="H141" s="267"/>
      <c r="I141" s="218"/>
      <c r="J141" s="267"/>
      <c r="K141" s="266"/>
      <c r="L141" s="266"/>
    </row>
    <row r="142" spans="1:12" s="27" customFormat="1" ht="11.25" customHeight="1" x14ac:dyDescent="0.2">
      <c r="A142" s="16" t="s">
        <v>387</v>
      </c>
      <c r="B142" s="17" t="s">
        <v>261</v>
      </c>
      <c r="C142" s="260">
        <f>VLOOKUP($A142,T16Percentage,$C$4+'Table 16 data'!D$1,0)</f>
        <v>45608</v>
      </c>
      <c r="D142" s="261">
        <f>VLOOKUP($A142,T16Percentage,$C$4+'Table 16 data'!E$1,0)</f>
        <v>78.7</v>
      </c>
      <c r="E142" s="261">
        <f>VLOOKUP($A142,T16Percentage,$C$4+'Table 16 data'!F$1,0)</f>
        <v>57.8</v>
      </c>
      <c r="F142" s="261">
        <f>VLOOKUP($A142,T16Percentage,$C$4+'Table 16 data'!G$1,0)</f>
        <v>94.8</v>
      </c>
      <c r="G142" s="261">
        <f>VLOOKUP($A142,T16Percentage,$C$4+'Table 16 data'!H$1,0)</f>
        <v>93.4</v>
      </c>
      <c r="H142" s="261">
        <f>VLOOKUP($A142,T16Percentage,$C$4+'Table 16 data'!I$1,0)</f>
        <v>99.2</v>
      </c>
      <c r="I142" s="261">
        <f>VLOOKUP($A142,T16Percentage,$C$4+'Table 16 data'!J$1,0)</f>
        <v>332.1</v>
      </c>
      <c r="J142" s="261">
        <f>VLOOKUP($A142,T16Percentage,$C$4+'Table 16 data'!K$1,0)</f>
        <v>446.8</v>
      </c>
      <c r="K142" s="261">
        <f>VLOOKUP($A142,T16Percentage,$C$4+'Table 16 data'!L$1,0)</f>
        <v>96</v>
      </c>
      <c r="L142" s="261">
        <f>VLOOKUP($A142,T16Percentage,$C$4+'Table 16 data'!M$1,0)</f>
        <v>58.8</v>
      </c>
    </row>
    <row r="143" spans="1:12" s="17" customFormat="1" ht="11.25" customHeight="1" x14ac:dyDescent="0.2">
      <c r="A143" s="125" t="s">
        <v>460</v>
      </c>
      <c r="B143" s="126" t="s">
        <v>262</v>
      </c>
      <c r="C143" s="262">
        <f>VLOOKUP($A143,T16Percentage,$C$4+'Table 16 data'!D$1,0)</f>
        <v>539</v>
      </c>
      <c r="D143" s="263">
        <f>VLOOKUP($A143,T16Percentage,$C$4+'Table 16 data'!E$1,0)</f>
        <v>88.7</v>
      </c>
      <c r="E143" s="263">
        <f>VLOOKUP($A143,T16Percentage,$C$4+'Table 16 data'!F$1,0)</f>
        <v>58.6</v>
      </c>
      <c r="F143" s="263">
        <f>VLOOKUP($A143,T16Percentage,$C$4+'Table 16 data'!G$1,0)</f>
        <v>96.5</v>
      </c>
      <c r="G143" s="263">
        <f>VLOOKUP($A143,T16Percentage,$C$4+'Table 16 data'!H$1,0)</f>
        <v>95.2</v>
      </c>
      <c r="H143" s="263">
        <f>VLOOKUP($A143,T16Percentage,$C$4+'Table 16 data'!I$1,0)</f>
        <v>99.4</v>
      </c>
      <c r="I143" s="263">
        <f>VLOOKUP($A143,T16Percentage,$C$4+'Table 16 data'!J$1,0)</f>
        <v>344.3</v>
      </c>
      <c r="J143" s="263">
        <f>VLOOKUP($A143,T16Percentage,$C$4+'Table 16 data'!K$1,0)</f>
        <v>466.9</v>
      </c>
      <c r="K143" s="263">
        <f>VLOOKUP($A143,T16Percentage,$C$4+'Table 16 data'!L$1,0)</f>
        <v>97.4</v>
      </c>
      <c r="L143" s="263">
        <f>VLOOKUP($A143,T16Percentage,$C$4+'Table 16 data'!M$1,0)</f>
        <v>58.6</v>
      </c>
    </row>
    <row r="144" spans="1:12" ht="11.25" customHeight="1" x14ac:dyDescent="0.2">
      <c r="A144" s="125" t="s">
        <v>263</v>
      </c>
      <c r="B144" s="126" t="s">
        <v>264</v>
      </c>
      <c r="C144" s="262">
        <f>VLOOKUP($A144,T16Percentage,$C$4+'Table 16 data'!D$1,0)</f>
        <v>1148</v>
      </c>
      <c r="D144" s="263">
        <f>VLOOKUP($A144,T16Percentage,$C$4+'Table 16 data'!E$1,0)</f>
        <v>74.400000000000006</v>
      </c>
      <c r="E144" s="263">
        <f>VLOOKUP($A144,T16Percentage,$C$4+'Table 16 data'!F$1,0)</f>
        <v>59</v>
      </c>
      <c r="F144" s="263">
        <f>VLOOKUP($A144,T16Percentage,$C$4+'Table 16 data'!G$1,0)</f>
        <v>93.6</v>
      </c>
      <c r="G144" s="263">
        <f>VLOOKUP($A144,T16Percentage,$C$4+'Table 16 data'!H$1,0)</f>
        <v>92.1</v>
      </c>
      <c r="H144" s="263">
        <f>VLOOKUP($A144,T16Percentage,$C$4+'Table 16 data'!I$1,0)</f>
        <v>98.8</v>
      </c>
      <c r="I144" s="263">
        <f>VLOOKUP($A144,T16Percentage,$C$4+'Table 16 data'!J$1,0)</f>
        <v>321</v>
      </c>
      <c r="J144" s="263">
        <f>VLOOKUP($A144,T16Percentage,$C$4+'Table 16 data'!K$1,0)</f>
        <v>422</v>
      </c>
      <c r="K144" s="263">
        <f>VLOOKUP($A144,T16Percentage,$C$4+'Table 16 data'!L$1,0)</f>
        <v>94.9</v>
      </c>
      <c r="L144" s="263">
        <f>VLOOKUP($A144,T16Percentage,$C$4+'Table 16 data'!M$1,0)</f>
        <v>60.7</v>
      </c>
    </row>
    <row r="145" spans="1:12" ht="11.25" customHeight="1" x14ac:dyDescent="0.2">
      <c r="A145" s="125" t="s">
        <v>265</v>
      </c>
      <c r="B145" s="126" t="s">
        <v>266</v>
      </c>
      <c r="C145" s="262">
        <f>VLOOKUP($A145,T16Percentage,$C$4+'Table 16 data'!D$1,0)</f>
        <v>2874</v>
      </c>
      <c r="D145" s="263">
        <f>VLOOKUP($A145,T16Percentage,$C$4+'Table 16 data'!E$1,0)</f>
        <v>81.900000000000006</v>
      </c>
      <c r="E145" s="263">
        <f>VLOOKUP($A145,T16Percentage,$C$4+'Table 16 data'!F$1,0)</f>
        <v>67.3</v>
      </c>
      <c r="F145" s="263">
        <f>VLOOKUP($A145,T16Percentage,$C$4+'Table 16 data'!G$1,0)</f>
        <v>96.1</v>
      </c>
      <c r="G145" s="263">
        <f>VLOOKUP($A145,T16Percentage,$C$4+'Table 16 data'!H$1,0)</f>
        <v>95.1</v>
      </c>
      <c r="H145" s="263">
        <f>VLOOKUP($A145,T16Percentage,$C$4+'Table 16 data'!I$1,0)</f>
        <v>99.1</v>
      </c>
      <c r="I145" s="263">
        <f>VLOOKUP($A145,T16Percentage,$C$4+'Table 16 data'!J$1,0)</f>
        <v>353.8</v>
      </c>
      <c r="J145" s="263">
        <f>VLOOKUP($A145,T16Percentage,$C$4+'Table 16 data'!K$1,0)</f>
        <v>471.5</v>
      </c>
      <c r="K145" s="263">
        <f>VLOOKUP($A145,T16Percentage,$C$4+'Table 16 data'!L$1,0)</f>
        <v>97</v>
      </c>
      <c r="L145" s="263">
        <f>VLOOKUP($A145,T16Percentage,$C$4+'Table 16 data'!M$1,0)</f>
        <v>68.2</v>
      </c>
    </row>
    <row r="146" spans="1:12" ht="11.25" customHeight="1" x14ac:dyDescent="0.2">
      <c r="A146" s="125" t="s">
        <v>267</v>
      </c>
      <c r="B146" s="126" t="s">
        <v>268</v>
      </c>
      <c r="C146" s="262">
        <f>VLOOKUP($A146,T16Percentage,$C$4+'Table 16 data'!D$1,0)</f>
        <v>2717</v>
      </c>
      <c r="D146" s="263">
        <f>VLOOKUP($A146,T16Percentage,$C$4+'Table 16 data'!E$1,0)</f>
        <v>78.5</v>
      </c>
      <c r="E146" s="263">
        <f>VLOOKUP($A146,T16Percentage,$C$4+'Table 16 data'!F$1,0)</f>
        <v>55.4</v>
      </c>
      <c r="F146" s="263">
        <f>VLOOKUP($A146,T16Percentage,$C$4+'Table 16 data'!G$1,0)</f>
        <v>93.7</v>
      </c>
      <c r="G146" s="263">
        <f>VLOOKUP($A146,T16Percentage,$C$4+'Table 16 data'!H$1,0)</f>
        <v>91.5</v>
      </c>
      <c r="H146" s="263">
        <f>VLOOKUP($A146,T16Percentage,$C$4+'Table 16 data'!I$1,0)</f>
        <v>98.7</v>
      </c>
      <c r="I146" s="263">
        <f>VLOOKUP($A146,T16Percentage,$C$4+'Table 16 data'!J$1,0)</f>
        <v>322.10000000000002</v>
      </c>
      <c r="J146" s="263">
        <f>VLOOKUP($A146,T16Percentage,$C$4+'Table 16 data'!K$1,0)</f>
        <v>436.6</v>
      </c>
      <c r="K146" s="263">
        <f>VLOOKUP($A146,T16Percentage,$C$4+'Table 16 data'!L$1,0)</f>
        <v>96.2</v>
      </c>
      <c r="L146" s="263">
        <f>VLOOKUP($A146,T16Percentage,$C$4+'Table 16 data'!M$1,0)</f>
        <v>56.6</v>
      </c>
    </row>
    <row r="147" spans="1:12" ht="11.25" customHeight="1" x14ac:dyDescent="0.2">
      <c r="A147" s="125" t="s">
        <v>269</v>
      </c>
      <c r="B147" s="126" t="s">
        <v>270</v>
      </c>
      <c r="C147" s="262">
        <f>VLOOKUP($A147,T16Percentage,$C$4+'Table 16 data'!D$1,0)</f>
        <v>7137</v>
      </c>
      <c r="D147" s="263">
        <f>VLOOKUP($A147,T16Percentage,$C$4+'Table 16 data'!E$1,0)</f>
        <v>74.5</v>
      </c>
      <c r="E147" s="263">
        <f>VLOOKUP($A147,T16Percentage,$C$4+'Table 16 data'!F$1,0)</f>
        <v>55.1</v>
      </c>
      <c r="F147" s="263">
        <f>VLOOKUP($A147,T16Percentage,$C$4+'Table 16 data'!G$1,0)</f>
        <v>95.3</v>
      </c>
      <c r="G147" s="263">
        <f>VLOOKUP($A147,T16Percentage,$C$4+'Table 16 data'!H$1,0)</f>
        <v>94.2</v>
      </c>
      <c r="H147" s="263">
        <f>VLOOKUP($A147,T16Percentage,$C$4+'Table 16 data'!I$1,0)</f>
        <v>99.3</v>
      </c>
      <c r="I147" s="263">
        <f>VLOOKUP($A147,T16Percentage,$C$4+'Table 16 data'!J$1,0)</f>
        <v>326.7</v>
      </c>
      <c r="J147" s="263">
        <f>VLOOKUP($A147,T16Percentage,$C$4+'Table 16 data'!K$1,0)</f>
        <v>430.7</v>
      </c>
      <c r="K147" s="263">
        <f>VLOOKUP($A147,T16Percentage,$C$4+'Table 16 data'!L$1,0)</f>
        <v>96.5</v>
      </c>
      <c r="L147" s="263">
        <f>VLOOKUP($A147,T16Percentage,$C$4+'Table 16 data'!M$1,0)</f>
        <v>56</v>
      </c>
    </row>
    <row r="148" spans="1:12" ht="11.25" customHeight="1" x14ac:dyDescent="0.2">
      <c r="A148" s="125" t="s">
        <v>271</v>
      </c>
      <c r="B148" s="126" t="s">
        <v>272</v>
      </c>
      <c r="C148" s="262">
        <f>VLOOKUP($A148,T16Percentage,$C$4+'Table 16 data'!D$1,0)</f>
        <v>788</v>
      </c>
      <c r="D148" s="263">
        <f>VLOOKUP($A148,T16Percentage,$C$4+'Table 16 data'!E$1,0)</f>
        <v>62.2</v>
      </c>
      <c r="E148" s="263">
        <f>VLOOKUP($A148,T16Percentage,$C$4+'Table 16 data'!F$1,0)</f>
        <v>42.4</v>
      </c>
      <c r="F148" s="263">
        <f>VLOOKUP($A148,T16Percentage,$C$4+'Table 16 data'!G$1,0)</f>
        <v>88.7</v>
      </c>
      <c r="G148" s="263">
        <f>VLOOKUP($A148,T16Percentage,$C$4+'Table 16 data'!H$1,0)</f>
        <v>87.7</v>
      </c>
      <c r="H148" s="263">
        <f>VLOOKUP($A148,T16Percentage,$C$4+'Table 16 data'!I$1,0)</f>
        <v>98.9</v>
      </c>
      <c r="I148" s="263">
        <f>VLOOKUP($A148,T16Percentage,$C$4+'Table 16 data'!J$1,0)</f>
        <v>286.5</v>
      </c>
      <c r="J148" s="263">
        <f>VLOOKUP($A148,T16Percentage,$C$4+'Table 16 data'!K$1,0)</f>
        <v>360.1</v>
      </c>
      <c r="K148" s="263">
        <f>VLOOKUP($A148,T16Percentage,$C$4+'Table 16 data'!L$1,0)</f>
        <v>92.8</v>
      </c>
      <c r="L148" s="263">
        <f>VLOOKUP($A148,T16Percentage,$C$4+'Table 16 data'!M$1,0)</f>
        <v>44.9</v>
      </c>
    </row>
    <row r="149" spans="1:12" ht="11.25" customHeight="1" x14ac:dyDescent="0.2">
      <c r="A149" s="125" t="s">
        <v>273</v>
      </c>
      <c r="B149" s="126" t="s">
        <v>274</v>
      </c>
      <c r="C149" s="262">
        <f>VLOOKUP($A149,T16Percentage,$C$4+'Table 16 data'!D$1,0)</f>
        <v>8390</v>
      </c>
      <c r="D149" s="263">
        <f>VLOOKUP($A149,T16Percentage,$C$4+'Table 16 data'!E$1,0)</f>
        <v>83.3</v>
      </c>
      <c r="E149" s="263">
        <f>VLOOKUP($A149,T16Percentage,$C$4+'Table 16 data'!F$1,0)</f>
        <v>58.5</v>
      </c>
      <c r="F149" s="263">
        <f>VLOOKUP($A149,T16Percentage,$C$4+'Table 16 data'!G$1,0)</f>
        <v>94.8</v>
      </c>
      <c r="G149" s="263">
        <f>VLOOKUP($A149,T16Percentage,$C$4+'Table 16 data'!H$1,0)</f>
        <v>93.1</v>
      </c>
      <c r="H149" s="263">
        <f>VLOOKUP($A149,T16Percentage,$C$4+'Table 16 data'!I$1,0)</f>
        <v>99.2</v>
      </c>
      <c r="I149" s="263">
        <f>VLOOKUP($A149,T16Percentage,$C$4+'Table 16 data'!J$1,0)</f>
        <v>338.5</v>
      </c>
      <c r="J149" s="263">
        <f>VLOOKUP($A149,T16Percentage,$C$4+'Table 16 data'!K$1,0)</f>
        <v>463.3</v>
      </c>
      <c r="K149" s="263">
        <f>VLOOKUP($A149,T16Percentage,$C$4+'Table 16 data'!L$1,0)</f>
        <v>96.2</v>
      </c>
      <c r="L149" s="263">
        <f>VLOOKUP($A149,T16Percentage,$C$4+'Table 16 data'!M$1,0)</f>
        <v>59.2</v>
      </c>
    </row>
    <row r="150" spans="1:12" ht="11.25" customHeight="1" x14ac:dyDescent="0.2">
      <c r="A150" s="125" t="s">
        <v>275</v>
      </c>
      <c r="B150" s="126" t="s">
        <v>276</v>
      </c>
      <c r="C150" s="262">
        <f>VLOOKUP($A150,T16Percentage,$C$4+'Table 16 data'!D$1,0)</f>
        <v>1613</v>
      </c>
      <c r="D150" s="263">
        <f>VLOOKUP($A150,T16Percentage,$C$4+'Table 16 data'!E$1,0)</f>
        <v>86.2</v>
      </c>
      <c r="E150" s="263">
        <f>VLOOKUP($A150,T16Percentage,$C$4+'Table 16 data'!F$1,0)</f>
        <v>57</v>
      </c>
      <c r="F150" s="263">
        <f>VLOOKUP($A150,T16Percentage,$C$4+'Table 16 data'!G$1,0)</f>
        <v>94.2</v>
      </c>
      <c r="G150" s="263">
        <f>VLOOKUP($A150,T16Percentage,$C$4+'Table 16 data'!H$1,0)</f>
        <v>92.1</v>
      </c>
      <c r="H150" s="263">
        <f>VLOOKUP($A150,T16Percentage,$C$4+'Table 16 data'!I$1,0)</f>
        <v>99.1</v>
      </c>
      <c r="I150" s="263">
        <f>VLOOKUP($A150,T16Percentage,$C$4+'Table 16 data'!J$1,0)</f>
        <v>337.6</v>
      </c>
      <c r="J150" s="263">
        <f>VLOOKUP($A150,T16Percentage,$C$4+'Table 16 data'!K$1,0)</f>
        <v>463.2</v>
      </c>
      <c r="K150" s="263">
        <f>VLOOKUP($A150,T16Percentage,$C$4+'Table 16 data'!L$1,0)</f>
        <v>96.1</v>
      </c>
      <c r="L150" s="263">
        <f>VLOOKUP($A150,T16Percentage,$C$4+'Table 16 data'!M$1,0)</f>
        <v>57.2</v>
      </c>
    </row>
    <row r="151" spans="1:12" ht="11.25" customHeight="1" x14ac:dyDescent="0.2">
      <c r="A151" s="125" t="s">
        <v>277</v>
      </c>
      <c r="B151" s="126" t="s">
        <v>278</v>
      </c>
      <c r="C151" s="262">
        <f>VLOOKUP($A151,T16Percentage,$C$4+'Table 16 data'!D$1,0)</f>
        <v>1398</v>
      </c>
      <c r="D151" s="263">
        <f>VLOOKUP($A151,T16Percentage,$C$4+'Table 16 data'!E$1,0)</f>
        <v>85.9</v>
      </c>
      <c r="E151" s="263">
        <f>VLOOKUP($A151,T16Percentage,$C$4+'Table 16 data'!F$1,0)</f>
        <v>57.3</v>
      </c>
      <c r="F151" s="263">
        <f>VLOOKUP($A151,T16Percentage,$C$4+'Table 16 data'!G$1,0)</f>
        <v>95.6</v>
      </c>
      <c r="G151" s="263">
        <f>VLOOKUP($A151,T16Percentage,$C$4+'Table 16 data'!H$1,0)</f>
        <v>94.6</v>
      </c>
      <c r="H151" s="263">
        <f>VLOOKUP($A151,T16Percentage,$C$4+'Table 16 data'!I$1,0)</f>
        <v>99.4</v>
      </c>
      <c r="I151" s="263">
        <f>VLOOKUP($A151,T16Percentage,$C$4+'Table 16 data'!J$1,0)</f>
        <v>345.5</v>
      </c>
      <c r="J151" s="263">
        <f>VLOOKUP($A151,T16Percentage,$C$4+'Table 16 data'!K$1,0)</f>
        <v>526.1</v>
      </c>
      <c r="K151" s="263">
        <f>VLOOKUP($A151,T16Percentage,$C$4+'Table 16 data'!L$1,0)</f>
        <v>96.7</v>
      </c>
      <c r="L151" s="263">
        <f>VLOOKUP($A151,T16Percentage,$C$4+'Table 16 data'!M$1,0)</f>
        <v>57.9</v>
      </c>
    </row>
    <row r="152" spans="1:12" ht="11.25" customHeight="1" x14ac:dyDescent="0.2">
      <c r="A152" s="125" t="s">
        <v>279</v>
      </c>
      <c r="B152" s="126" t="s">
        <v>280</v>
      </c>
      <c r="C152" s="262">
        <f>VLOOKUP($A152,T16Percentage,$C$4+'Table 16 data'!D$1,0)</f>
        <v>3193</v>
      </c>
      <c r="D152" s="263">
        <f>VLOOKUP($A152,T16Percentage,$C$4+'Table 16 data'!E$1,0)</f>
        <v>72.900000000000006</v>
      </c>
      <c r="E152" s="263">
        <f>VLOOKUP($A152,T16Percentage,$C$4+'Table 16 data'!F$1,0)</f>
        <v>56.1</v>
      </c>
      <c r="F152" s="263">
        <f>VLOOKUP($A152,T16Percentage,$C$4+'Table 16 data'!G$1,0)</f>
        <v>95.3</v>
      </c>
      <c r="G152" s="263">
        <f>VLOOKUP($A152,T16Percentage,$C$4+'Table 16 data'!H$1,0)</f>
        <v>93.6</v>
      </c>
      <c r="H152" s="263">
        <f>VLOOKUP($A152,T16Percentage,$C$4+'Table 16 data'!I$1,0)</f>
        <v>99.1</v>
      </c>
      <c r="I152" s="263">
        <f>VLOOKUP($A152,T16Percentage,$C$4+'Table 16 data'!J$1,0)</f>
        <v>325.10000000000002</v>
      </c>
      <c r="J152" s="263">
        <f>VLOOKUP($A152,T16Percentage,$C$4+'Table 16 data'!K$1,0)</f>
        <v>423.6</v>
      </c>
      <c r="K152" s="263">
        <f>VLOOKUP($A152,T16Percentage,$C$4+'Table 16 data'!L$1,0)</f>
        <v>96.5</v>
      </c>
      <c r="L152" s="263">
        <f>VLOOKUP($A152,T16Percentage,$C$4+'Table 16 data'!M$1,0)</f>
        <v>57.3</v>
      </c>
    </row>
    <row r="153" spans="1:12" ht="11.25" customHeight="1" x14ac:dyDescent="0.2">
      <c r="A153" s="125" t="s">
        <v>281</v>
      </c>
      <c r="B153" s="126" t="s">
        <v>282</v>
      </c>
      <c r="C153" s="262">
        <f>VLOOKUP($A153,T16Percentage,$C$4+'Table 16 data'!D$1,0)</f>
        <v>941</v>
      </c>
      <c r="D153" s="263">
        <f>VLOOKUP($A153,T16Percentage,$C$4+'Table 16 data'!E$1,0)</f>
        <v>59.4</v>
      </c>
      <c r="E153" s="263">
        <f>VLOOKUP($A153,T16Percentage,$C$4+'Table 16 data'!F$1,0)</f>
        <v>39.700000000000003</v>
      </c>
      <c r="F153" s="263">
        <f>VLOOKUP($A153,T16Percentage,$C$4+'Table 16 data'!G$1,0)</f>
        <v>87</v>
      </c>
      <c r="G153" s="263">
        <f>VLOOKUP($A153,T16Percentage,$C$4+'Table 16 data'!H$1,0)</f>
        <v>85.1</v>
      </c>
      <c r="H153" s="263">
        <f>VLOOKUP($A153,T16Percentage,$C$4+'Table 16 data'!I$1,0)</f>
        <v>98.6</v>
      </c>
      <c r="I153" s="263">
        <f>VLOOKUP($A153,T16Percentage,$C$4+'Table 16 data'!J$1,0)</f>
        <v>282.10000000000002</v>
      </c>
      <c r="J153" s="263">
        <f>VLOOKUP($A153,T16Percentage,$C$4+'Table 16 data'!K$1,0)</f>
        <v>357.1</v>
      </c>
      <c r="K153" s="263">
        <f>VLOOKUP($A153,T16Percentage,$C$4+'Table 16 data'!L$1,0)</f>
        <v>88.7</v>
      </c>
      <c r="L153" s="263">
        <f>VLOOKUP($A153,T16Percentage,$C$4+'Table 16 data'!M$1,0)</f>
        <v>40.299999999999997</v>
      </c>
    </row>
    <row r="154" spans="1:12" ht="11.25" customHeight="1" x14ac:dyDescent="0.2">
      <c r="A154" s="125" t="s">
        <v>283</v>
      </c>
      <c r="B154" s="126" t="s">
        <v>284</v>
      </c>
      <c r="C154" s="262">
        <f>VLOOKUP($A154,T16Percentage,$C$4+'Table 16 data'!D$1,0)</f>
        <v>561</v>
      </c>
      <c r="D154" s="263">
        <f>VLOOKUP($A154,T16Percentage,$C$4+'Table 16 data'!E$1,0)</f>
        <v>88.8</v>
      </c>
      <c r="E154" s="263">
        <f>VLOOKUP($A154,T16Percentage,$C$4+'Table 16 data'!F$1,0)</f>
        <v>60.1</v>
      </c>
      <c r="F154" s="263">
        <f>VLOOKUP($A154,T16Percentage,$C$4+'Table 16 data'!G$1,0)</f>
        <v>96.1</v>
      </c>
      <c r="G154" s="263">
        <f>VLOOKUP($A154,T16Percentage,$C$4+'Table 16 data'!H$1,0)</f>
        <v>92.7</v>
      </c>
      <c r="H154" s="263">
        <f>VLOOKUP($A154,T16Percentage,$C$4+'Table 16 data'!I$1,0)</f>
        <v>99.1</v>
      </c>
      <c r="I154" s="263">
        <f>VLOOKUP($A154,T16Percentage,$C$4+'Table 16 data'!J$1,0)</f>
        <v>357.4</v>
      </c>
      <c r="J154" s="263">
        <f>VLOOKUP($A154,T16Percentage,$C$4+'Table 16 data'!K$1,0)</f>
        <v>486.6</v>
      </c>
      <c r="K154" s="263">
        <f>VLOOKUP($A154,T16Percentage,$C$4+'Table 16 data'!L$1,0)</f>
        <v>95.2</v>
      </c>
      <c r="L154" s="263">
        <f>VLOOKUP($A154,T16Percentage,$C$4+'Table 16 data'!M$1,0)</f>
        <v>60.4</v>
      </c>
    </row>
    <row r="155" spans="1:12" ht="11.25" customHeight="1" x14ac:dyDescent="0.2">
      <c r="A155" s="125" t="s">
        <v>285</v>
      </c>
      <c r="B155" s="126" t="s">
        <v>286</v>
      </c>
      <c r="C155" s="262">
        <f>VLOOKUP($A155,T16Percentage,$C$4+'Table 16 data'!D$1,0)</f>
        <v>823</v>
      </c>
      <c r="D155" s="263">
        <f>VLOOKUP($A155,T16Percentage,$C$4+'Table 16 data'!E$1,0)</f>
        <v>91.5</v>
      </c>
      <c r="E155" s="263">
        <f>VLOOKUP($A155,T16Percentage,$C$4+'Table 16 data'!F$1,0)</f>
        <v>67.900000000000006</v>
      </c>
      <c r="F155" s="263">
        <f>VLOOKUP($A155,T16Percentage,$C$4+'Table 16 data'!G$1,0)</f>
        <v>97.1</v>
      </c>
      <c r="G155" s="263">
        <f>VLOOKUP($A155,T16Percentage,$C$4+'Table 16 data'!H$1,0)</f>
        <v>94.8</v>
      </c>
      <c r="H155" s="263">
        <f>VLOOKUP($A155,T16Percentage,$C$4+'Table 16 data'!I$1,0)</f>
        <v>99.4</v>
      </c>
      <c r="I155" s="263">
        <f>VLOOKUP($A155,T16Percentage,$C$4+'Table 16 data'!J$1,0)</f>
        <v>361.9</v>
      </c>
      <c r="J155" s="263">
        <f>VLOOKUP($A155,T16Percentage,$C$4+'Table 16 data'!K$1,0)</f>
        <v>496.7</v>
      </c>
      <c r="K155" s="263">
        <f>VLOOKUP($A155,T16Percentage,$C$4+'Table 16 data'!L$1,0)</f>
        <v>97.2</v>
      </c>
      <c r="L155" s="263">
        <f>VLOOKUP($A155,T16Percentage,$C$4+'Table 16 data'!M$1,0)</f>
        <v>68.5</v>
      </c>
    </row>
    <row r="156" spans="1:12" ht="11.25" customHeight="1" x14ac:dyDescent="0.2">
      <c r="A156" s="125" t="s">
        <v>287</v>
      </c>
      <c r="B156" s="126" t="s">
        <v>288</v>
      </c>
      <c r="C156" s="262">
        <f>VLOOKUP($A156,T16Percentage,$C$4+'Table 16 data'!D$1,0)</f>
        <v>1026</v>
      </c>
      <c r="D156" s="263">
        <f>VLOOKUP($A156,T16Percentage,$C$4+'Table 16 data'!E$1,0)</f>
        <v>78.099999999999994</v>
      </c>
      <c r="E156" s="263">
        <f>VLOOKUP($A156,T16Percentage,$C$4+'Table 16 data'!F$1,0)</f>
        <v>52.7</v>
      </c>
      <c r="F156" s="263">
        <f>VLOOKUP($A156,T16Percentage,$C$4+'Table 16 data'!G$1,0)</f>
        <v>92.6</v>
      </c>
      <c r="G156" s="263">
        <f>VLOOKUP($A156,T16Percentage,$C$4+'Table 16 data'!H$1,0)</f>
        <v>90.6</v>
      </c>
      <c r="H156" s="263">
        <f>VLOOKUP($A156,T16Percentage,$C$4+'Table 16 data'!I$1,0)</f>
        <v>99</v>
      </c>
      <c r="I156" s="263">
        <f>VLOOKUP($A156,T16Percentage,$C$4+'Table 16 data'!J$1,0)</f>
        <v>313.8</v>
      </c>
      <c r="J156" s="263">
        <f>VLOOKUP($A156,T16Percentage,$C$4+'Table 16 data'!K$1,0)</f>
        <v>413.7</v>
      </c>
      <c r="K156" s="263">
        <f>VLOOKUP($A156,T16Percentage,$C$4+'Table 16 data'!L$1,0)</f>
        <v>95.4</v>
      </c>
      <c r="L156" s="263">
        <f>VLOOKUP($A156,T16Percentage,$C$4+'Table 16 data'!M$1,0)</f>
        <v>53.9</v>
      </c>
    </row>
    <row r="157" spans="1:12" ht="11.25" customHeight="1" x14ac:dyDescent="0.2">
      <c r="A157" s="125" t="s">
        <v>289</v>
      </c>
      <c r="B157" s="126" t="s">
        <v>290</v>
      </c>
      <c r="C157" s="262">
        <f>VLOOKUP($A157,T16Percentage,$C$4+'Table 16 data'!D$1,0)</f>
        <v>5515</v>
      </c>
      <c r="D157" s="263">
        <f>VLOOKUP($A157,T16Percentage,$C$4+'Table 16 data'!E$1,0)</f>
        <v>80.900000000000006</v>
      </c>
      <c r="E157" s="263">
        <f>VLOOKUP($A157,T16Percentage,$C$4+'Table 16 data'!F$1,0)</f>
        <v>63.3</v>
      </c>
      <c r="F157" s="263">
        <f>VLOOKUP($A157,T16Percentage,$C$4+'Table 16 data'!G$1,0)</f>
        <v>95.5</v>
      </c>
      <c r="G157" s="263">
        <f>VLOOKUP($A157,T16Percentage,$C$4+'Table 16 data'!H$1,0)</f>
        <v>94.5</v>
      </c>
      <c r="H157" s="263">
        <f>VLOOKUP($A157,T16Percentage,$C$4+'Table 16 data'!I$1,0)</f>
        <v>99.3</v>
      </c>
      <c r="I157" s="263">
        <f>VLOOKUP($A157,T16Percentage,$C$4+'Table 16 data'!J$1,0)</f>
        <v>337.6</v>
      </c>
      <c r="J157" s="263">
        <f>VLOOKUP($A157,T16Percentage,$C$4+'Table 16 data'!K$1,0)</f>
        <v>457</v>
      </c>
      <c r="K157" s="263">
        <f>VLOOKUP($A157,T16Percentage,$C$4+'Table 16 data'!L$1,0)</f>
        <v>96.1</v>
      </c>
      <c r="L157" s="263">
        <f>VLOOKUP($A157,T16Percentage,$C$4+'Table 16 data'!M$1,0)</f>
        <v>64.7</v>
      </c>
    </row>
    <row r="158" spans="1:12" ht="11.25" customHeight="1" x14ac:dyDescent="0.2">
      <c r="A158" s="125" t="s">
        <v>291</v>
      </c>
      <c r="B158" s="126" t="s">
        <v>292</v>
      </c>
      <c r="C158" s="262">
        <f>VLOOKUP($A158,T16Percentage,$C$4+'Table 16 data'!D$1,0)</f>
        <v>1012</v>
      </c>
      <c r="D158" s="263">
        <f>VLOOKUP($A158,T16Percentage,$C$4+'Table 16 data'!E$1,0)</f>
        <v>72.3</v>
      </c>
      <c r="E158" s="263">
        <f>VLOOKUP($A158,T16Percentage,$C$4+'Table 16 data'!F$1,0)</f>
        <v>56.6</v>
      </c>
      <c r="F158" s="263">
        <f>VLOOKUP($A158,T16Percentage,$C$4+'Table 16 data'!G$1,0)</f>
        <v>96.2</v>
      </c>
      <c r="G158" s="263">
        <f>VLOOKUP($A158,T16Percentage,$C$4+'Table 16 data'!H$1,0)</f>
        <v>94.4</v>
      </c>
      <c r="H158" s="263">
        <f>VLOOKUP($A158,T16Percentage,$C$4+'Table 16 data'!I$1,0)</f>
        <v>98.8</v>
      </c>
      <c r="I158" s="263">
        <f>VLOOKUP($A158,T16Percentage,$C$4+'Table 16 data'!J$1,0)</f>
        <v>330</v>
      </c>
      <c r="J158" s="263">
        <f>VLOOKUP($A158,T16Percentage,$C$4+'Table 16 data'!K$1,0)</f>
        <v>437.9</v>
      </c>
      <c r="K158" s="263">
        <f>VLOOKUP($A158,T16Percentage,$C$4+'Table 16 data'!L$1,0)</f>
        <v>96</v>
      </c>
      <c r="L158" s="263">
        <f>VLOOKUP($A158,T16Percentage,$C$4+'Table 16 data'!M$1,0)</f>
        <v>57.7</v>
      </c>
    </row>
    <row r="159" spans="1:12" ht="11.25" customHeight="1" x14ac:dyDescent="0.2">
      <c r="A159" s="125" t="s">
        <v>293</v>
      </c>
      <c r="B159" s="126" t="s">
        <v>294</v>
      </c>
      <c r="C159" s="262">
        <f>VLOOKUP($A159,T16Percentage,$C$4+'Table 16 data'!D$1,0)</f>
        <v>4250</v>
      </c>
      <c r="D159" s="263">
        <f>VLOOKUP($A159,T16Percentage,$C$4+'Table 16 data'!E$1,0)</f>
        <v>74.5</v>
      </c>
      <c r="E159" s="263">
        <f>VLOOKUP($A159,T16Percentage,$C$4+'Table 16 data'!F$1,0)</f>
        <v>53.6</v>
      </c>
      <c r="F159" s="263">
        <f>VLOOKUP($A159,T16Percentage,$C$4+'Table 16 data'!G$1,0)</f>
        <v>94.3</v>
      </c>
      <c r="G159" s="263">
        <f>VLOOKUP($A159,T16Percentage,$C$4+'Table 16 data'!H$1,0)</f>
        <v>93.2</v>
      </c>
      <c r="H159" s="263">
        <f>VLOOKUP($A159,T16Percentage,$C$4+'Table 16 data'!I$1,0)</f>
        <v>99.3</v>
      </c>
      <c r="I159" s="263">
        <f>VLOOKUP($A159,T16Percentage,$C$4+'Table 16 data'!J$1,0)</f>
        <v>325</v>
      </c>
      <c r="J159" s="263">
        <f>VLOOKUP($A159,T16Percentage,$C$4+'Table 16 data'!K$1,0)</f>
        <v>430.1</v>
      </c>
      <c r="K159" s="263">
        <f>VLOOKUP($A159,T16Percentage,$C$4+'Table 16 data'!L$1,0)</f>
        <v>95.6</v>
      </c>
      <c r="L159" s="263">
        <f>VLOOKUP($A159,T16Percentage,$C$4+'Table 16 data'!M$1,0)</f>
        <v>54.5</v>
      </c>
    </row>
    <row r="160" spans="1:12" ht="11.25" customHeight="1" x14ac:dyDescent="0.2">
      <c r="A160" s="125" t="s">
        <v>295</v>
      </c>
      <c r="B160" s="126" t="s">
        <v>296</v>
      </c>
      <c r="C160" s="262">
        <f>VLOOKUP($A160,T16Percentage,$C$4+'Table 16 data'!D$1,0)</f>
        <v>814</v>
      </c>
      <c r="D160" s="263">
        <f>VLOOKUP($A160,T16Percentage,$C$4+'Table 16 data'!E$1,0)</f>
        <v>84.4</v>
      </c>
      <c r="E160" s="263">
        <f>VLOOKUP($A160,T16Percentage,$C$4+'Table 16 data'!F$1,0)</f>
        <v>65.099999999999994</v>
      </c>
      <c r="F160" s="263">
        <f>VLOOKUP($A160,T16Percentage,$C$4+'Table 16 data'!G$1,0)</f>
        <v>97.7</v>
      </c>
      <c r="G160" s="263">
        <f>VLOOKUP($A160,T16Percentage,$C$4+'Table 16 data'!H$1,0)</f>
        <v>97.1</v>
      </c>
      <c r="H160" s="263">
        <f>VLOOKUP($A160,T16Percentage,$C$4+'Table 16 data'!I$1,0)</f>
        <v>99.5</v>
      </c>
      <c r="I160" s="263">
        <f>VLOOKUP($A160,T16Percentage,$C$4+'Table 16 data'!J$1,0)</f>
        <v>344.7</v>
      </c>
      <c r="J160" s="263">
        <f>VLOOKUP($A160,T16Percentage,$C$4+'Table 16 data'!K$1,0)</f>
        <v>478.5</v>
      </c>
      <c r="K160" s="263">
        <f>VLOOKUP($A160,T16Percentage,$C$4+'Table 16 data'!L$1,0)</f>
        <v>97.9</v>
      </c>
      <c r="L160" s="263">
        <f>VLOOKUP($A160,T16Percentage,$C$4+'Table 16 data'!M$1,0)</f>
        <v>66.5</v>
      </c>
    </row>
    <row r="161" spans="1:12" ht="11.25" customHeight="1" x14ac:dyDescent="0.2">
      <c r="A161" s="125" t="s">
        <v>297</v>
      </c>
      <c r="B161" s="126" t="s">
        <v>298</v>
      </c>
      <c r="C161" s="262">
        <f>VLOOKUP($A161,T16Percentage,$C$4+'Table 16 data'!D$1,0)</f>
        <v>869</v>
      </c>
      <c r="D161" s="263">
        <f>VLOOKUP($A161,T16Percentage,$C$4+'Table 16 data'!E$1,0)</f>
        <v>79.3</v>
      </c>
      <c r="E161" s="263">
        <f>VLOOKUP($A161,T16Percentage,$C$4+'Table 16 data'!F$1,0)</f>
        <v>63.2</v>
      </c>
      <c r="F161" s="263">
        <f>VLOOKUP($A161,T16Percentage,$C$4+'Table 16 data'!G$1,0)</f>
        <v>95.3</v>
      </c>
      <c r="G161" s="263">
        <f>VLOOKUP($A161,T16Percentage,$C$4+'Table 16 data'!H$1,0)</f>
        <v>94.2</v>
      </c>
      <c r="H161" s="263">
        <f>VLOOKUP($A161,T16Percentage,$C$4+'Table 16 data'!I$1,0)</f>
        <v>98.6</v>
      </c>
      <c r="I161" s="263">
        <f>VLOOKUP($A161,T16Percentage,$C$4+'Table 16 data'!J$1,0)</f>
        <v>337.5</v>
      </c>
      <c r="J161" s="263">
        <f>VLOOKUP($A161,T16Percentage,$C$4+'Table 16 data'!K$1,0)</f>
        <v>454.1</v>
      </c>
      <c r="K161" s="263">
        <f>VLOOKUP($A161,T16Percentage,$C$4+'Table 16 data'!L$1,0)</f>
        <v>95.6</v>
      </c>
      <c r="L161" s="263">
        <f>VLOOKUP($A161,T16Percentage,$C$4+'Table 16 data'!M$1,0)</f>
        <v>65.5</v>
      </c>
    </row>
    <row r="162" spans="1:12" ht="11.25" customHeight="1" x14ac:dyDescent="0.2">
      <c r="A162" s="3"/>
      <c r="B162" s="26"/>
      <c r="C162" s="266"/>
      <c r="D162" s="218"/>
      <c r="E162" s="267"/>
      <c r="F162" s="267"/>
      <c r="G162" s="267"/>
      <c r="H162" s="267"/>
      <c r="I162" s="218"/>
      <c r="J162" s="267"/>
      <c r="K162" s="266"/>
      <c r="L162" s="266"/>
    </row>
    <row r="163" spans="1:12" s="27" customFormat="1" ht="11.25" customHeight="1" x14ac:dyDescent="0.2">
      <c r="A163" s="16" t="s">
        <v>388</v>
      </c>
      <c r="B163" s="17" t="s">
        <v>299</v>
      </c>
      <c r="C163" s="260">
        <f>VLOOKUP($A163,T16Percentage,$C$4+'Table 16 data'!D$1,0)</f>
        <v>28836</v>
      </c>
      <c r="D163" s="261">
        <f>VLOOKUP($A163,T16Percentage,$C$4+'Table 16 data'!E$1,0)</f>
        <v>75.8</v>
      </c>
      <c r="E163" s="261">
        <f>VLOOKUP($A163,T16Percentage,$C$4+'Table 16 data'!F$1,0)</f>
        <v>53.9</v>
      </c>
      <c r="F163" s="261">
        <f>VLOOKUP($A163,T16Percentage,$C$4+'Table 16 data'!G$1,0)</f>
        <v>95.1</v>
      </c>
      <c r="G163" s="261">
        <f>VLOOKUP($A163,T16Percentage,$C$4+'Table 16 data'!H$1,0)</f>
        <v>92.8</v>
      </c>
      <c r="H163" s="261">
        <f>VLOOKUP($A163,T16Percentage,$C$4+'Table 16 data'!I$1,0)</f>
        <v>99.3</v>
      </c>
      <c r="I163" s="261">
        <f>VLOOKUP($A163,T16Percentage,$C$4+'Table 16 data'!J$1,0)</f>
        <v>327.10000000000002</v>
      </c>
      <c r="J163" s="261">
        <f>VLOOKUP($A163,T16Percentage,$C$4+'Table 16 data'!K$1,0)</f>
        <v>437.5</v>
      </c>
      <c r="K163" s="261">
        <f>VLOOKUP($A163,T16Percentage,$C$4+'Table 16 data'!L$1,0)</f>
        <v>95.2</v>
      </c>
      <c r="L163" s="261">
        <f>VLOOKUP($A163,T16Percentage,$C$4+'Table 16 data'!M$1,0)</f>
        <v>55</v>
      </c>
    </row>
    <row r="164" spans="1:12" s="17" customFormat="1" ht="11.25" customHeight="1" x14ac:dyDescent="0.2">
      <c r="A164" s="125" t="s">
        <v>302</v>
      </c>
      <c r="B164" s="126" t="s">
        <v>303</v>
      </c>
      <c r="C164" s="262">
        <f>VLOOKUP($A164,T16Percentage,$C$4+'Table 16 data'!D$1,0)</f>
        <v>1076</v>
      </c>
      <c r="D164" s="263">
        <f>VLOOKUP($A164,T16Percentage,$C$4+'Table 16 data'!E$1,0)</f>
        <v>78.3</v>
      </c>
      <c r="E164" s="263">
        <f>VLOOKUP($A164,T16Percentage,$C$4+'Table 16 data'!F$1,0)</f>
        <v>58.1</v>
      </c>
      <c r="F164" s="263">
        <f>VLOOKUP($A164,T16Percentage,$C$4+'Table 16 data'!G$1,0)</f>
        <v>95.3</v>
      </c>
      <c r="G164" s="263">
        <f>VLOOKUP($A164,T16Percentage,$C$4+'Table 16 data'!H$1,0)</f>
        <v>94.3</v>
      </c>
      <c r="H164" s="263">
        <f>VLOOKUP($A164,T16Percentage,$C$4+'Table 16 data'!I$1,0)</f>
        <v>99.8</v>
      </c>
      <c r="I164" s="263">
        <f>VLOOKUP($A164,T16Percentage,$C$4+'Table 16 data'!J$1,0)</f>
        <v>335.2</v>
      </c>
      <c r="J164" s="263">
        <f>VLOOKUP($A164,T16Percentage,$C$4+'Table 16 data'!K$1,0)</f>
        <v>434.7</v>
      </c>
      <c r="K164" s="263">
        <f>VLOOKUP($A164,T16Percentage,$C$4+'Table 16 data'!L$1,0)</f>
        <v>96.4</v>
      </c>
      <c r="L164" s="263">
        <f>VLOOKUP($A164,T16Percentage,$C$4+'Table 16 data'!M$1,0)</f>
        <v>59.1</v>
      </c>
    </row>
    <row r="165" spans="1:12" ht="11.25" customHeight="1" x14ac:dyDescent="0.2">
      <c r="A165" s="125" t="s">
        <v>304</v>
      </c>
      <c r="B165" s="126" t="s">
        <v>305</v>
      </c>
      <c r="C165" s="262">
        <f>VLOOKUP($A165,T16Percentage,$C$4+'Table 16 data'!D$1,0)</f>
        <v>881</v>
      </c>
      <c r="D165" s="263">
        <f>VLOOKUP($A165,T16Percentage,$C$4+'Table 16 data'!E$1,0)</f>
        <v>80.900000000000006</v>
      </c>
      <c r="E165" s="263">
        <f>VLOOKUP($A165,T16Percentage,$C$4+'Table 16 data'!F$1,0)</f>
        <v>58</v>
      </c>
      <c r="F165" s="263">
        <f>VLOOKUP($A165,T16Percentage,$C$4+'Table 16 data'!G$1,0)</f>
        <v>93.2</v>
      </c>
      <c r="G165" s="263">
        <f>VLOOKUP($A165,T16Percentage,$C$4+'Table 16 data'!H$1,0)</f>
        <v>90.5</v>
      </c>
      <c r="H165" s="263">
        <f>VLOOKUP($A165,T16Percentage,$C$4+'Table 16 data'!I$1,0)</f>
        <v>98.9</v>
      </c>
      <c r="I165" s="263">
        <f>VLOOKUP($A165,T16Percentage,$C$4+'Table 16 data'!J$1,0)</f>
        <v>330.6</v>
      </c>
      <c r="J165" s="263">
        <f>VLOOKUP($A165,T16Percentage,$C$4+'Table 16 data'!K$1,0)</f>
        <v>462.6</v>
      </c>
      <c r="K165" s="263">
        <f>VLOOKUP($A165,T16Percentage,$C$4+'Table 16 data'!L$1,0)</f>
        <v>92.4</v>
      </c>
      <c r="L165" s="263">
        <f>VLOOKUP($A165,T16Percentage,$C$4+'Table 16 data'!M$1,0)</f>
        <v>59.7</v>
      </c>
    </row>
    <row r="166" spans="1:12" ht="11.25" customHeight="1" x14ac:dyDescent="0.2">
      <c r="A166" s="125" t="s">
        <v>306</v>
      </c>
      <c r="B166" s="126" t="s">
        <v>307</v>
      </c>
      <c r="C166" s="262">
        <f>VLOOKUP($A166,T16Percentage,$C$4+'Table 16 data'!D$1,0)</f>
        <v>1629</v>
      </c>
      <c r="D166" s="263">
        <f>VLOOKUP($A166,T16Percentage,$C$4+'Table 16 data'!E$1,0)</f>
        <v>76.5</v>
      </c>
      <c r="E166" s="263">
        <f>VLOOKUP($A166,T16Percentage,$C$4+'Table 16 data'!F$1,0)</f>
        <v>45.5</v>
      </c>
      <c r="F166" s="263">
        <f>VLOOKUP($A166,T16Percentage,$C$4+'Table 16 data'!G$1,0)</f>
        <v>90.4</v>
      </c>
      <c r="G166" s="263">
        <f>VLOOKUP($A166,T16Percentage,$C$4+'Table 16 data'!H$1,0)</f>
        <v>87.5</v>
      </c>
      <c r="H166" s="263">
        <f>VLOOKUP($A166,T16Percentage,$C$4+'Table 16 data'!I$1,0)</f>
        <v>98.4</v>
      </c>
      <c r="I166" s="263">
        <f>VLOOKUP($A166,T16Percentage,$C$4+'Table 16 data'!J$1,0)</f>
        <v>312</v>
      </c>
      <c r="J166" s="263">
        <f>VLOOKUP($A166,T16Percentage,$C$4+'Table 16 data'!K$1,0)</f>
        <v>414.8</v>
      </c>
      <c r="K166" s="263">
        <f>VLOOKUP($A166,T16Percentage,$C$4+'Table 16 data'!L$1,0)</f>
        <v>92.1</v>
      </c>
      <c r="L166" s="263">
        <f>VLOOKUP($A166,T16Percentage,$C$4+'Table 16 data'!M$1,0)</f>
        <v>46</v>
      </c>
    </row>
    <row r="167" spans="1:12" ht="11.25" customHeight="1" x14ac:dyDescent="0.2">
      <c r="A167" s="125" t="s">
        <v>308</v>
      </c>
      <c r="B167" s="126" t="s">
        <v>309</v>
      </c>
      <c r="C167" s="262">
        <f>VLOOKUP($A167,T16Percentage,$C$4+'Table 16 data'!D$1,0)</f>
        <v>2981</v>
      </c>
      <c r="D167" s="263">
        <f>VLOOKUP($A167,T16Percentage,$C$4+'Table 16 data'!E$1,0)</f>
        <v>73.8</v>
      </c>
      <c r="E167" s="263">
        <f>VLOOKUP($A167,T16Percentage,$C$4+'Table 16 data'!F$1,0)</f>
        <v>54.3</v>
      </c>
      <c r="F167" s="263">
        <f>VLOOKUP($A167,T16Percentage,$C$4+'Table 16 data'!G$1,0)</f>
        <v>96.2</v>
      </c>
      <c r="G167" s="263">
        <f>VLOOKUP($A167,T16Percentage,$C$4+'Table 16 data'!H$1,0)</f>
        <v>94.5</v>
      </c>
      <c r="H167" s="263">
        <f>VLOOKUP($A167,T16Percentage,$C$4+'Table 16 data'!I$1,0)</f>
        <v>99.4</v>
      </c>
      <c r="I167" s="263">
        <f>VLOOKUP($A167,T16Percentage,$C$4+'Table 16 data'!J$1,0)</f>
        <v>321.89999999999998</v>
      </c>
      <c r="J167" s="263">
        <f>VLOOKUP($A167,T16Percentage,$C$4+'Table 16 data'!K$1,0)</f>
        <v>436.2</v>
      </c>
      <c r="K167" s="263">
        <f>VLOOKUP($A167,T16Percentage,$C$4+'Table 16 data'!L$1,0)</f>
        <v>96.6</v>
      </c>
      <c r="L167" s="263">
        <f>VLOOKUP($A167,T16Percentage,$C$4+'Table 16 data'!M$1,0)</f>
        <v>56</v>
      </c>
    </row>
    <row r="168" spans="1:12" ht="11.25" customHeight="1" x14ac:dyDescent="0.2">
      <c r="A168" s="125" t="s">
        <v>310</v>
      </c>
      <c r="B168" s="126" t="s">
        <v>311</v>
      </c>
      <c r="C168" s="262">
        <f>VLOOKUP($A168,T16Percentage,$C$4+'Table 16 data'!D$1,0)</f>
        <v>4073</v>
      </c>
      <c r="D168" s="263">
        <f>VLOOKUP($A168,T16Percentage,$C$4+'Table 16 data'!E$1,0)</f>
        <v>72.900000000000006</v>
      </c>
      <c r="E168" s="263">
        <f>VLOOKUP($A168,T16Percentage,$C$4+'Table 16 data'!F$1,0)</f>
        <v>52.6</v>
      </c>
      <c r="F168" s="263">
        <f>VLOOKUP($A168,T16Percentage,$C$4+'Table 16 data'!G$1,0)</f>
        <v>95</v>
      </c>
      <c r="G168" s="263">
        <f>VLOOKUP($A168,T16Percentage,$C$4+'Table 16 data'!H$1,0)</f>
        <v>93.4</v>
      </c>
      <c r="H168" s="263">
        <f>VLOOKUP($A168,T16Percentage,$C$4+'Table 16 data'!I$1,0)</f>
        <v>99.3</v>
      </c>
      <c r="I168" s="263">
        <f>VLOOKUP($A168,T16Percentage,$C$4+'Table 16 data'!J$1,0)</f>
        <v>322.89999999999998</v>
      </c>
      <c r="J168" s="263">
        <f>VLOOKUP($A168,T16Percentage,$C$4+'Table 16 data'!K$1,0)</f>
        <v>426.5</v>
      </c>
      <c r="K168" s="263">
        <f>VLOOKUP($A168,T16Percentage,$C$4+'Table 16 data'!L$1,0)</f>
        <v>95.9</v>
      </c>
      <c r="L168" s="263">
        <f>VLOOKUP($A168,T16Percentage,$C$4+'Table 16 data'!M$1,0)</f>
        <v>53.9</v>
      </c>
    </row>
    <row r="169" spans="1:12" s="21" customFormat="1" ht="11.25" customHeight="1" x14ac:dyDescent="0.2">
      <c r="A169" s="125" t="s">
        <v>312</v>
      </c>
      <c r="B169" s="126" t="s">
        <v>313</v>
      </c>
      <c r="C169" s="262">
        <f>VLOOKUP($A169,T16Percentage,$C$4+'Table 16 data'!D$1,0)</f>
        <v>2243</v>
      </c>
      <c r="D169" s="263">
        <f>VLOOKUP($A169,T16Percentage,$C$4+'Table 16 data'!E$1,0)</f>
        <v>72</v>
      </c>
      <c r="E169" s="263">
        <f>VLOOKUP($A169,T16Percentage,$C$4+'Table 16 data'!F$1,0)</f>
        <v>53.1</v>
      </c>
      <c r="F169" s="263">
        <f>VLOOKUP($A169,T16Percentage,$C$4+'Table 16 data'!G$1,0)</f>
        <v>96.6</v>
      </c>
      <c r="G169" s="263">
        <f>VLOOKUP($A169,T16Percentage,$C$4+'Table 16 data'!H$1,0)</f>
        <v>95.1</v>
      </c>
      <c r="H169" s="263">
        <f>VLOOKUP($A169,T16Percentage,$C$4+'Table 16 data'!I$1,0)</f>
        <v>99.3</v>
      </c>
      <c r="I169" s="263">
        <f>VLOOKUP($A169,T16Percentage,$C$4+'Table 16 data'!J$1,0)</f>
        <v>326.7</v>
      </c>
      <c r="J169" s="263">
        <f>VLOOKUP($A169,T16Percentage,$C$4+'Table 16 data'!K$1,0)</f>
        <v>435.1</v>
      </c>
      <c r="K169" s="263">
        <f>VLOOKUP($A169,T16Percentage,$C$4+'Table 16 data'!L$1,0)</f>
        <v>97.1</v>
      </c>
      <c r="L169" s="263">
        <f>VLOOKUP($A169,T16Percentage,$C$4+'Table 16 data'!M$1,0)</f>
        <v>54.2</v>
      </c>
    </row>
    <row r="170" spans="1:12" ht="11.25" customHeight="1" x14ac:dyDescent="0.2">
      <c r="A170" s="125" t="s">
        <v>314</v>
      </c>
      <c r="B170" s="126" t="s">
        <v>315</v>
      </c>
      <c r="C170" s="262">
        <f>VLOOKUP($A170,T16Percentage,$C$4+'Table 16 data'!D$1,0)</f>
        <v>3433</v>
      </c>
      <c r="D170" s="263">
        <f>VLOOKUP($A170,T16Percentage,$C$4+'Table 16 data'!E$1,0)</f>
        <v>79.900000000000006</v>
      </c>
      <c r="E170" s="263">
        <f>VLOOKUP($A170,T16Percentage,$C$4+'Table 16 data'!F$1,0)</f>
        <v>57.2</v>
      </c>
      <c r="F170" s="263">
        <f>VLOOKUP($A170,T16Percentage,$C$4+'Table 16 data'!G$1,0)</f>
        <v>95.5</v>
      </c>
      <c r="G170" s="263">
        <f>VLOOKUP($A170,T16Percentage,$C$4+'Table 16 data'!H$1,0)</f>
        <v>92.3</v>
      </c>
      <c r="H170" s="263">
        <f>VLOOKUP($A170,T16Percentage,$C$4+'Table 16 data'!I$1,0)</f>
        <v>99.3</v>
      </c>
      <c r="I170" s="263">
        <f>VLOOKUP($A170,T16Percentage,$C$4+'Table 16 data'!J$1,0)</f>
        <v>338</v>
      </c>
      <c r="J170" s="263">
        <f>VLOOKUP($A170,T16Percentage,$C$4+'Table 16 data'!K$1,0)</f>
        <v>444</v>
      </c>
      <c r="K170" s="263">
        <f>VLOOKUP($A170,T16Percentage,$C$4+'Table 16 data'!L$1,0)</f>
        <v>94.4</v>
      </c>
      <c r="L170" s="263">
        <f>VLOOKUP($A170,T16Percentage,$C$4+'Table 16 data'!M$1,0)</f>
        <v>58.2</v>
      </c>
    </row>
    <row r="171" spans="1:12" s="21" customFormat="1" ht="11.25" customHeight="1" x14ac:dyDescent="0.2">
      <c r="A171" s="125" t="s">
        <v>300</v>
      </c>
      <c r="B171" s="126" t="s">
        <v>301</v>
      </c>
      <c r="C171" s="262">
        <f>VLOOKUP($A171,T16Percentage,$C$4+'Table 16 data'!D$1,0)</f>
        <v>10</v>
      </c>
      <c r="D171" s="263">
        <f>VLOOKUP($A171,T16Percentage,$C$4+'Table 16 data'!E$1,0)</f>
        <v>90</v>
      </c>
      <c r="E171" s="263">
        <f>VLOOKUP($A171,T16Percentage,$C$4+'Table 16 data'!F$1,0)</f>
        <v>90</v>
      </c>
      <c r="F171" s="263">
        <f>VLOOKUP($A171,T16Percentage,$C$4+'Table 16 data'!G$1,0)</f>
        <v>100</v>
      </c>
      <c r="G171" s="263">
        <f>VLOOKUP($A171,T16Percentage,$C$4+'Table 16 data'!H$1,0)</f>
        <v>100</v>
      </c>
      <c r="H171" s="263">
        <f>VLOOKUP($A171,T16Percentage,$C$4+'Table 16 data'!I$1,0)</f>
        <v>100</v>
      </c>
      <c r="I171" s="263">
        <f>VLOOKUP($A171,T16Percentage,$C$4+'Table 16 data'!J$1,0)</f>
        <v>356.7</v>
      </c>
      <c r="J171" s="263">
        <f>VLOOKUP($A171,T16Percentage,$C$4+'Table 16 data'!K$1,0)</f>
        <v>422.9</v>
      </c>
      <c r="K171" s="263">
        <f>VLOOKUP($A171,T16Percentage,$C$4+'Table 16 data'!L$1,0)</f>
        <v>100</v>
      </c>
      <c r="L171" s="263">
        <f>VLOOKUP($A171,T16Percentage,$C$4+'Table 16 data'!M$1,0)</f>
        <v>90</v>
      </c>
    </row>
    <row r="172" spans="1:12" ht="11.25" customHeight="1" x14ac:dyDescent="0.2">
      <c r="A172" s="125" t="s">
        <v>316</v>
      </c>
      <c r="B172" s="126" t="s">
        <v>317</v>
      </c>
      <c r="C172" s="262">
        <f>VLOOKUP($A172,T16Percentage,$C$4+'Table 16 data'!D$1,0)</f>
        <v>1191</v>
      </c>
      <c r="D172" s="263">
        <f>VLOOKUP($A172,T16Percentage,$C$4+'Table 16 data'!E$1,0)</f>
        <v>74.2</v>
      </c>
      <c r="E172" s="263">
        <f>VLOOKUP($A172,T16Percentage,$C$4+'Table 16 data'!F$1,0)</f>
        <v>54.6</v>
      </c>
      <c r="F172" s="263">
        <f>VLOOKUP($A172,T16Percentage,$C$4+'Table 16 data'!G$1,0)</f>
        <v>95.2</v>
      </c>
      <c r="G172" s="263">
        <f>VLOOKUP($A172,T16Percentage,$C$4+'Table 16 data'!H$1,0)</f>
        <v>93.5</v>
      </c>
      <c r="H172" s="263">
        <f>VLOOKUP($A172,T16Percentage,$C$4+'Table 16 data'!I$1,0)</f>
        <v>98.9</v>
      </c>
      <c r="I172" s="263">
        <f>VLOOKUP($A172,T16Percentage,$C$4+'Table 16 data'!J$1,0)</f>
        <v>327.10000000000002</v>
      </c>
      <c r="J172" s="263">
        <f>VLOOKUP($A172,T16Percentage,$C$4+'Table 16 data'!K$1,0)</f>
        <v>449.5</v>
      </c>
      <c r="K172" s="263">
        <f>VLOOKUP($A172,T16Percentage,$C$4+'Table 16 data'!L$1,0)</f>
        <v>95.8</v>
      </c>
      <c r="L172" s="263">
        <f>VLOOKUP($A172,T16Percentage,$C$4+'Table 16 data'!M$1,0)</f>
        <v>55.3</v>
      </c>
    </row>
    <row r="173" spans="1:12" ht="11.25" customHeight="1" x14ac:dyDescent="0.2">
      <c r="A173" s="125" t="s">
        <v>318</v>
      </c>
      <c r="B173" s="126" t="s">
        <v>319</v>
      </c>
      <c r="C173" s="262">
        <f>VLOOKUP($A173,T16Percentage,$C$4+'Table 16 data'!D$1,0)</f>
        <v>1393</v>
      </c>
      <c r="D173" s="263">
        <f>VLOOKUP($A173,T16Percentage,$C$4+'Table 16 data'!E$1,0)</f>
        <v>82.1</v>
      </c>
      <c r="E173" s="263">
        <f>VLOOKUP($A173,T16Percentage,$C$4+'Table 16 data'!F$1,0)</f>
        <v>55.3</v>
      </c>
      <c r="F173" s="263">
        <f>VLOOKUP($A173,T16Percentage,$C$4+'Table 16 data'!G$1,0)</f>
        <v>94.9</v>
      </c>
      <c r="G173" s="263">
        <f>VLOOKUP($A173,T16Percentage,$C$4+'Table 16 data'!H$1,0)</f>
        <v>93.8</v>
      </c>
      <c r="H173" s="263">
        <f>VLOOKUP($A173,T16Percentage,$C$4+'Table 16 data'!I$1,0)</f>
        <v>98.8</v>
      </c>
      <c r="I173" s="263">
        <f>VLOOKUP($A173,T16Percentage,$C$4+'Table 16 data'!J$1,0)</f>
        <v>329.7</v>
      </c>
      <c r="J173" s="263">
        <f>VLOOKUP($A173,T16Percentage,$C$4+'Table 16 data'!K$1,0)</f>
        <v>445.6</v>
      </c>
      <c r="K173" s="263">
        <f>VLOOKUP($A173,T16Percentage,$C$4+'Table 16 data'!L$1,0)</f>
        <v>95.5</v>
      </c>
      <c r="L173" s="263">
        <f>VLOOKUP($A173,T16Percentage,$C$4+'Table 16 data'!M$1,0)</f>
        <v>56.1</v>
      </c>
    </row>
    <row r="174" spans="1:12" ht="11.25" customHeight="1" x14ac:dyDescent="0.2">
      <c r="A174" s="125" t="s">
        <v>320</v>
      </c>
      <c r="B174" s="126" t="s">
        <v>321</v>
      </c>
      <c r="C174" s="262">
        <f>VLOOKUP($A174,T16Percentage,$C$4+'Table 16 data'!D$1,0)</f>
        <v>805</v>
      </c>
      <c r="D174" s="263">
        <f>VLOOKUP($A174,T16Percentage,$C$4+'Table 16 data'!E$1,0)</f>
        <v>77.8</v>
      </c>
      <c r="E174" s="263">
        <f>VLOOKUP($A174,T16Percentage,$C$4+'Table 16 data'!F$1,0)</f>
        <v>58.6</v>
      </c>
      <c r="F174" s="263">
        <f>VLOOKUP($A174,T16Percentage,$C$4+'Table 16 data'!G$1,0)</f>
        <v>95.4</v>
      </c>
      <c r="G174" s="263">
        <f>VLOOKUP($A174,T16Percentage,$C$4+'Table 16 data'!H$1,0)</f>
        <v>95</v>
      </c>
      <c r="H174" s="263">
        <f>VLOOKUP($A174,T16Percentage,$C$4+'Table 16 data'!I$1,0)</f>
        <v>98.9</v>
      </c>
      <c r="I174" s="263">
        <f>VLOOKUP($A174,T16Percentage,$C$4+'Table 16 data'!J$1,0)</f>
        <v>336.4</v>
      </c>
      <c r="J174" s="263">
        <f>VLOOKUP($A174,T16Percentage,$C$4+'Table 16 data'!K$1,0)</f>
        <v>442.9</v>
      </c>
      <c r="K174" s="263">
        <f>VLOOKUP($A174,T16Percentage,$C$4+'Table 16 data'!L$1,0)</f>
        <v>96.9</v>
      </c>
      <c r="L174" s="263">
        <f>VLOOKUP($A174,T16Percentage,$C$4+'Table 16 data'!M$1,0)</f>
        <v>60.1</v>
      </c>
    </row>
    <row r="175" spans="1:12" ht="11.25" customHeight="1" x14ac:dyDescent="0.2">
      <c r="A175" s="125" t="s">
        <v>322</v>
      </c>
      <c r="B175" s="126" t="s">
        <v>323</v>
      </c>
      <c r="C175" s="262">
        <f>VLOOKUP($A175,T16Percentage,$C$4+'Table 16 data'!D$1,0)</f>
        <v>2899</v>
      </c>
      <c r="D175" s="263">
        <f>VLOOKUP($A175,T16Percentage,$C$4+'Table 16 data'!E$1,0)</f>
        <v>76</v>
      </c>
      <c r="E175" s="263">
        <f>VLOOKUP($A175,T16Percentage,$C$4+'Table 16 data'!F$1,0)</f>
        <v>53</v>
      </c>
      <c r="F175" s="263">
        <f>VLOOKUP($A175,T16Percentage,$C$4+'Table 16 data'!G$1,0)</f>
        <v>96</v>
      </c>
      <c r="G175" s="263">
        <f>VLOOKUP($A175,T16Percentage,$C$4+'Table 16 data'!H$1,0)</f>
        <v>94.3</v>
      </c>
      <c r="H175" s="263">
        <f>VLOOKUP($A175,T16Percentage,$C$4+'Table 16 data'!I$1,0)</f>
        <v>99.4</v>
      </c>
      <c r="I175" s="263">
        <f>VLOOKUP($A175,T16Percentage,$C$4+'Table 16 data'!J$1,0)</f>
        <v>329.1</v>
      </c>
      <c r="J175" s="263">
        <f>VLOOKUP($A175,T16Percentage,$C$4+'Table 16 data'!K$1,0)</f>
        <v>442.4</v>
      </c>
      <c r="K175" s="263">
        <f>VLOOKUP($A175,T16Percentage,$C$4+'Table 16 data'!L$1,0)</f>
        <v>96.8</v>
      </c>
      <c r="L175" s="263">
        <f>VLOOKUP($A175,T16Percentage,$C$4+'Table 16 data'!M$1,0)</f>
        <v>53.8</v>
      </c>
    </row>
    <row r="176" spans="1:12" ht="11.25" customHeight="1" x14ac:dyDescent="0.2">
      <c r="A176" s="125" t="s">
        <v>324</v>
      </c>
      <c r="B176" s="126" t="s">
        <v>325</v>
      </c>
      <c r="C176" s="262">
        <f>VLOOKUP($A176,T16Percentage,$C$4+'Table 16 data'!D$1,0)</f>
        <v>1660</v>
      </c>
      <c r="D176" s="263">
        <f>VLOOKUP($A176,T16Percentage,$C$4+'Table 16 data'!E$1,0)</f>
        <v>76.599999999999994</v>
      </c>
      <c r="E176" s="263">
        <f>VLOOKUP($A176,T16Percentage,$C$4+'Table 16 data'!F$1,0)</f>
        <v>53.3</v>
      </c>
      <c r="F176" s="263">
        <f>VLOOKUP($A176,T16Percentage,$C$4+'Table 16 data'!G$1,0)</f>
        <v>94.6</v>
      </c>
      <c r="G176" s="263">
        <f>VLOOKUP($A176,T16Percentage,$C$4+'Table 16 data'!H$1,0)</f>
        <v>93</v>
      </c>
      <c r="H176" s="263">
        <f>VLOOKUP($A176,T16Percentage,$C$4+'Table 16 data'!I$1,0)</f>
        <v>99.4</v>
      </c>
      <c r="I176" s="263">
        <f>VLOOKUP($A176,T16Percentage,$C$4+'Table 16 data'!J$1,0)</f>
        <v>324.7</v>
      </c>
      <c r="J176" s="263">
        <f>VLOOKUP($A176,T16Percentage,$C$4+'Table 16 data'!K$1,0)</f>
        <v>436.7</v>
      </c>
      <c r="K176" s="263">
        <f>VLOOKUP($A176,T16Percentage,$C$4+'Table 16 data'!L$1,0)</f>
        <v>95.4</v>
      </c>
      <c r="L176" s="263">
        <f>VLOOKUP($A176,T16Percentage,$C$4+'Table 16 data'!M$1,0)</f>
        <v>54.5</v>
      </c>
    </row>
    <row r="177" spans="1:12" s="21" customFormat="1" ht="11.25" customHeight="1" x14ac:dyDescent="0.2">
      <c r="A177" s="125" t="s">
        <v>326</v>
      </c>
      <c r="B177" s="126" t="s">
        <v>327</v>
      </c>
      <c r="C177" s="262">
        <f>VLOOKUP($A177,T16Percentage,$C$4+'Table 16 data'!D$1,0)</f>
        <v>1174</v>
      </c>
      <c r="D177" s="263">
        <f>VLOOKUP($A177,T16Percentage,$C$4+'Table 16 data'!E$1,0)</f>
        <v>71.7</v>
      </c>
      <c r="E177" s="263">
        <f>VLOOKUP($A177,T16Percentage,$C$4+'Table 16 data'!F$1,0)</f>
        <v>50.5</v>
      </c>
      <c r="F177" s="263">
        <f>VLOOKUP($A177,T16Percentage,$C$4+'Table 16 data'!G$1,0)</f>
        <v>93</v>
      </c>
      <c r="G177" s="263">
        <f>VLOOKUP($A177,T16Percentage,$C$4+'Table 16 data'!H$1,0)</f>
        <v>91</v>
      </c>
      <c r="H177" s="263">
        <f>VLOOKUP($A177,T16Percentage,$C$4+'Table 16 data'!I$1,0)</f>
        <v>98.7</v>
      </c>
      <c r="I177" s="263">
        <f>VLOOKUP($A177,T16Percentage,$C$4+'Table 16 data'!J$1,0)</f>
        <v>313.89999999999998</v>
      </c>
      <c r="J177" s="263">
        <f>VLOOKUP($A177,T16Percentage,$C$4+'Table 16 data'!K$1,0)</f>
        <v>436.6</v>
      </c>
      <c r="K177" s="263">
        <f>VLOOKUP($A177,T16Percentage,$C$4+'Table 16 data'!L$1,0)</f>
        <v>95</v>
      </c>
      <c r="L177" s="263">
        <f>VLOOKUP($A177,T16Percentage,$C$4+'Table 16 data'!M$1,0)</f>
        <v>52</v>
      </c>
    </row>
    <row r="178" spans="1:12" ht="11.25" customHeight="1" x14ac:dyDescent="0.2">
      <c r="A178" s="125" t="s">
        <v>328</v>
      </c>
      <c r="B178" s="126" t="s">
        <v>329</v>
      </c>
      <c r="C178" s="262">
        <f>VLOOKUP($A178,T16Percentage,$C$4+'Table 16 data'!D$1,0)</f>
        <v>757</v>
      </c>
      <c r="D178" s="263">
        <f>VLOOKUP($A178,T16Percentage,$C$4+'Table 16 data'!E$1,0)</f>
        <v>75.400000000000006</v>
      </c>
      <c r="E178" s="263">
        <f>VLOOKUP($A178,T16Percentage,$C$4+'Table 16 data'!F$1,0)</f>
        <v>55.9</v>
      </c>
      <c r="F178" s="263">
        <f>VLOOKUP($A178,T16Percentage,$C$4+'Table 16 data'!G$1,0)</f>
        <v>95.8</v>
      </c>
      <c r="G178" s="263">
        <f>VLOOKUP($A178,T16Percentage,$C$4+'Table 16 data'!H$1,0)</f>
        <v>93.1</v>
      </c>
      <c r="H178" s="263">
        <f>VLOOKUP($A178,T16Percentage,$C$4+'Table 16 data'!I$1,0)</f>
        <v>100</v>
      </c>
      <c r="I178" s="263">
        <f>VLOOKUP($A178,T16Percentage,$C$4+'Table 16 data'!J$1,0)</f>
        <v>333.1</v>
      </c>
      <c r="J178" s="263">
        <f>VLOOKUP($A178,T16Percentage,$C$4+'Table 16 data'!K$1,0)</f>
        <v>446.5</v>
      </c>
      <c r="K178" s="263">
        <f>VLOOKUP($A178,T16Percentage,$C$4+'Table 16 data'!L$1,0)</f>
        <v>96</v>
      </c>
      <c r="L178" s="263">
        <f>VLOOKUP($A178,T16Percentage,$C$4+'Table 16 data'!M$1,0)</f>
        <v>56.9</v>
      </c>
    </row>
    <row r="179" spans="1:12" s="21" customFormat="1" ht="11.25" customHeight="1" x14ac:dyDescent="0.2">
      <c r="A179" s="125" t="s">
        <v>330</v>
      </c>
      <c r="B179" s="126" t="s">
        <v>331</v>
      </c>
      <c r="C179" s="262">
        <f>VLOOKUP($A179,T16Percentage,$C$4+'Table 16 data'!D$1,0)</f>
        <v>2631</v>
      </c>
      <c r="D179" s="263">
        <f>VLOOKUP($A179,T16Percentage,$C$4+'Table 16 data'!E$1,0)</f>
        <v>75.8</v>
      </c>
      <c r="E179" s="263">
        <f>VLOOKUP($A179,T16Percentage,$C$4+'Table 16 data'!F$1,0)</f>
        <v>53.6</v>
      </c>
      <c r="F179" s="263">
        <f>VLOOKUP($A179,T16Percentage,$C$4+'Table 16 data'!G$1,0)</f>
        <v>95.4</v>
      </c>
      <c r="G179" s="263">
        <f>VLOOKUP($A179,T16Percentage,$C$4+'Table 16 data'!H$1,0)</f>
        <v>89.4</v>
      </c>
      <c r="H179" s="263">
        <f>VLOOKUP($A179,T16Percentage,$C$4+'Table 16 data'!I$1,0)</f>
        <v>99.5</v>
      </c>
      <c r="I179" s="263">
        <f>VLOOKUP($A179,T16Percentage,$C$4+'Table 16 data'!J$1,0)</f>
        <v>330.1</v>
      </c>
      <c r="J179" s="263">
        <f>VLOOKUP($A179,T16Percentage,$C$4+'Table 16 data'!K$1,0)</f>
        <v>438.3</v>
      </c>
      <c r="K179" s="263">
        <f>VLOOKUP($A179,T16Percentage,$C$4+'Table 16 data'!L$1,0)</f>
        <v>91.7</v>
      </c>
      <c r="L179" s="263">
        <f>VLOOKUP($A179,T16Percentage,$C$4+'Table 16 data'!M$1,0)</f>
        <v>54.4</v>
      </c>
    </row>
    <row r="180" spans="1:12" ht="11.25" customHeight="1" x14ac:dyDescent="0.2">
      <c r="A180" s="26"/>
      <c r="B180" s="26"/>
      <c r="C180" s="266"/>
      <c r="D180" s="218"/>
      <c r="E180" s="267"/>
      <c r="F180" s="267"/>
      <c r="G180" s="267"/>
      <c r="H180" s="267"/>
      <c r="I180" s="218"/>
      <c r="J180" s="267"/>
      <c r="K180" s="266"/>
      <c r="L180" s="266"/>
    </row>
    <row r="181" spans="1:12" s="34" customFormat="1" ht="11.25" customHeight="1" x14ac:dyDescent="0.2">
      <c r="A181" s="32" t="s">
        <v>444</v>
      </c>
      <c r="B181" s="33"/>
      <c r="C181" s="260">
        <f>VLOOKUP($A181,T16Percentage,$C$4+'Table 16 data'!D$1,0)</f>
        <v>289800</v>
      </c>
      <c r="D181" s="261">
        <f>VLOOKUP($A181,T16Percentage,$C$4+'Table 16 data'!E$1,0)</f>
        <v>79.8</v>
      </c>
      <c r="E181" s="261">
        <f>VLOOKUP($A181,T16Percentage,$C$4+'Table 16 data'!F$1,0)</f>
        <v>55.9</v>
      </c>
      <c r="F181" s="261">
        <f>VLOOKUP($A181,T16Percentage,$C$4+'Table 16 data'!G$1,0)</f>
        <v>95</v>
      </c>
      <c r="G181" s="261">
        <f>VLOOKUP($A181,T16Percentage,$C$4+'Table 16 data'!H$1,0)</f>
        <v>93.2</v>
      </c>
      <c r="H181" s="261">
        <f>VLOOKUP($A181,T16Percentage,$C$4+'Table 16 data'!I$1,0)</f>
        <v>99.2</v>
      </c>
      <c r="I181" s="261">
        <f>VLOOKUP($A181,T16Percentage,$C$4+'Table 16 data'!J$1,0)</f>
        <v>330.8</v>
      </c>
      <c r="J181" s="261">
        <f>VLOOKUP($A181,T16Percentage,$C$4+'Table 16 data'!K$1,0)</f>
        <v>447.6</v>
      </c>
      <c r="K181" s="261">
        <f>VLOOKUP($A181,T16Percentage,$C$4+'Table 16 data'!L$1,0)</f>
        <v>95.9</v>
      </c>
      <c r="L181" s="261">
        <f>VLOOKUP($A181,T16Percentage,$C$4+'Table 16 data'!M$1,0)</f>
        <v>56.8</v>
      </c>
    </row>
    <row r="182" spans="1:12" s="35" customFormat="1" ht="11.25" customHeight="1" x14ac:dyDescent="0.2">
      <c r="A182" s="32"/>
      <c r="B182" s="174"/>
      <c r="C182" s="262"/>
      <c r="D182" s="263"/>
      <c r="E182" s="263"/>
      <c r="F182" s="263"/>
      <c r="G182" s="263"/>
      <c r="H182" s="263"/>
      <c r="I182" s="263"/>
      <c r="J182" s="263"/>
      <c r="K182" s="263"/>
      <c r="L182" s="263"/>
    </row>
    <row r="183" spans="1:12" s="34" customFormat="1" ht="11.25" x14ac:dyDescent="0.2">
      <c r="A183" s="36" t="s">
        <v>361</v>
      </c>
      <c r="B183" s="33" t="s">
        <v>332</v>
      </c>
      <c r="C183" s="260">
        <f>VLOOKUP($A183,T16Percentage,$C$4+'Table 16 data'!D$1,0)</f>
        <v>323971</v>
      </c>
      <c r="D183" s="261">
        <f>VLOOKUP($A183,T16Percentage,$C$4+'Table 16 data'!E$1,0)</f>
        <v>78</v>
      </c>
      <c r="E183" s="261">
        <f>VLOOKUP($A183,T16Percentage,$C$4+'Table 16 data'!F$1,0)</f>
        <v>53.8</v>
      </c>
      <c r="F183" s="261">
        <f>VLOOKUP($A183,T16Percentage,$C$4+'Table 16 data'!G$1,0)</f>
        <v>92.9</v>
      </c>
      <c r="G183" s="261">
        <f>VLOOKUP($A183,T16Percentage,$C$4+'Table 16 data'!H$1,0)</f>
        <v>88.5</v>
      </c>
      <c r="H183" s="261">
        <f>VLOOKUP($A183,T16Percentage,$C$4+'Table 16 data'!I$1,0)</f>
        <v>99.3</v>
      </c>
      <c r="I183" s="261">
        <f>VLOOKUP($A183,T16Percentage,$C$4+'Table 16 data'!J$1,0)</f>
        <v>326.89999999999998</v>
      </c>
      <c r="J183" s="261">
        <f>VLOOKUP($A183,T16Percentage,$C$4+'Table 16 data'!K$1,0)</f>
        <v>435.9</v>
      </c>
      <c r="K183" s="261">
        <f>VLOOKUP($A183,T16Percentage,$C$4+'Table 16 data'!L$1,0)</f>
        <v>91.7</v>
      </c>
      <c r="L183" s="261">
        <f>VLOOKUP($A183,T16Percentage,$C$4+'Table 16 data'!M$1,0)</f>
        <v>54.7</v>
      </c>
    </row>
    <row r="184" spans="1:12" ht="11.25" customHeight="1" x14ac:dyDescent="0.2">
      <c r="A184" s="37"/>
      <c r="B184" s="37"/>
      <c r="C184" s="172"/>
      <c r="D184" s="173"/>
      <c r="E184" s="173"/>
      <c r="F184" s="173"/>
      <c r="G184" s="173"/>
      <c r="H184" s="173"/>
      <c r="I184" s="173"/>
      <c r="J184" s="173"/>
      <c r="K184" s="173"/>
      <c r="L184" s="173"/>
    </row>
    <row r="185" spans="1:12" ht="11.25" customHeight="1" x14ac:dyDescent="0.2">
      <c r="A185" s="155"/>
      <c r="B185" s="26"/>
      <c r="C185" s="26"/>
      <c r="D185" s="156"/>
      <c r="E185" s="157"/>
      <c r="F185" s="157"/>
      <c r="G185" s="157"/>
      <c r="H185" s="157"/>
      <c r="I185" s="150"/>
      <c r="J185" s="151"/>
      <c r="K185" s="26"/>
      <c r="L185" s="140" t="s">
        <v>393</v>
      </c>
    </row>
    <row r="186" spans="1:12" s="38" customFormat="1" ht="33.75" customHeight="1" x14ac:dyDescent="0.2">
      <c r="A186" s="504" t="s">
        <v>442</v>
      </c>
      <c r="B186" s="504"/>
      <c r="C186" s="504"/>
      <c r="D186" s="504"/>
      <c r="E186" s="504"/>
      <c r="F186" s="504"/>
      <c r="G186" s="504"/>
      <c r="H186" s="504"/>
      <c r="I186" s="504"/>
      <c r="J186" s="504"/>
      <c r="K186" s="504"/>
      <c r="L186" s="504"/>
    </row>
    <row r="187" spans="1:12" s="39" customFormat="1" ht="11.25" customHeight="1" x14ac:dyDescent="0.2">
      <c r="A187" s="507" t="s">
        <v>447</v>
      </c>
      <c r="B187" s="507"/>
      <c r="C187" s="507"/>
      <c r="D187" s="507"/>
      <c r="E187" s="507"/>
      <c r="F187" s="147"/>
      <c r="G187" s="147"/>
      <c r="H187" s="147"/>
      <c r="I187" s="158"/>
      <c r="J187" s="158"/>
      <c r="K187" s="158"/>
      <c r="L187" s="158"/>
    </row>
    <row r="188" spans="1:12" s="39" customFormat="1" ht="11.25" customHeight="1" x14ac:dyDescent="0.2">
      <c r="A188" s="507" t="s">
        <v>367</v>
      </c>
      <c r="B188" s="507"/>
      <c r="C188" s="507"/>
      <c r="D188" s="507"/>
      <c r="E188" s="507"/>
      <c r="F188" s="507"/>
      <c r="G188" s="147"/>
      <c r="H188" s="147"/>
      <c r="I188" s="19"/>
      <c r="J188" s="19"/>
      <c r="K188" s="158"/>
      <c r="L188" s="158"/>
    </row>
    <row r="189" spans="1:12" s="39" customFormat="1" ht="11.25" x14ac:dyDescent="0.2">
      <c r="A189" s="479" t="s">
        <v>746</v>
      </c>
      <c r="B189" s="479"/>
      <c r="C189" s="479"/>
      <c r="D189" s="479"/>
      <c r="E189" s="479"/>
      <c r="F189" s="479"/>
      <c r="G189" s="479"/>
      <c r="H189" s="479"/>
      <c r="I189" s="479"/>
      <c r="J189" s="479"/>
      <c r="K189" s="479"/>
      <c r="L189" s="479"/>
    </row>
    <row r="190" spans="1:12" ht="11.25" customHeight="1" x14ac:dyDescent="0.2">
      <c r="A190" s="26"/>
      <c r="B190" s="26"/>
      <c r="C190" s="26"/>
      <c r="D190" s="150"/>
      <c r="E190" s="151"/>
      <c r="F190" s="151"/>
      <c r="G190" s="151"/>
      <c r="H190" s="151"/>
      <c r="I190" s="150"/>
      <c r="J190" s="151"/>
      <c r="K190" s="26"/>
      <c r="L190" s="26"/>
    </row>
    <row r="191" spans="1:12" ht="11.25" customHeight="1" x14ac:dyDescent="0.2">
      <c r="A191" s="3" t="s">
        <v>349</v>
      </c>
      <c r="B191" s="5"/>
      <c r="C191" s="26"/>
      <c r="D191" s="150"/>
      <c r="E191" s="151"/>
      <c r="F191" s="151"/>
      <c r="G191" s="151"/>
      <c r="H191" s="151"/>
      <c r="I191" s="150"/>
      <c r="J191" s="151"/>
      <c r="K191" s="26"/>
      <c r="L191" s="26"/>
    </row>
    <row r="192" spans="1:12" ht="11.25" customHeight="1" x14ac:dyDescent="0.2">
      <c r="A192" s="2"/>
      <c r="B192" s="5"/>
    </row>
    <row r="196" spans="1:10" ht="9.9499999999999993" customHeight="1" x14ac:dyDescent="0.2">
      <c r="A196" s="17"/>
      <c r="I196" s="19"/>
      <c r="J196" s="19"/>
    </row>
    <row r="201" spans="1:10" ht="9.9499999999999993" customHeight="1" x14ac:dyDescent="0.2">
      <c r="B201" s="18"/>
      <c r="C201" s="18"/>
      <c r="D201" s="19"/>
      <c r="E201" s="19"/>
      <c r="F201" s="19"/>
      <c r="G201" s="19"/>
      <c r="H201" s="19"/>
      <c r="I201" s="19"/>
      <c r="J201" s="19"/>
    </row>
  </sheetData>
  <sheetProtection sheet="1"/>
  <mergeCells count="12">
    <mergeCell ref="A1:I1"/>
    <mergeCell ref="K5:L5"/>
    <mergeCell ref="A2:B2"/>
    <mergeCell ref="C5:C6"/>
    <mergeCell ref="D5:H5"/>
    <mergeCell ref="I5:I6"/>
    <mergeCell ref="A186:L186"/>
    <mergeCell ref="J5:J6"/>
    <mergeCell ref="A187:E187"/>
    <mergeCell ref="A188:F188"/>
    <mergeCell ref="K2:L2"/>
    <mergeCell ref="A189:L189"/>
  </mergeCells>
  <dataValidations count="1">
    <dataValidation type="list" allowBlank="1" showInputMessage="1" showErrorMessage="1" sqref="L3" xr:uid="{BF63C9D2-31ED-439F-8D68-193316D166F4}">
      <formula1>Gender</formula1>
    </dataValidation>
  </dataValidations>
  <pageMargins left="0.74803149606299213" right="0.74803149606299213" top="0.98425196850393704" bottom="0.98425196850393704" header="0.51181102362204722" footer="0.51181102362204722"/>
  <pageSetup paperSize="9" scale="65" fitToHeight="0" orientation="landscape"/>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F97CC-1533-4C61-9300-6DC504F3E6D5}">
  <sheetPr>
    <tabColor indexed="42"/>
  </sheetPr>
  <dimension ref="A1:F173"/>
  <sheetViews>
    <sheetView workbookViewId="0">
      <selection activeCell="F1" sqref="F1"/>
    </sheetView>
  </sheetViews>
  <sheetFormatPr defaultRowHeight="12.75" x14ac:dyDescent="0.2"/>
  <sheetData>
    <row r="1" spans="1:6" ht="45" x14ac:dyDescent="0.2">
      <c r="A1" s="210" t="s">
        <v>378</v>
      </c>
      <c r="B1" s="545"/>
      <c r="C1" s="545"/>
      <c r="D1" s="210" t="s">
        <v>379</v>
      </c>
      <c r="E1" s="544" t="s">
        <v>453</v>
      </c>
      <c r="F1" s="165" t="s">
        <v>12</v>
      </c>
    </row>
    <row r="2" spans="1:6" x14ac:dyDescent="0.2">
      <c r="A2" s="16" t="s">
        <v>380</v>
      </c>
      <c r="D2" s="17" t="s">
        <v>17</v>
      </c>
      <c r="E2" s="260">
        <v>14171</v>
      </c>
      <c r="F2" s="261">
        <v>90.4</v>
      </c>
    </row>
    <row r="3" spans="1:6" x14ac:dyDescent="0.2">
      <c r="A3" s="125" t="s">
        <v>354</v>
      </c>
      <c r="D3" s="126" t="s">
        <v>20</v>
      </c>
      <c r="E3" s="262">
        <v>2684</v>
      </c>
      <c r="F3" s="263">
        <v>93.7</v>
      </c>
    </row>
    <row r="4" spans="1:6" x14ac:dyDescent="0.2">
      <c r="A4" s="125" t="s">
        <v>18</v>
      </c>
      <c r="D4" s="126" t="s">
        <v>19</v>
      </c>
      <c r="E4" s="262">
        <v>558</v>
      </c>
      <c r="F4" s="263">
        <v>92.7</v>
      </c>
    </row>
    <row r="5" spans="1:6" x14ac:dyDescent="0.2">
      <c r="A5" s="125" t="s">
        <v>21</v>
      </c>
      <c r="D5" s="126" t="s">
        <v>22</v>
      </c>
      <c r="E5" s="262">
        <v>1076</v>
      </c>
      <c r="F5" s="263">
        <v>92.8</v>
      </c>
    </row>
    <row r="6" spans="1:6" x14ac:dyDescent="0.2">
      <c r="A6" s="125" t="s">
        <v>23</v>
      </c>
      <c r="D6" s="126" t="s">
        <v>24</v>
      </c>
      <c r="E6" s="262">
        <v>585</v>
      </c>
      <c r="F6" s="263">
        <v>86.5</v>
      </c>
    </row>
    <row r="7" spans="1:6" x14ac:dyDescent="0.2">
      <c r="A7" s="125" t="s">
        <v>25</v>
      </c>
      <c r="D7" s="126" t="s">
        <v>26</v>
      </c>
      <c r="E7" s="262">
        <v>752</v>
      </c>
      <c r="F7" s="263">
        <v>84</v>
      </c>
    </row>
    <row r="8" spans="1:6" x14ac:dyDescent="0.2">
      <c r="A8" s="125" t="s">
        <v>27</v>
      </c>
      <c r="D8" s="126" t="s">
        <v>28</v>
      </c>
      <c r="E8" s="262">
        <v>1259</v>
      </c>
      <c r="F8" s="263">
        <v>92.1</v>
      </c>
    </row>
    <row r="9" spans="1:6" x14ac:dyDescent="0.2">
      <c r="A9" s="125" t="s">
        <v>29</v>
      </c>
      <c r="D9" s="126" t="s">
        <v>30</v>
      </c>
      <c r="E9" s="262">
        <v>1041</v>
      </c>
      <c r="F9" s="263">
        <v>92.6</v>
      </c>
    </row>
    <row r="10" spans="1:6" x14ac:dyDescent="0.2">
      <c r="A10" s="125" t="s">
        <v>31</v>
      </c>
      <c r="D10" s="126" t="s">
        <v>32</v>
      </c>
      <c r="E10" s="262">
        <v>1774</v>
      </c>
      <c r="F10" s="263">
        <v>87.9</v>
      </c>
    </row>
    <row r="11" spans="1:6" x14ac:dyDescent="0.2">
      <c r="A11" s="125" t="s">
        <v>33</v>
      </c>
      <c r="D11" s="126" t="s">
        <v>34</v>
      </c>
      <c r="E11" s="262">
        <v>915</v>
      </c>
      <c r="F11" s="263">
        <v>86.7</v>
      </c>
    </row>
    <row r="12" spans="1:6" x14ac:dyDescent="0.2">
      <c r="A12" s="125" t="s">
        <v>35</v>
      </c>
      <c r="D12" s="126" t="s">
        <v>36</v>
      </c>
      <c r="E12" s="262">
        <v>850</v>
      </c>
      <c r="F12" s="263">
        <v>95.6</v>
      </c>
    </row>
    <row r="13" spans="1:6" x14ac:dyDescent="0.2">
      <c r="A13" s="125" t="s">
        <v>37</v>
      </c>
      <c r="D13" s="126" t="s">
        <v>38</v>
      </c>
      <c r="E13" s="262">
        <v>1052</v>
      </c>
      <c r="F13" s="263">
        <v>83.7</v>
      </c>
    </row>
    <row r="14" spans="1:6" x14ac:dyDescent="0.2">
      <c r="A14" s="125" t="s">
        <v>39</v>
      </c>
      <c r="D14" s="126" t="s">
        <v>40</v>
      </c>
      <c r="E14" s="262">
        <v>1625</v>
      </c>
      <c r="F14" s="263">
        <v>90.6</v>
      </c>
    </row>
    <row r="15" spans="1:6" x14ac:dyDescent="0.2">
      <c r="A15" s="3"/>
      <c r="D15" s="3"/>
      <c r="E15" s="264"/>
      <c r="F15" s="264"/>
    </row>
    <row r="16" spans="1:6" x14ac:dyDescent="0.2">
      <c r="A16" s="16" t="s">
        <v>381</v>
      </c>
      <c r="D16" s="17" t="s">
        <v>41</v>
      </c>
      <c r="E16" s="260">
        <v>39332</v>
      </c>
      <c r="F16" s="261">
        <v>87</v>
      </c>
    </row>
    <row r="17" spans="1:6" x14ac:dyDescent="0.2">
      <c r="A17" s="125" t="s">
        <v>42</v>
      </c>
      <c r="D17" s="126" t="s">
        <v>43</v>
      </c>
      <c r="E17" s="262">
        <v>877</v>
      </c>
      <c r="F17" s="263">
        <v>82.9</v>
      </c>
    </row>
    <row r="18" spans="1:6" x14ac:dyDescent="0.2">
      <c r="A18" s="125" t="s">
        <v>44</v>
      </c>
      <c r="D18" s="126" t="s">
        <v>45</v>
      </c>
      <c r="E18" s="262">
        <v>828</v>
      </c>
      <c r="F18" s="263">
        <v>84.9</v>
      </c>
    </row>
    <row r="19" spans="1:6" x14ac:dyDescent="0.2">
      <c r="A19" s="125" t="s">
        <v>46</v>
      </c>
      <c r="D19" s="126" t="s">
        <v>47</v>
      </c>
      <c r="E19" s="262">
        <v>1714</v>
      </c>
      <c r="F19" s="263">
        <v>89.9</v>
      </c>
    </row>
    <row r="20" spans="1:6" x14ac:dyDescent="0.2">
      <c r="A20" s="125" t="s">
        <v>48</v>
      </c>
      <c r="D20" s="126" t="s">
        <v>49</v>
      </c>
      <c r="E20" s="262">
        <v>1084</v>
      </c>
      <c r="F20" s="263">
        <v>86.7</v>
      </c>
    </row>
    <row r="21" spans="1:6" x14ac:dyDescent="0.2">
      <c r="A21" s="125" t="s">
        <v>50</v>
      </c>
      <c r="D21" s="126" t="s">
        <v>51</v>
      </c>
      <c r="E21" s="262">
        <v>1994</v>
      </c>
      <c r="F21" s="263">
        <v>89.3</v>
      </c>
    </row>
    <row r="22" spans="1:6" x14ac:dyDescent="0.2">
      <c r="A22" s="125" t="s">
        <v>52</v>
      </c>
      <c r="D22" s="126" t="s">
        <v>53</v>
      </c>
      <c r="E22" s="262">
        <v>1837</v>
      </c>
      <c r="F22" s="263">
        <v>86.8</v>
      </c>
    </row>
    <row r="23" spans="1:6" x14ac:dyDescent="0.2">
      <c r="A23" s="125" t="s">
        <v>54</v>
      </c>
      <c r="D23" s="126" t="s">
        <v>55</v>
      </c>
      <c r="E23" s="262">
        <v>2810</v>
      </c>
      <c r="F23" s="263">
        <v>85.3</v>
      </c>
    </row>
    <row r="24" spans="1:6" x14ac:dyDescent="0.2">
      <c r="A24" s="125" t="s">
        <v>56</v>
      </c>
      <c r="D24" s="126" t="s">
        <v>57</v>
      </c>
      <c r="E24" s="262">
        <v>708</v>
      </c>
      <c r="F24" s="263">
        <v>90.4</v>
      </c>
    </row>
    <row r="25" spans="1:6" x14ac:dyDescent="0.2">
      <c r="A25" s="125" t="s">
        <v>58</v>
      </c>
      <c r="D25" s="126" t="s">
        <v>59</v>
      </c>
      <c r="E25" s="262">
        <v>696</v>
      </c>
      <c r="F25" s="263">
        <v>79.599999999999994</v>
      </c>
    </row>
    <row r="26" spans="1:6" x14ac:dyDescent="0.2">
      <c r="A26" s="125" t="s">
        <v>60</v>
      </c>
      <c r="D26" s="126" t="s">
        <v>61</v>
      </c>
      <c r="E26" s="262">
        <v>6406</v>
      </c>
      <c r="F26" s="263">
        <v>86.8</v>
      </c>
    </row>
    <row r="27" spans="1:6" x14ac:dyDescent="0.2">
      <c r="A27" s="125" t="s">
        <v>62</v>
      </c>
      <c r="D27" s="126" t="s">
        <v>63</v>
      </c>
      <c r="E27" s="262">
        <v>2601</v>
      </c>
      <c r="F27" s="263">
        <v>86.4</v>
      </c>
    </row>
    <row r="28" spans="1:6" x14ac:dyDescent="0.2">
      <c r="A28" s="125" t="s">
        <v>64</v>
      </c>
      <c r="D28" s="126" t="s">
        <v>65</v>
      </c>
      <c r="E28" s="262">
        <v>2237</v>
      </c>
      <c r="F28" s="263">
        <v>84.7</v>
      </c>
    </row>
    <row r="29" spans="1:6" x14ac:dyDescent="0.2">
      <c r="A29" s="125" t="s">
        <v>66</v>
      </c>
      <c r="D29" s="126" t="s">
        <v>67</v>
      </c>
      <c r="E29" s="262">
        <v>1478</v>
      </c>
      <c r="F29" s="263">
        <v>87.7</v>
      </c>
    </row>
    <row r="30" spans="1:6" x14ac:dyDescent="0.2">
      <c r="A30" s="125" t="s">
        <v>68</v>
      </c>
      <c r="D30" s="126" t="s">
        <v>69</v>
      </c>
      <c r="E30" s="262">
        <v>1252</v>
      </c>
      <c r="F30" s="263">
        <v>84.4</v>
      </c>
    </row>
    <row r="31" spans="1:6" x14ac:dyDescent="0.2">
      <c r="A31" s="125" t="s">
        <v>70</v>
      </c>
      <c r="D31" s="126" t="s">
        <v>71</v>
      </c>
      <c r="E31" s="262">
        <v>1082</v>
      </c>
      <c r="F31" s="263">
        <v>89.1</v>
      </c>
    </row>
    <row r="32" spans="1:6" x14ac:dyDescent="0.2">
      <c r="A32" s="125" t="s">
        <v>72</v>
      </c>
      <c r="D32" s="126" t="s">
        <v>73</v>
      </c>
      <c r="E32" s="262">
        <v>1693</v>
      </c>
      <c r="F32" s="263">
        <v>89.4</v>
      </c>
    </row>
    <row r="33" spans="1:6" x14ac:dyDescent="0.2">
      <c r="A33" s="125" t="s">
        <v>74</v>
      </c>
      <c r="D33" s="126" t="s">
        <v>75</v>
      </c>
      <c r="E33" s="262">
        <v>955</v>
      </c>
      <c r="F33" s="263">
        <v>89.9</v>
      </c>
    </row>
    <row r="34" spans="1:6" x14ac:dyDescent="0.2">
      <c r="A34" s="125" t="s">
        <v>76</v>
      </c>
      <c r="D34" s="126" t="s">
        <v>77</v>
      </c>
      <c r="E34" s="262">
        <v>1444</v>
      </c>
      <c r="F34" s="263">
        <v>88.3</v>
      </c>
    </row>
    <row r="35" spans="1:6" x14ac:dyDescent="0.2">
      <c r="A35" s="125" t="s">
        <v>78</v>
      </c>
      <c r="D35" s="126" t="s">
        <v>79</v>
      </c>
      <c r="E35" s="262">
        <v>1361</v>
      </c>
      <c r="F35" s="263">
        <v>85.5</v>
      </c>
    </row>
    <row r="36" spans="1:6" x14ac:dyDescent="0.2">
      <c r="A36" s="125" t="s">
        <v>80</v>
      </c>
      <c r="D36" s="126" t="s">
        <v>81</v>
      </c>
      <c r="E36" s="262">
        <v>1380</v>
      </c>
      <c r="F36" s="263">
        <v>90.7</v>
      </c>
    </row>
    <row r="37" spans="1:6" x14ac:dyDescent="0.2">
      <c r="A37" s="125" t="s">
        <v>82</v>
      </c>
      <c r="D37" s="126" t="s">
        <v>83</v>
      </c>
      <c r="E37" s="262">
        <v>1195</v>
      </c>
      <c r="F37" s="263">
        <v>86.9</v>
      </c>
    </row>
    <row r="38" spans="1:6" x14ac:dyDescent="0.2">
      <c r="A38" s="125" t="s">
        <v>84</v>
      </c>
      <c r="D38" s="126" t="s">
        <v>85</v>
      </c>
      <c r="E38" s="262">
        <v>1868</v>
      </c>
      <c r="F38" s="263">
        <v>84.4</v>
      </c>
    </row>
    <row r="39" spans="1:6" x14ac:dyDescent="0.2">
      <c r="A39" s="125" t="s">
        <v>86</v>
      </c>
      <c r="D39" s="126" t="s">
        <v>87</v>
      </c>
      <c r="E39" s="262">
        <v>1832</v>
      </c>
      <c r="F39" s="263">
        <v>90.5</v>
      </c>
    </row>
    <row r="40" spans="1:6" x14ac:dyDescent="0.2">
      <c r="A40" s="3"/>
      <c r="B40" s="3"/>
      <c r="E40" s="264"/>
      <c r="F40" s="264"/>
    </row>
    <row r="41" spans="1:6" x14ac:dyDescent="0.2">
      <c r="A41" s="16" t="s">
        <v>382</v>
      </c>
      <c r="D41" s="17" t="s">
        <v>88</v>
      </c>
      <c r="E41" s="260">
        <v>28540</v>
      </c>
      <c r="F41" s="261">
        <v>88.5</v>
      </c>
    </row>
    <row r="42" spans="1:6" x14ac:dyDescent="0.2">
      <c r="A42" s="125" t="s">
        <v>89</v>
      </c>
      <c r="D42" s="126" t="s">
        <v>90</v>
      </c>
      <c r="E42" s="262">
        <v>1271</v>
      </c>
      <c r="F42" s="263">
        <v>84.2</v>
      </c>
    </row>
    <row r="43" spans="1:6" x14ac:dyDescent="0.2">
      <c r="A43" s="125" t="s">
        <v>91</v>
      </c>
      <c r="D43" s="126" t="s">
        <v>92</v>
      </c>
      <c r="E43" s="262">
        <v>2810</v>
      </c>
      <c r="F43" s="263">
        <v>86.5</v>
      </c>
    </row>
    <row r="44" spans="1:6" x14ac:dyDescent="0.2">
      <c r="A44" s="125" t="s">
        <v>93</v>
      </c>
      <c r="D44" s="126" t="s">
        <v>94</v>
      </c>
      <c r="E44" s="262">
        <v>1252</v>
      </c>
      <c r="F44" s="263">
        <v>93.7</v>
      </c>
    </row>
    <row r="45" spans="1:6" x14ac:dyDescent="0.2">
      <c r="A45" s="125" t="s">
        <v>95</v>
      </c>
      <c r="D45" s="126" t="s">
        <v>96</v>
      </c>
      <c r="E45" s="262">
        <v>1706</v>
      </c>
      <c r="F45" s="263">
        <v>89.7</v>
      </c>
    </row>
    <row r="46" spans="1:6" x14ac:dyDescent="0.2">
      <c r="A46" s="125" t="s">
        <v>97</v>
      </c>
      <c r="D46" s="126" t="s">
        <v>98</v>
      </c>
      <c r="E46" s="262">
        <v>1905</v>
      </c>
      <c r="F46" s="263">
        <v>86.6</v>
      </c>
    </row>
    <row r="47" spans="1:6" x14ac:dyDescent="0.2">
      <c r="A47" s="125" t="s">
        <v>99</v>
      </c>
      <c r="D47" s="126" t="s">
        <v>100</v>
      </c>
      <c r="E47" s="262">
        <v>1182</v>
      </c>
      <c r="F47" s="263">
        <v>89.8</v>
      </c>
    </row>
    <row r="48" spans="1:6" x14ac:dyDescent="0.2">
      <c r="A48" s="125" t="s">
        <v>101</v>
      </c>
      <c r="D48" s="126" t="s">
        <v>102</v>
      </c>
      <c r="E48" s="262">
        <v>2221</v>
      </c>
      <c r="F48" s="263">
        <v>88.7</v>
      </c>
    </row>
    <row r="49" spans="1:6" x14ac:dyDescent="0.2">
      <c r="A49" s="125" t="s">
        <v>103</v>
      </c>
      <c r="D49" s="126" t="s">
        <v>104</v>
      </c>
      <c r="E49" s="262">
        <v>3788</v>
      </c>
      <c r="F49" s="263">
        <v>90.4</v>
      </c>
    </row>
    <row r="50" spans="1:6" x14ac:dyDescent="0.2">
      <c r="A50" s="125" t="s">
        <v>105</v>
      </c>
      <c r="D50" s="126" t="s">
        <v>106</v>
      </c>
      <c r="E50" s="262">
        <v>947</v>
      </c>
      <c r="F50" s="263">
        <v>90.2</v>
      </c>
    </row>
    <row r="51" spans="1:6" x14ac:dyDescent="0.2">
      <c r="A51" s="125" t="s">
        <v>107</v>
      </c>
      <c r="D51" s="126" t="s">
        <v>108</v>
      </c>
      <c r="E51" s="262">
        <v>958</v>
      </c>
      <c r="F51" s="263">
        <v>93.5</v>
      </c>
    </row>
    <row r="52" spans="1:6" x14ac:dyDescent="0.2">
      <c r="A52" s="125" t="s">
        <v>109</v>
      </c>
      <c r="D52" s="126" t="s">
        <v>110</v>
      </c>
      <c r="E52" s="262">
        <v>3332</v>
      </c>
      <c r="F52" s="263">
        <v>88</v>
      </c>
    </row>
    <row r="53" spans="1:6" x14ac:dyDescent="0.2">
      <c r="A53" s="125" t="s">
        <v>111</v>
      </c>
      <c r="D53" s="126" t="s">
        <v>112</v>
      </c>
      <c r="E53" s="262">
        <v>1669</v>
      </c>
      <c r="F53" s="263">
        <v>89.7</v>
      </c>
    </row>
    <row r="54" spans="1:6" x14ac:dyDescent="0.2">
      <c r="A54" s="125" t="s">
        <v>113</v>
      </c>
      <c r="D54" s="126" t="s">
        <v>114</v>
      </c>
      <c r="E54" s="262">
        <v>2735</v>
      </c>
      <c r="F54" s="263">
        <v>82</v>
      </c>
    </row>
    <row r="55" spans="1:6" x14ac:dyDescent="0.2">
      <c r="A55" s="125" t="s">
        <v>115</v>
      </c>
      <c r="D55" s="126" t="s">
        <v>116</v>
      </c>
      <c r="E55" s="262">
        <v>1917</v>
      </c>
      <c r="F55" s="263">
        <v>91.7</v>
      </c>
    </row>
    <row r="56" spans="1:6" x14ac:dyDescent="0.2">
      <c r="A56" s="125" t="s">
        <v>117</v>
      </c>
      <c r="D56" s="126" t="s">
        <v>118</v>
      </c>
      <c r="E56" s="262">
        <v>847</v>
      </c>
      <c r="F56" s="263">
        <v>90</v>
      </c>
    </row>
    <row r="57" spans="1:6" x14ac:dyDescent="0.2">
      <c r="A57" s="3"/>
      <c r="D57" s="3"/>
      <c r="E57" s="264"/>
      <c r="F57" s="264"/>
    </row>
    <row r="58" spans="1:6" x14ac:dyDescent="0.2">
      <c r="A58" s="16" t="s">
        <v>385</v>
      </c>
      <c r="D58" s="17" t="s">
        <v>119</v>
      </c>
      <c r="E58" s="260">
        <v>24627</v>
      </c>
      <c r="F58" s="261">
        <v>86.4</v>
      </c>
    </row>
    <row r="59" spans="1:6" x14ac:dyDescent="0.2">
      <c r="A59" s="125" t="s">
        <v>120</v>
      </c>
      <c r="D59" s="126" t="s">
        <v>121</v>
      </c>
      <c r="E59" s="262">
        <v>1478</v>
      </c>
      <c r="F59" s="263">
        <v>86.1</v>
      </c>
    </row>
    <row r="60" spans="1:6" x14ac:dyDescent="0.2">
      <c r="A60" s="125" t="s">
        <v>122</v>
      </c>
      <c r="D60" s="126" t="s">
        <v>123</v>
      </c>
      <c r="E60" s="262">
        <v>4168</v>
      </c>
      <c r="F60" s="263">
        <v>85.3</v>
      </c>
    </row>
    <row r="61" spans="1:6" x14ac:dyDescent="0.2">
      <c r="A61" s="125" t="s">
        <v>124</v>
      </c>
      <c r="D61" s="126" t="s">
        <v>125</v>
      </c>
      <c r="E61" s="262">
        <v>1667</v>
      </c>
      <c r="F61" s="263">
        <v>84.2</v>
      </c>
    </row>
    <row r="62" spans="1:6" x14ac:dyDescent="0.2">
      <c r="A62" s="125" t="s">
        <v>126</v>
      </c>
      <c r="D62" s="126" t="s">
        <v>127</v>
      </c>
      <c r="E62" s="262">
        <v>3546</v>
      </c>
      <c r="F62" s="263">
        <v>85.5</v>
      </c>
    </row>
    <row r="63" spans="1:6" x14ac:dyDescent="0.2">
      <c r="A63" s="125" t="s">
        <v>128</v>
      </c>
      <c r="D63" s="126" t="s">
        <v>129</v>
      </c>
      <c r="E63" s="262">
        <v>4035</v>
      </c>
      <c r="F63" s="263">
        <v>88.2</v>
      </c>
    </row>
    <row r="64" spans="1:6" x14ac:dyDescent="0.2">
      <c r="A64" s="125" t="s">
        <v>130</v>
      </c>
      <c r="D64" s="126" t="s">
        <v>131</v>
      </c>
      <c r="E64" s="262">
        <v>3925</v>
      </c>
      <c r="F64" s="263">
        <v>84</v>
      </c>
    </row>
    <row r="65" spans="1:6" x14ac:dyDescent="0.2">
      <c r="A65" s="125" t="s">
        <v>132</v>
      </c>
      <c r="D65" s="126" t="s">
        <v>133</v>
      </c>
      <c r="E65" s="262">
        <v>1305</v>
      </c>
      <c r="F65" s="263">
        <v>83.9</v>
      </c>
    </row>
    <row r="66" spans="1:6" x14ac:dyDescent="0.2">
      <c r="A66" s="125" t="s">
        <v>134</v>
      </c>
      <c r="D66" s="126" t="s">
        <v>135</v>
      </c>
      <c r="E66" s="262">
        <v>4280</v>
      </c>
      <c r="F66" s="263">
        <v>90.6</v>
      </c>
    </row>
    <row r="67" spans="1:6" x14ac:dyDescent="0.2">
      <c r="A67" s="125" t="s">
        <v>136</v>
      </c>
      <c r="D67" s="126" t="s">
        <v>137</v>
      </c>
      <c r="E67" s="262">
        <v>223</v>
      </c>
      <c r="F67" s="263">
        <v>87.4</v>
      </c>
    </row>
    <row r="68" spans="1:6" x14ac:dyDescent="0.2">
      <c r="A68" s="3"/>
      <c r="D68" s="3"/>
      <c r="E68" s="264"/>
      <c r="F68" s="264"/>
    </row>
    <row r="69" spans="1:6" x14ac:dyDescent="0.2">
      <c r="A69" s="17" t="s">
        <v>386</v>
      </c>
      <c r="D69" s="17" t="s">
        <v>138</v>
      </c>
      <c r="E69" s="260">
        <v>31344</v>
      </c>
      <c r="F69" s="261">
        <v>88.6</v>
      </c>
    </row>
    <row r="70" spans="1:6" x14ac:dyDescent="0.2">
      <c r="A70" s="125" t="s">
        <v>139</v>
      </c>
      <c r="D70" s="126" t="s">
        <v>140</v>
      </c>
      <c r="E70" s="262">
        <v>6152</v>
      </c>
      <c r="F70" s="263">
        <v>89.8</v>
      </c>
    </row>
    <row r="71" spans="1:6" x14ac:dyDescent="0.2">
      <c r="A71" s="125" t="s">
        <v>141</v>
      </c>
      <c r="D71" s="126" t="s">
        <v>142</v>
      </c>
      <c r="E71" s="262">
        <v>1777</v>
      </c>
      <c r="F71" s="263">
        <v>88.5</v>
      </c>
    </row>
    <row r="72" spans="1:6" x14ac:dyDescent="0.2">
      <c r="A72" s="125" t="s">
        <v>143</v>
      </c>
      <c r="D72" s="126" t="s">
        <v>144</v>
      </c>
      <c r="E72" s="262">
        <v>1856</v>
      </c>
      <c r="F72" s="263">
        <v>85.5</v>
      </c>
    </row>
    <row r="73" spans="1:6" x14ac:dyDescent="0.2">
      <c r="A73" s="125" t="s">
        <v>355</v>
      </c>
      <c r="D73" s="126" t="s">
        <v>145</v>
      </c>
      <c r="E73" s="262">
        <v>885</v>
      </c>
      <c r="F73" s="263">
        <v>88.7</v>
      </c>
    </row>
    <row r="74" spans="1:6" x14ac:dyDescent="0.2">
      <c r="A74" s="125" t="s">
        <v>146</v>
      </c>
      <c r="D74" s="126" t="s">
        <v>147</v>
      </c>
      <c r="E74" s="262">
        <v>1691</v>
      </c>
      <c r="F74" s="263">
        <v>90.1</v>
      </c>
    </row>
    <row r="75" spans="1:6" x14ac:dyDescent="0.2">
      <c r="A75" s="125" t="s">
        <v>148</v>
      </c>
      <c r="D75" s="126" t="s">
        <v>149</v>
      </c>
      <c r="E75" s="262">
        <v>1608</v>
      </c>
      <c r="F75" s="263">
        <v>83</v>
      </c>
    </row>
    <row r="76" spans="1:6" x14ac:dyDescent="0.2">
      <c r="A76" s="125" t="s">
        <v>150</v>
      </c>
      <c r="D76" s="126" t="s">
        <v>151</v>
      </c>
      <c r="E76" s="262">
        <v>1446</v>
      </c>
      <c r="F76" s="263">
        <v>92</v>
      </c>
    </row>
    <row r="77" spans="1:6" x14ac:dyDescent="0.2">
      <c r="A77" s="125" t="s">
        <v>152</v>
      </c>
      <c r="D77" s="126" t="s">
        <v>153</v>
      </c>
      <c r="E77" s="262">
        <v>4782</v>
      </c>
      <c r="F77" s="263">
        <v>87.9</v>
      </c>
    </row>
    <row r="78" spans="1:6" x14ac:dyDescent="0.2">
      <c r="A78" s="125" t="s">
        <v>154</v>
      </c>
      <c r="D78" s="126" t="s">
        <v>155</v>
      </c>
      <c r="E78" s="262">
        <v>1255</v>
      </c>
      <c r="F78" s="263">
        <v>87.5</v>
      </c>
    </row>
    <row r="79" spans="1:6" x14ac:dyDescent="0.2">
      <c r="A79" s="125" t="s">
        <v>156</v>
      </c>
      <c r="D79" s="126" t="s">
        <v>157</v>
      </c>
      <c r="E79" s="262">
        <v>1017</v>
      </c>
      <c r="F79" s="263">
        <v>91.1</v>
      </c>
    </row>
    <row r="80" spans="1:6" x14ac:dyDescent="0.2">
      <c r="A80" s="125" t="s">
        <v>158</v>
      </c>
      <c r="D80" s="126" t="s">
        <v>159</v>
      </c>
      <c r="E80" s="262">
        <v>1671</v>
      </c>
      <c r="F80" s="263">
        <v>89.2</v>
      </c>
    </row>
    <row r="81" spans="1:6" x14ac:dyDescent="0.2">
      <c r="A81" s="125" t="s">
        <v>160</v>
      </c>
      <c r="D81" s="126" t="s">
        <v>161</v>
      </c>
      <c r="E81" s="262">
        <v>2969</v>
      </c>
      <c r="F81" s="263">
        <v>90.3</v>
      </c>
    </row>
    <row r="82" spans="1:6" x14ac:dyDescent="0.2">
      <c r="A82" s="125" t="s">
        <v>162</v>
      </c>
      <c r="D82" s="126" t="s">
        <v>163</v>
      </c>
      <c r="E82" s="262">
        <v>1358</v>
      </c>
      <c r="F82" s="263">
        <v>89.2</v>
      </c>
    </row>
    <row r="83" spans="1:6" x14ac:dyDescent="0.2">
      <c r="A83" s="125" t="s">
        <v>164</v>
      </c>
      <c r="D83" s="126" t="s">
        <v>165</v>
      </c>
      <c r="E83" s="262">
        <v>2877</v>
      </c>
      <c r="F83" s="263">
        <v>87.1</v>
      </c>
    </row>
    <row r="84" spans="1:6" x14ac:dyDescent="0.2">
      <c r="A84" s="3"/>
      <c r="D84" s="3"/>
      <c r="E84" s="264"/>
      <c r="F84" s="264"/>
    </row>
    <row r="85" spans="1:6" x14ac:dyDescent="0.2">
      <c r="A85" s="17" t="s">
        <v>383</v>
      </c>
      <c r="D85" s="17" t="s">
        <v>166</v>
      </c>
      <c r="E85" s="260">
        <v>31769</v>
      </c>
      <c r="F85" s="261">
        <v>83.2</v>
      </c>
    </row>
    <row r="86" spans="1:6" x14ac:dyDescent="0.2">
      <c r="A86" s="125" t="s">
        <v>167</v>
      </c>
      <c r="D86" s="126" t="s">
        <v>168</v>
      </c>
      <c r="E86" s="262">
        <v>902</v>
      </c>
      <c r="F86" s="263">
        <v>87.1</v>
      </c>
    </row>
    <row r="87" spans="1:6" x14ac:dyDescent="0.2">
      <c r="A87" s="125" t="s">
        <v>169</v>
      </c>
      <c r="D87" s="126" t="s">
        <v>170</v>
      </c>
      <c r="E87" s="262">
        <v>2964</v>
      </c>
      <c r="F87" s="263">
        <v>82.1</v>
      </c>
    </row>
    <row r="88" spans="1:6" x14ac:dyDescent="0.2">
      <c r="A88" s="125" t="s">
        <v>171</v>
      </c>
      <c r="D88" s="126" t="s">
        <v>172</v>
      </c>
      <c r="E88" s="262">
        <v>1344</v>
      </c>
      <c r="F88" s="263">
        <v>86.5</v>
      </c>
    </row>
    <row r="89" spans="1:6" x14ac:dyDescent="0.2">
      <c r="A89" s="125" t="s">
        <v>173</v>
      </c>
      <c r="D89" s="126" t="s">
        <v>174</v>
      </c>
      <c r="E89" s="262">
        <v>7623</v>
      </c>
      <c r="F89" s="263">
        <v>83.7</v>
      </c>
    </row>
    <row r="90" spans="1:6" x14ac:dyDescent="0.2">
      <c r="A90" s="125" t="s">
        <v>175</v>
      </c>
      <c r="D90" s="126" t="s">
        <v>176</v>
      </c>
      <c r="E90" s="262">
        <v>6366</v>
      </c>
      <c r="F90" s="263">
        <v>86.9</v>
      </c>
    </row>
    <row r="91" spans="1:6" x14ac:dyDescent="0.2">
      <c r="A91" s="125" t="s">
        <v>177</v>
      </c>
      <c r="D91" s="126" t="s">
        <v>178</v>
      </c>
      <c r="E91" s="262">
        <v>1191</v>
      </c>
      <c r="F91" s="263">
        <v>85.6</v>
      </c>
    </row>
    <row r="92" spans="1:6" x14ac:dyDescent="0.2">
      <c r="A92" s="125" t="s">
        <v>179</v>
      </c>
      <c r="D92" s="126" t="s">
        <v>180</v>
      </c>
      <c r="E92" s="262">
        <v>4379</v>
      </c>
      <c r="F92" s="263">
        <v>75.2</v>
      </c>
    </row>
    <row r="93" spans="1:6" x14ac:dyDescent="0.2">
      <c r="A93" s="125" t="s">
        <v>181</v>
      </c>
      <c r="D93" s="126" t="s">
        <v>182</v>
      </c>
      <c r="E93" s="262">
        <v>1128</v>
      </c>
      <c r="F93" s="263">
        <v>88.7</v>
      </c>
    </row>
    <row r="94" spans="1:6" x14ac:dyDescent="0.2">
      <c r="A94" s="125" t="s">
        <v>183</v>
      </c>
      <c r="D94" s="126" t="s">
        <v>184</v>
      </c>
      <c r="E94" s="262">
        <v>1067</v>
      </c>
      <c r="F94" s="263">
        <v>86.5</v>
      </c>
    </row>
    <row r="95" spans="1:6" x14ac:dyDescent="0.2">
      <c r="A95" s="125" t="s">
        <v>185</v>
      </c>
      <c r="D95" s="126" t="s">
        <v>186</v>
      </c>
      <c r="E95" s="262">
        <v>3837</v>
      </c>
      <c r="F95" s="263">
        <v>79.099999999999994</v>
      </c>
    </row>
    <row r="96" spans="1:6" x14ac:dyDescent="0.2">
      <c r="A96" s="125" t="s">
        <v>187</v>
      </c>
      <c r="D96" s="126" t="s">
        <v>188</v>
      </c>
      <c r="E96" s="262">
        <v>968</v>
      </c>
      <c r="F96" s="263">
        <v>88.8</v>
      </c>
    </row>
    <row r="97" spans="1:6" x14ac:dyDescent="0.2">
      <c r="A97" s="3"/>
      <c r="D97" s="3"/>
      <c r="E97" s="264"/>
      <c r="F97" s="264"/>
    </row>
    <row r="98" spans="1:6" x14ac:dyDescent="0.2">
      <c r="A98" s="17" t="s">
        <v>384</v>
      </c>
      <c r="D98" s="17" t="s">
        <v>189</v>
      </c>
      <c r="E98" s="260">
        <v>38006</v>
      </c>
      <c r="F98" s="261">
        <v>87.3</v>
      </c>
    </row>
    <row r="99" spans="1:6" x14ac:dyDescent="0.2">
      <c r="A99" s="16" t="s">
        <v>190</v>
      </c>
      <c r="D99" s="17" t="s">
        <v>191</v>
      </c>
      <c r="E99" s="262">
        <v>12362</v>
      </c>
      <c r="F99" s="263">
        <v>85.3</v>
      </c>
    </row>
    <row r="100" spans="1:6" x14ac:dyDescent="0.2">
      <c r="A100" s="125" t="s">
        <v>192</v>
      </c>
      <c r="D100" s="126" t="s">
        <v>193</v>
      </c>
      <c r="E100" s="262">
        <v>881</v>
      </c>
      <c r="F100" s="263">
        <v>83.5</v>
      </c>
    </row>
    <row r="101" spans="1:6" x14ac:dyDescent="0.2">
      <c r="A101" s="125" t="s">
        <v>194</v>
      </c>
      <c r="D101" s="143" t="s">
        <v>195</v>
      </c>
      <c r="E101" s="265" t="s">
        <v>196</v>
      </c>
      <c r="F101" s="265" t="s">
        <v>196</v>
      </c>
    </row>
    <row r="102" spans="1:6" x14ac:dyDescent="0.2">
      <c r="A102" s="125" t="s">
        <v>197</v>
      </c>
      <c r="D102" s="126" t="s">
        <v>198</v>
      </c>
      <c r="E102" s="262">
        <v>967</v>
      </c>
      <c r="F102" s="263">
        <v>81.099999999999994</v>
      </c>
    </row>
    <row r="103" spans="1:6" x14ac:dyDescent="0.2">
      <c r="A103" s="125" t="s">
        <v>199</v>
      </c>
      <c r="D103" s="126" t="s">
        <v>200</v>
      </c>
      <c r="E103" s="262">
        <v>597</v>
      </c>
      <c r="F103" s="263">
        <v>86.8</v>
      </c>
    </row>
    <row r="104" spans="1:6" x14ac:dyDescent="0.2">
      <c r="A104" s="125" t="s">
        <v>201</v>
      </c>
      <c r="D104" s="126" t="s">
        <v>202</v>
      </c>
      <c r="E104" s="262">
        <v>1076</v>
      </c>
      <c r="F104" s="263">
        <v>85.6</v>
      </c>
    </row>
    <row r="105" spans="1:6" x14ac:dyDescent="0.2">
      <c r="A105" s="125" t="s">
        <v>203</v>
      </c>
      <c r="D105" s="126" t="s">
        <v>204</v>
      </c>
      <c r="E105" s="262">
        <v>664</v>
      </c>
      <c r="F105" s="263">
        <v>79.7</v>
      </c>
    </row>
    <row r="106" spans="1:6" x14ac:dyDescent="0.2">
      <c r="A106" s="125" t="s">
        <v>205</v>
      </c>
      <c r="D106" s="126" t="s">
        <v>206</v>
      </c>
      <c r="E106" s="262">
        <v>283</v>
      </c>
      <c r="F106" s="263">
        <v>89</v>
      </c>
    </row>
    <row r="107" spans="1:6" x14ac:dyDescent="0.2">
      <c r="A107" s="125" t="s">
        <v>207</v>
      </c>
      <c r="D107" s="126" t="s">
        <v>208</v>
      </c>
      <c r="E107" s="262">
        <v>946</v>
      </c>
      <c r="F107" s="263">
        <v>89.7</v>
      </c>
    </row>
    <row r="108" spans="1:6" x14ac:dyDescent="0.2">
      <c r="A108" s="125" t="s">
        <v>209</v>
      </c>
      <c r="D108" s="126" t="s">
        <v>210</v>
      </c>
      <c r="E108" s="262">
        <v>1155</v>
      </c>
      <c r="F108" s="263">
        <v>81</v>
      </c>
    </row>
    <row r="109" spans="1:6" x14ac:dyDescent="0.2">
      <c r="A109" s="125" t="s">
        <v>211</v>
      </c>
      <c r="D109" s="126" t="s">
        <v>212</v>
      </c>
      <c r="E109" s="262">
        <v>1769</v>
      </c>
      <c r="F109" s="263">
        <v>82.2</v>
      </c>
    </row>
    <row r="110" spans="1:6" x14ac:dyDescent="0.2">
      <c r="A110" s="125" t="s">
        <v>213</v>
      </c>
      <c r="D110" s="126" t="s">
        <v>214</v>
      </c>
      <c r="E110" s="262">
        <v>1182</v>
      </c>
      <c r="F110" s="263">
        <v>89.3</v>
      </c>
    </row>
    <row r="111" spans="1:6" x14ac:dyDescent="0.2">
      <c r="A111" s="125" t="s">
        <v>215</v>
      </c>
      <c r="D111" s="126" t="s">
        <v>216</v>
      </c>
      <c r="E111" s="262">
        <v>1240</v>
      </c>
      <c r="F111" s="263">
        <v>89.9</v>
      </c>
    </row>
    <row r="112" spans="1:6" x14ac:dyDescent="0.2">
      <c r="A112" s="125" t="s">
        <v>217</v>
      </c>
      <c r="D112" s="126" t="s">
        <v>218</v>
      </c>
      <c r="E112" s="262">
        <v>839</v>
      </c>
      <c r="F112" s="263">
        <v>85.3</v>
      </c>
    </row>
    <row r="113" spans="1:6" x14ac:dyDescent="0.2">
      <c r="A113" s="125" t="s">
        <v>219</v>
      </c>
      <c r="D113" s="126" t="s">
        <v>220</v>
      </c>
      <c r="E113" s="262">
        <v>763</v>
      </c>
      <c r="F113" s="263">
        <v>89</v>
      </c>
    </row>
    <row r="114" spans="1:6" x14ac:dyDescent="0.2">
      <c r="A114" s="3"/>
      <c r="D114" s="26"/>
      <c r="E114" s="266"/>
      <c r="F114" s="218"/>
    </row>
    <row r="115" spans="1:6" x14ac:dyDescent="0.2">
      <c r="A115" s="17" t="s">
        <v>221</v>
      </c>
      <c r="D115" s="17" t="s">
        <v>222</v>
      </c>
      <c r="E115" s="260">
        <v>25644</v>
      </c>
      <c r="F115" s="261">
        <v>88.2</v>
      </c>
    </row>
    <row r="116" spans="1:6" x14ac:dyDescent="0.2">
      <c r="A116" s="125" t="s">
        <v>223</v>
      </c>
      <c r="D116" s="126" t="s">
        <v>224</v>
      </c>
      <c r="E116" s="262">
        <v>1067</v>
      </c>
      <c r="F116" s="263">
        <v>83.7</v>
      </c>
    </row>
    <row r="117" spans="1:6" x14ac:dyDescent="0.2">
      <c r="A117" s="125" t="s">
        <v>225</v>
      </c>
      <c r="D117" s="126" t="s">
        <v>226</v>
      </c>
      <c r="E117" s="262">
        <v>1644</v>
      </c>
      <c r="F117" s="263">
        <v>90.3</v>
      </c>
    </row>
    <row r="118" spans="1:6" x14ac:dyDescent="0.2">
      <c r="A118" s="125" t="s">
        <v>227</v>
      </c>
      <c r="D118" s="126" t="s">
        <v>228</v>
      </c>
      <c r="E118" s="262">
        <v>1574</v>
      </c>
      <c r="F118" s="263">
        <v>91.1</v>
      </c>
    </row>
    <row r="119" spans="1:6" x14ac:dyDescent="0.2">
      <c r="A119" s="125" t="s">
        <v>229</v>
      </c>
      <c r="D119" s="126" t="s">
        <v>230</v>
      </c>
      <c r="E119" s="262">
        <v>1421</v>
      </c>
      <c r="F119" s="263">
        <v>86.4</v>
      </c>
    </row>
    <row r="120" spans="1:6" x14ac:dyDescent="0.2">
      <c r="A120" s="125" t="s">
        <v>231</v>
      </c>
      <c r="D120" s="126" t="s">
        <v>232</v>
      </c>
      <c r="E120" s="262">
        <v>1733</v>
      </c>
      <c r="F120" s="263">
        <v>95.4</v>
      </c>
    </row>
    <row r="121" spans="1:6" x14ac:dyDescent="0.2">
      <c r="A121" s="125" t="s">
        <v>233</v>
      </c>
      <c r="D121" s="126" t="s">
        <v>234</v>
      </c>
      <c r="E121" s="262">
        <v>1939</v>
      </c>
      <c r="F121" s="263">
        <v>88.2</v>
      </c>
    </row>
    <row r="122" spans="1:6" x14ac:dyDescent="0.2">
      <c r="A122" s="125" t="s">
        <v>235</v>
      </c>
      <c r="D122" s="126" t="s">
        <v>236</v>
      </c>
      <c r="E122" s="262">
        <v>1456</v>
      </c>
      <c r="F122" s="263">
        <v>84.1</v>
      </c>
    </row>
    <row r="123" spans="1:6" x14ac:dyDescent="0.2">
      <c r="A123" s="125" t="s">
        <v>237</v>
      </c>
      <c r="D123" s="126" t="s">
        <v>238</v>
      </c>
      <c r="E123" s="262">
        <v>1875</v>
      </c>
      <c r="F123" s="263">
        <v>84.2</v>
      </c>
    </row>
    <row r="124" spans="1:6" x14ac:dyDescent="0.2">
      <c r="A124" s="125" t="s">
        <v>239</v>
      </c>
      <c r="D124" s="126" t="s">
        <v>240</v>
      </c>
      <c r="E124" s="262">
        <v>1127</v>
      </c>
      <c r="F124" s="263">
        <v>90.7</v>
      </c>
    </row>
    <row r="125" spans="1:6" x14ac:dyDescent="0.2">
      <c r="A125" s="125" t="s">
        <v>241</v>
      </c>
      <c r="D125" s="126" t="s">
        <v>242</v>
      </c>
      <c r="E125" s="262">
        <v>1118</v>
      </c>
      <c r="F125" s="263">
        <v>87.3</v>
      </c>
    </row>
    <row r="126" spans="1:6" x14ac:dyDescent="0.2">
      <c r="A126" s="125" t="s">
        <v>243</v>
      </c>
      <c r="D126" s="126" t="s">
        <v>244</v>
      </c>
      <c r="E126" s="262">
        <v>1502</v>
      </c>
      <c r="F126" s="263">
        <v>81.2</v>
      </c>
    </row>
    <row r="127" spans="1:6" x14ac:dyDescent="0.2">
      <c r="A127" s="125" t="s">
        <v>245</v>
      </c>
      <c r="D127" s="126" t="s">
        <v>246</v>
      </c>
      <c r="E127" s="262">
        <v>1462</v>
      </c>
      <c r="F127" s="263">
        <v>89.7</v>
      </c>
    </row>
    <row r="128" spans="1:6" x14ac:dyDescent="0.2">
      <c r="A128" s="125" t="s">
        <v>247</v>
      </c>
      <c r="D128" s="126" t="s">
        <v>248</v>
      </c>
      <c r="E128" s="262">
        <v>1337</v>
      </c>
      <c r="F128" s="263">
        <v>89.3</v>
      </c>
    </row>
    <row r="129" spans="1:6" x14ac:dyDescent="0.2">
      <c r="A129" s="125" t="s">
        <v>249</v>
      </c>
      <c r="D129" s="126" t="s">
        <v>250</v>
      </c>
      <c r="E129" s="262">
        <v>793</v>
      </c>
      <c r="F129" s="263">
        <v>90.7</v>
      </c>
    </row>
    <row r="130" spans="1:6" x14ac:dyDescent="0.2">
      <c r="A130" s="125" t="s">
        <v>251</v>
      </c>
      <c r="D130" s="126" t="s">
        <v>252</v>
      </c>
      <c r="E130" s="262">
        <v>758</v>
      </c>
      <c r="F130" s="263">
        <v>90.2</v>
      </c>
    </row>
    <row r="131" spans="1:6" x14ac:dyDescent="0.2">
      <c r="A131" s="125" t="s">
        <v>253</v>
      </c>
      <c r="D131" s="126" t="s">
        <v>254</v>
      </c>
      <c r="E131" s="262">
        <v>1600</v>
      </c>
      <c r="F131" s="263">
        <v>89.4</v>
      </c>
    </row>
    <row r="132" spans="1:6" x14ac:dyDescent="0.2">
      <c r="A132" s="125" t="s">
        <v>255</v>
      </c>
      <c r="D132" s="126" t="s">
        <v>256</v>
      </c>
      <c r="E132" s="262">
        <v>653</v>
      </c>
      <c r="F132" s="263">
        <v>89.3</v>
      </c>
    </row>
    <row r="133" spans="1:6" x14ac:dyDescent="0.2">
      <c r="A133" s="125" t="s">
        <v>257</v>
      </c>
      <c r="D133" s="126" t="s">
        <v>258</v>
      </c>
      <c r="E133" s="262">
        <v>1334</v>
      </c>
      <c r="F133" s="263">
        <v>92.1</v>
      </c>
    </row>
    <row r="134" spans="1:6" x14ac:dyDescent="0.2">
      <c r="A134" s="125" t="s">
        <v>259</v>
      </c>
      <c r="D134" s="126" t="s">
        <v>260</v>
      </c>
      <c r="E134" s="262">
        <v>1251</v>
      </c>
      <c r="F134" s="263">
        <v>83.6</v>
      </c>
    </row>
    <row r="135" spans="1:6" x14ac:dyDescent="0.2">
      <c r="A135" s="3"/>
      <c r="D135" s="26"/>
      <c r="E135" s="266"/>
      <c r="F135" s="218"/>
    </row>
    <row r="136" spans="1:6" x14ac:dyDescent="0.2">
      <c r="A136" s="16" t="s">
        <v>387</v>
      </c>
      <c r="D136" s="17" t="s">
        <v>261</v>
      </c>
      <c r="E136" s="260">
        <v>44019</v>
      </c>
      <c r="F136" s="261">
        <v>86.2</v>
      </c>
    </row>
    <row r="137" spans="1:6" x14ac:dyDescent="0.2">
      <c r="A137" s="125" t="s">
        <v>460</v>
      </c>
      <c r="D137" s="126" t="s">
        <v>262</v>
      </c>
      <c r="E137" s="262">
        <v>542</v>
      </c>
      <c r="F137" s="263">
        <v>91.7</v>
      </c>
    </row>
    <row r="138" spans="1:6" x14ac:dyDescent="0.2">
      <c r="A138" s="125" t="s">
        <v>263</v>
      </c>
      <c r="D138" s="126" t="s">
        <v>264</v>
      </c>
      <c r="E138" s="262">
        <v>1146</v>
      </c>
      <c r="F138" s="263">
        <v>82.8</v>
      </c>
    </row>
    <row r="139" spans="1:6" x14ac:dyDescent="0.2">
      <c r="A139" s="125" t="s">
        <v>265</v>
      </c>
      <c r="D139" s="126" t="s">
        <v>266</v>
      </c>
      <c r="E139" s="262">
        <v>2680</v>
      </c>
      <c r="F139" s="263">
        <v>88.7</v>
      </c>
    </row>
    <row r="140" spans="1:6" x14ac:dyDescent="0.2">
      <c r="A140" s="125" t="s">
        <v>267</v>
      </c>
      <c r="D140" s="126" t="s">
        <v>268</v>
      </c>
      <c r="E140" s="262">
        <v>2636</v>
      </c>
      <c r="F140" s="263">
        <v>86.2</v>
      </c>
    </row>
    <row r="141" spans="1:6" x14ac:dyDescent="0.2">
      <c r="A141" s="125" t="s">
        <v>269</v>
      </c>
      <c r="D141" s="126" t="s">
        <v>270</v>
      </c>
      <c r="E141" s="262">
        <v>6804</v>
      </c>
      <c r="F141" s="263">
        <v>83.7</v>
      </c>
    </row>
    <row r="142" spans="1:6" x14ac:dyDescent="0.2">
      <c r="A142" s="125" t="s">
        <v>271</v>
      </c>
      <c r="D142" s="126" t="s">
        <v>272</v>
      </c>
      <c r="E142" s="262">
        <v>696</v>
      </c>
      <c r="F142" s="263">
        <v>76</v>
      </c>
    </row>
    <row r="143" spans="1:6" x14ac:dyDescent="0.2">
      <c r="A143" s="125" t="s">
        <v>273</v>
      </c>
      <c r="D143" s="126" t="s">
        <v>274</v>
      </c>
      <c r="E143" s="262">
        <v>8308</v>
      </c>
      <c r="F143" s="263">
        <v>89.7</v>
      </c>
    </row>
    <row r="144" spans="1:6" x14ac:dyDescent="0.2">
      <c r="A144" s="125" t="s">
        <v>275</v>
      </c>
      <c r="D144" s="126" t="s">
        <v>276</v>
      </c>
      <c r="E144" s="262">
        <v>1629</v>
      </c>
      <c r="F144" s="263">
        <v>90.4</v>
      </c>
    </row>
    <row r="145" spans="1:6" x14ac:dyDescent="0.2">
      <c r="A145" s="125" t="s">
        <v>277</v>
      </c>
      <c r="D145" s="126" t="s">
        <v>278</v>
      </c>
      <c r="E145" s="262">
        <v>1379</v>
      </c>
      <c r="F145" s="263">
        <v>90.9</v>
      </c>
    </row>
    <row r="146" spans="1:6" x14ac:dyDescent="0.2">
      <c r="A146" s="125" t="s">
        <v>279</v>
      </c>
      <c r="D146" s="126" t="s">
        <v>280</v>
      </c>
      <c r="E146" s="262">
        <v>3068</v>
      </c>
      <c r="F146" s="263">
        <v>80.900000000000006</v>
      </c>
    </row>
    <row r="147" spans="1:6" x14ac:dyDescent="0.2">
      <c r="A147" s="125" t="s">
        <v>281</v>
      </c>
      <c r="D147" s="126" t="s">
        <v>282</v>
      </c>
      <c r="E147" s="262">
        <v>923</v>
      </c>
      <c r="F147" s="263">
        <v>71.599999999999994</v>
      </c>
    </row>
    <row r="148" spans="1:6" x14ac:dyDescent="0.2">
      <c r="A148" s="125" t="s">
        <v>283</v>
      </c>
      <c r="D148" s="126" t="s">
        <v>284</v>
      </c>
      <c r="E148" s="262">
        <v>531</v>
      </c>
      <c r="F148" s="263">
        <v>90</v>
      </c>
    </row>
    <row r="149" spans="1:6" x14ac:dyDescent="0.2">
      <c r="A149" s="125" t="s">
        <v>285</v>
      </c>
      <c r="D149" s="126" t="s">
        <v>286</v>
      </c>
      <c r="E149" s="262">
        <v>847</v>
      </c>
      <c r="F149" s="263">
        <v>93.5</v>
      </c>
    </row>
    <row r="150" spans="1:6" x14ac:dyDescent="0.2">
      <c r="A150" s="125" t="s">
        <v>287</v>
      </c>
      <c r="D150" s="126" t="s">
        <v>288</v>
      </c>
      <c r="E150" s="262">
        <v>1057</v>
      </c>
      <c r="F150" s="263">
        <v>86.4</v>
      </c>
    </row>
    <row r="151" spans="1:6" x14ac:dyDescent="0.2">
      <c r="A151" s="125" t="s">
        <v>289</v>
      </c>
      <c r="D151" s="126" t="s">
        <v>290</v>
      </c>
      <c r="E151" s="262">
        <v>5144</v>
      </c>
      <c r="F151" s="263">
        <v>87.1</v>
      </c>
    </row>
    <row r="152" spans="1:6" x14ac:dyDescent="0.2">
      <c r="A152" s="125" t="s">
        <v>291</v>
      </c>
      <c r="D152" s="126" t="s">
        <v>292</v>
      </c>
      <c r="E152" s="262">
        <v>970</v>
      </c>
      <c r="F152" s="263">
        <v>81</v>
      </c>
    </row>
    <row r="153" spans="1:6" x14ac:dyDescent="0.2">
      <c r="A153" s="125" t="s">
        <v>293</v>
      </c>
      <c r="D153" s="126" t="s">
        <v>294</v>
      </c>
      <c r="E153" s="262">
        <v>4035</v>
      </c>
      <c r="F153" s="263">
        <v>83.7</v>
      </c>
    </row>
    <row r="154" spans="1:6" x14ac:dyDescent="0.2">
      <c r="A154" s="125" t="s">
        <v>295</v>
      </c>
      <c r="D154" s="126" t="s">
        <v>296</v>
      </c>
      <c r="E154" s="262">
        <v>801</v>
      </c>
      <c r="F154" s="263">
        <v>89.5</v>
      </c>
    </row>
    <row r="155" spans="1:6" x14ac:dyDescent="0.2">
      <c r="A155" s="125" t="s">
        <v>297</v>
      </c>
      <c r="D155" s="126" t="s">
        <v>298</v>
      </c>
      <c r="E155" s="262">
        <v>823</v>
      </c>
      <c r="F155" s="263">
        <v>92</v>
      </c>
    </row>
    <row r="156" spans="1:6" x14ac:dyDescent="0.2">
      <c r="A156" s="3"/>
      <c r="D156" s="26"/>
      <c r="E156" s="266"/>
      <c r="F156" s="218"/>
    </row>
    <row r="157" spans="1:6" x14ac:dyDescent="0.2">
      <c r="A157" s="16" t="s">
        <v>388</v>
      </c>
      <c r="D157" s="17" t="s">
        <v>299</v>
      </c>
      <c r="E157" s="260">
        <v>27513</v>
      </c>
      <c r="F157" s="261">
        <v>84</v>
      </c>
    </row>
    <row r="158" spans="1:6" x14ac:dyDescent="0.2">
      <c r="A158" s="125" t="s">
        <v>302</v>
      </c>
      <c r="D158" s="126" t="s">
        <v>303</v>
      </c>
      <c r="E158" s="262">
        <v>1139</v>
      </c>
      <c r="F158" s="263">
        <v>85.9</v>
      </c>
    </row>
    <row r="159" spans="1:6" x14ac:dyDescent="0.2">
      <c r="A159" s="125" t="s">
        <v>304</v>
      </c>
      <c r="D159" s="126" t="s">
        <v>305</v>
      </c>
      <c r="E159" s="262">
        <v>845</v>
      </c>
      <c r="F159" s="263">
        <v>91.5</v>
      </c>
    </row>
    <row r="160" spans="1:6" x14ac:dyDescent="0.2">
      <c r="A160" s="125" t="s">
        <v>306</v>
      </c>
      <c r="D160" s="126" t="s">
        <v>307</v>
      </c>
      <c r="E160" s="262">
        <v>1633</v>
      </c>
      <c r="F160" s="263">
        <v>86</v>
      </c>
    </row>
    <row r="161" spans="1:6" x14ac:dyDescent="0.2">
      <c r="A161" s="125" t="s">
        <v>308</v>
      </c>
      <c r="D161" s="126" t="s">
        <v>309</v>
      </c>
      <c r="E161" s="262">
        <v>2871</v>
      </c>
      <c r="F161" s="263">
        <v>82.2</v>
      </c>
    </row>
    <row r="162" spans="1:6" x14ac:dyDescent="0.2">
      <c r="A162" s="125" t="s">
        <v>310</v>
      </c>
      <c r="D162" s="126" t="s">
        <v>311</v>
      </c>
      <c r="E162" s="262">
        <v>3656</v>
      </c>
      <c r="F162" s="263">
        <v>83.6</v>
      </c>
    </row>
    <row r="163" spans="1:6" x14ac:dyDescent="0.2">
      <c r="A163" s="125" t="s">
        <v>312</v>
      </c>
      <c r="D163" s="126" t="s">
        <v>313</v>
      </c>
      <c r="E163" s="262">
        <v>2115</v>
      </c>
      <c r="F163" s="263">
        <v>80.2</v>
      </c>
    </row>
    <row r="164" spans="1:6" x14ac:dyDescent="0.2">
      <c r="A164" s="125" t="s">
        <v>314</v>
      </c>
      <c r="D164" s="126" t="s">
        <v>315</v>
      </c>
      <c r="E164" s="262">
        <v>3326</v>
      </c>
      <c r="F164" s="263">
        <v>86.1</v>
      </c>
    </row>
    <row r="165" spans="1:6" x14ac:dyDescent="0.2">
      <c r="A165" s="125" t="s">
        <v>300</v>
      </c>
      <c r="D165" s="126" t="s">
        <v>301</v>
      </c>
      <c r="E165" s="262">
        <v>11</v>
      </c>
      <c r="F165" s="263">
        <v>81.8</v>
      </c>
    </row>
    <row r="166" spans="1:6" x14ac:dyDescent="0.2">
      <c r="A166" s="125" t="s">
        <v>316</v>
      </c>
      <c r="D166" s="126" t="s">
        <v>317</v>
      </c>
      <c r="E166" s="262">
        <v>1055</v>
      </c>
      <c r="F166" s="263">
        <v>80.400000000000006</v>
      </c>
    </row>
    <row r="167" spans="1:6" x14ac:dyDescent="0.2">
      <c r="A167" s="125" t="s">
        <v>318</v>
      </c>
      <c r="D167" s="126" t="s">
        <v>319</v>
      </c>
      <c r="E167" s="262">
        <v>1447</v>
      </c>
      <c r="F167" s="263">
        <v>89.6</v>
      </c>
    </row>
    <row r="168" spans="1:6" x14ac:dyDescent="0.2">
      <c r="A168" s="125" t="s">
        <v>320</v>
      </c>
      <c r="D168" s="126" t="s">
        <v>321</v>
      </c>
      <c r="E168" s="262">
        <v>843</v>
      </c>
      <c r="F168" s="263">
        <v>81.5</v>
      </c>
    </row>
    <row r="169" spans="1:6" x14ac:dyDescent="0.2">
      <c r="A169" s="125" t="s">
        <v>322</v>
      </c>
      <c r="D169" s="126" t="s">
        <v>323</v>
      </c>
      <c r="E169" s="262">
        <v>2682</v>
      </c>
      <c r="F169" s="263">
        <v>82.4</v>
      </c>
    </row>
    <row r="170" spans="1:6" x14ac:dyDescent="0.2">
      <c r="A170" s="125" t="s">
        <v>324</v>
      </c>
      <c r="D170" s="126" t="s">
        <v>325</v>
      </c>
      <c r="E170" s="262">
        <v>1452</v>
      </c>
      <c r="F170" s="263">
        <v>83.6</v>
      </c>
    </row>
    <row r="171" spans="1:6" x14ac:dyDescent="0.2">
      <c r="A171" s="125" t="s">
        <v>326</v>
      </c>
      <c r="D171" s="126" t="s">
        <v>327</v>
      </c>
      <c r="E171" s="262">
        <v>1094</v>
      </c>
      <c r="F171" s="263">
        <v>80.3</v>
      </c>
    </row>
    <row r="172" spans="1:6" x14ac:dyDescent="0.2">
      <c r="A172" s="125" t="s">
        <v>328</v>
      </c>
      <c r="D172" s="126" t="s">
        <v>329</v>
      </c>
      <c r="E172" s="262">
        <v>708</v>
      </c>
      <c r="F172" s="263">
        <v>87</v>
      </c>
    </row>
    <row r="173" spans="1:6" x14ac:dyDescent="0.2">
      <c r="A173" s="125" t="s">
        <v>330</v>
      </c>
      <c r="D173" s="126" t="s">
        <v>331</v>
      </c>
      <c r="E173" s="262">
        <v>2636</v>
      </c>
      <c r="F173" s="263">
        <v>83.8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399F-BA4F-4BEE-B251-BBCC4BADB3B3}">
  <sheetPr>
    <tabColor indexed="42"/>
  </sheetPr>
  <dimension ref="A1:F173"/>
  <sheetViews>
    <sheetView tabSelected="1" workbookViewId="0">
      <selection activeCell="H11" sqref="H11"/>
    </sheetView>
  </sheetViews>
  <sheetFormatPr defaultRowHeight="12.75" x14ac:dyDescent="0.2"/>
  <sheetData>
    <row r="1" spans="1:6" ht="45" x14ac:dyDescent="0.2">
      <c r="A1" s="210" t="s">
        <v>378</v>
      </c>
      <c r="B1" s="545"/>
      <c r="C1" s="545"/>
      <c r="D1" s="210" t="s">
        <v>379</v>
      </c>
      <c r="E1" s="546" t="s">
        <v>453</v>
      </c>
      <c r="F1" s="165" t="s">
        <v>12</v>
      </c>
    </row>
    <row r="2" spans="1:6" x14ac:dyDescent="0.2">
      <c r="A2" s="16" t="s">
        <v>380</v>
      </c>
      <c r="D2" s="17" t="s">
        <v>17</v>
      </c>
      <c r="E2" s="260">
        <v>14623</v>
      </c>
      <c r="F2" s="261">
        <v>85.5</v>
      </c>
    </row>
    <row r="3" spans="1:6" x14ac:dyDescent="0.2">
      <c r="A3" s="125" t="s">
        <v>354</v>
      </c>
      <c r="D3" s="126" t="s">
        <v>20</v>
      </c>
      <c r="E3" s="262">
        <v>2785</v>
      </c>
      <c r="F3" s="263">
        <v>89.1</v>
      </c>
    </row>
    <row r="4" spans="1:6" x14ac:dyDescent="0.2">
      <c r="A4" s="125" t="s">
        <v>18</v>
      </c>
      <c r="D4" s="126" t="s">
        <v>19</v>
      </c>
      <c r="E4" s="262">
        <v>600</v>
      </c>
      <c r="F4" s="263">
        <v>88</v>
      </c>
    </row>
    <row r="5" spans="1:6" x14ac:dyDescent="0.2">
      <c r="A5" s="125" t="s">
        <v>21</v>
      </c>
      <c r="D5" s="126" t="s">
        <v>22</v>
      </c>
      <c r="E5" s="262">
        <v>1099</v>
      </c>
      <c r="F5" s="263">
        <v>87.9</v>
      </c>
    </row>
    <row r="6" spans="1:6" x14ac:dyDescent="0.2">
      <c r="A6" s="125" t="s">
        <v>23</v>
      </c>
      <c r="D6" s="126" t="s">
        <v>24</v>
      </c>
      <c r="E6" s="262">
        <v>582</v>
      </c>
      <c r="F6" s="263">
        <v>74.400000000000006</v>
      </c>
    </row>
    <row r="7" spans="1:6" x14ac:dyDescent="0.2">
      <c r="A7" s="125" t="s">
        <v>25</v>
      </c>
      <c r="D7" s="126" t="s">
        <v>26</v>
      </c>
      <c r="E7" s="262">
        <v>758</v>
      </c>
      <c r="F7" s="263">
        <v>83.1</v>
      </c>
    </row>
    <row r="8" spans="1:6" x14ac:dyDescent="0.2">
      <c r="A8" s="125" t="s">
        <v>27</v>
      </c>
      <c r="D8" s="126" t="s">
        <v>28</v>
      </c>
      <c r="E8" s="262">
        <v>1319</v>
      </c>
      <c r="F8" s="263">
        <v>88.6</v>
      </c>
    </row>
    <row r="9" spans="1:6" x14ac:dyDescent="0.2">
      <c r="A9" s="125" t="s">
        <v>29</v>
      </c>
      <c r="D9" s="126" t="s">
        <v>30</v>
      </c>
      <c r="E9" s="262">
        <v>1110</v>
      </c>
      <c r="F9" s="263">
        <v>87.7</v>
      </c>
    </row>
    <row r="10" spans="1:6" x14ac:dyDescent="0.2">
      <c r="A10" s="125" t="s">
        <v>31</v>
      </c>
      <c r="D10" s="126" t="s">
        <v>32</v>
      </c>
      <c r="E10" s="262">
        <v>1814</v>
      </c>
      <c r="F10" s="263">
        <v>80.400000000000006</v>
      </c>
    </row>
    <row r="11" spans="1:6" x14ac:dyDescent="0.2">
      <c r="A11" s="125" t="s">
        <v>33</v>
      </c>
      <c r="D11" s="126" t="s">
        <v>34</v>
      </c>
      <c r="E11" s="262">
        <v>931</v>
      </c>
      <c r="F11" s="263">
        <v>79.900000000000006</v>
      </c>
    </row>
    <row r="12" spans="1:6" x14ac:dyDescent="0.2">
      <c r="A12" s="125" t="s">
        <v>35</v>
      </c>
      <c r="D12" s="126" t="s">
        <v>36</v>
      </c>
      <c r="E12" s="262">
        <v>886</v>
      </c>
      <c r="F12" s="263">
        <v>90.4</v>
      </c>
    </row>
    <row r="13" spans="1:6" x14ac:dyDescent="0.2">
      <c r="A13" s="125" t="s">
        <v>37</v>
      </c>
      <c r="D13" s="126" t="s">
        <v>38</v>
      </c>
      <c r="E13" s="262">
        <v>1130</v>
      </c>
      <c r="F13" s="263">
        <v>79</v>
      </c>
    </row>
    <row r="14" spans="1:6" x14ac:dyDescent="0.2">
      <c r="A14" s="125" t="s">
        <v>39</v>
      </c>
      <c r="D14" s="126" t="s">
        <v>40</v>
      </c>
      <c r="E14" s="262">
        <v>1609</v>
      </c>
      <c r="F14" s="263">
        <v>88.3</v>
      </c>
    </row>
    <row r="15" spans="1:6" x14ac:dyDescent="0.2">
      <c r="A15" s="3"/>
      <c r="D15" s="3"/>
      <c r="E15" s="264"/>
      <c r="F15" s="264"/>
    </row>
    <row r="16" spans="1:6" x14ac:dyDescent="0.2">
      <c r="A16" s="16" t="s">
        <v>381</v>
      </c>
      <c r="D16" s="17" t="s">
        <v>41</v>
      </c>
      <c r="E16" s="260">
        <v>40913</v>
      </c>
      <c r="F16" s="261">
        <v>80</v>
      </c>
    </row>
    <row r="17" spans="1:6" x14ac:dyDescent="0.2">
      <c r="A17" s="125" t="s">
        <v>42</v>
      </c>
      <c r="D17" s="126" t="s">
        <v>43</v>
      </c>
      <c r="E17" s="262">
        <v>904</v>
      </c>
      <c r="F17" s="263">
        <v>74.099999999999994</v>
      </c>
    </row>
    <row r="18" spans="1:6" x14ac:dyDescent="0.2">
      <c r="A18" s="125" t="s">
        <v>44</v>
      </c>
      <c r="D18" s="126" t="s">
        <v>45</v>
      </c>
      <c r="E18" s="262">
        <v>825</v>
      </c>
      <c r="F18" s="263">
        <v>73.599999999999994</v>
      </c>
    </row>
    <row r="19" spans="1:6" x14ac:dyDescent="0.2">
      <c r="A19" s="125" t="s">
        <v>46</v>
      </c>
      <c r="D19" s="126" t="s">
        <v>47</v>
      </c>
      <c r="E19" s="262">
        <v>1808</v>
      </c>
      <c r="F19" s="263">
        <v>81.900000000000006</v>
      </c>
    </row>
    <row r="20" spans="1:6" x14ac:dyDescent="0.2">
      <c r="A20" s="125" t="s">
        <v>48</v>
      </c>
      <c r="D20" s="126" t="s">
        <v>49</v>
      </c>
      <c r="E20" s="262">
        <v>1115</v>
      </c>
      <c r="F20" s="263">
        <v>79.900000000000006</v>
      </c>
    </row>
    <row r="21" spans="1:6" x14ac:dyDescent="0.2">
      <c r="A21" s="125" t="s">
        <v>50</v>
      </c>
      <c r="D21" s="126" t="s">
        <v>51</v>
      </c>
      <c r="E21" s="262">
        <v>2114</v>
      </c>
      <c r="F21" s="263">
        <v>79.3</v>
      </c>
    </row>
    <row r="22" spans="1:6" x14ac:dyDescent="0.2">
      <c r="A22" s="125" t="s">
        <v>52</v>
      </c>
      <c r="D22" s="126" t="s">
        <v>53</v>
      </c>
      <c r="E22" s="262">
        <v>1998</v>
      </c>
      <c r="F22" s="263">
        <v>78.8</v>
      </c>
    </row>
    <row r="23" spans="1:6" x14ac:dyDescent="0.2">
      <c r="A23" s="125" t="s">
        <v>54</v>
      </c>
      <c r="D23" s="126" t="s">
        <v>55</v>
      </c>
      <c r="E23" s="262">
        <v>2926</v>
      </c>
      <c r="F23" s="263">
        <v>76.400000000000006</v>
      </c>
    </row>
    <row r="24" spans="1:6" x14ac:dyDescent="0.2">
      <c r="A24" s="125" t="s">
        <v>56</v>
      </c>
      <c r="D24" s="126" t="s">
        <v>57</v>
      </c>
      <c r="E24" s="262">
        <v>720</v>
      </c>
      <c r="F24" s="263">
        <v>82.6</v>
      </c>
    </row>
    <row r="25" spans="1:6" x14ac:dyDescent="0.2">
      <c r="A25" s="125" t="s">
        <v>58</v>
      </c>
      <c r="D25" s="126" t="s">
        <v>59</v>
      </c>
      <c r="E25" s="262">
        <v>695</v>
      </c>
      <c r="F25" s="263">
        <v>70.2</v>
      </c>
    </row>
    <row r="26" spans="1:6" x14ac:dyDescent="0.2">
      <c r="A26" s="125" t="s">
        <v>60</v>
      </c>
      <c r="D26" s="126" t="s">
        <v>61</v>
      </c>
      <c r="E26" s="262">
        <v>6825</v>
      </c>
      <c r="F26" s="263">
        <v>79.099999999999994</v>
      </c>
    </row>
    <row r="27" spans="1:6" x14ac:dyDescent="0.2">
      <c r="A27" s="125" t="s">
        <v>62</v>
      </c>
      <c r="D27" s="126" t="s">
        <v>63</v>
      </c>
      <c r="E27" s="262">
        <v>2501</v>
      </c>
      <c r="F27" s="263">
        <v>82.4</v>
      </c>
    </row>
    <row r="28" spans="1:6" x14ac:dyDescent="0.2">
      <c r="A28" s="125" t="s">
        <v>64</v>
      </c>
      <c r="D28" s="126" t="s">
        <v>65</v>
      </c>
      <c r="E28" s="262">
        <v>2273</v>
      </c>
      <c r="F28" s="263">
        <v>78</v>
      </c>
    </row>
    <row r="29" spans="1:6" x14ac:dyDescent="0.2">
      <c r="A29" s="125" t="s">
        <v>66</v>
      </c>
      <c r="D29" s="126" t="s">
        <v>67</v>
      </c>
      <c r="E29" s="262">
        <v>1623</v>
      </c>
      <c r="F29" s="263">
        <v>80.7</v>
      </c>
    </row>
    <row r="30" spans="1:6" x14ac:dyDescent="0.2">
      <c r="A30" s="125" t="s">
        <v>68</v>
      </c>
      <c r="D30" s="126" t="s">
        <v>69</v>
      </c>
      <c r="E30" s="262">
        <v>1183</v>
      </c>
      <c r="F30" s="263">
        <v>78.3</v>
      </c>
    </row>
    <row r="31" spans="1:6" x14ac:dyDescent="0.2">
      <c r="A31" s="125" t="s">
        <v>70</v>
      </c>
      <c r="D31" s="126" t="s">
        <v>71</v>
      </c>
      <c r="E31" s="262">
        <v>1156</v>
      </c>
      <c r="F31" s="263">
        <v>82.2</v>
      </c>
    </row>
    <row r="32" spans="1:6" x14ac:dyDescent="0.2">
      <c r="A32" s="125" t="s">
        <v>72</v>
      </c>
      <c r="D32" s="126" t="s">
        <v>73</v>
      </c>
      <c r="E32" s="262">
        <v>1788</v>
      </c>
      <c r="F32" s="263">
        <v>85</v>
      </c>
    </row>
    <row r="33" spans="1:6" x14ac:dyDescent="0.2">
      <c r="A33" s="125" t="s">
        <v>74</v>
      </c>
      <c r="D33" s="126" t="s">
        <v>75</v>
      </c>
      <c r="E33" s="262">
        <v>987</v>
      </c>
      <c r="F33" s="263">
        <v>83.9</v>
      </c>
    </row>
    <row r="34" spans="1:6" x14ac:dyDescent="0.2">
      <c r="A34" s="125" t="s">
        <v>76</v>
      </c>
      <c r="D34" s="126" t="s">
        <v>77</v>
      </c>
      <c r="E34" s="262">
        <v>1540</v>
      </c>
      <c r="F34" s="263">
        <v>81.400000000000006</v>
      </c>
    </row>
    <row r="35" spans="1:6" x14ac:dyDescent="0.2">
      <c r="A35" s="125" t="s">
        <v>78</v>
      </c>
      <c r="D35" s="126" t="s">
        <v>79</v>
      </c>
      <c r="E35" s="262">
        <v>1347</v>
      </c>
      <c r="F35" s="263">
        <v>80.7</v>
      </c>
    </row>
    <row r="36" spans="1:6" x14ac:dyDescent="0.2">
      <c r="A36" s="125" t="s">
        <v>80</v>
      </c>
      <c r="D36" s="126" t="s">
        <v>81</v>
      </c>
      <c r="E36" s="262">
        <v>1533</v>
      </c>
      <c r="F36" s="263">
        <v>86.5</v>
      </c>
    </row>
    <row r="37" spans="1:6" x14ac:dyDescent="0.2">
      <c r="A37" s="125" t="s">
        <v>82</v>
      </c>
      <c r="D37" s="126" t="s">
        <v>83</v>
      </c>
      <c r="E37" s="262">
        <v>1260</v>
      </c>
      <c r="F37" s="263">
        <v>80</v>
      </c>
    </row>
    <row r="38" spans="1:6" x14ac:dyDescent="0.2">
      <c r="A38" s="125" t="s">
        <v>84</v>
      </c>
      <c r="D38" s="126" t="s">
        <v>85</v>
      </c>
      <c r="E38" s="262">
        <v>1895</v>
      </c>
      <c r="F38" s="263">
        <v>79</v>
      </c>
    </row>
    <row r="39" spans="1:6" x14ac:dyDescent="0.2">
      <c r="A39" s="125" t="s">
        <v>86</v>
      </c>
      <c r="D39" s="126" t="s">
        <v>87</v>
      </c>
      <c r="E39" s="262">
        <v>1897</v>
      </c>
      <c r="F39" s="263">
        <v>83.3</v>
      </c>
    </row>
    <row r="40" spans="1:6" x14ac:dyDescent="0.2">
      <c r="A40" s="3"/>
      <c r="D40" s="3"/>
      <c r="E40" s="264"/>
      <c r="F40" s="264"/>
    </row>
    <row r="41" spans="1:6" x14ac:dyDescent="0.2">
      <c r="A41" s="16" t="s">
        <v>382</v>
      </c>
      <c r="D41" s="17" t="s">
        <v>88</v>
      </c>
      <c r="E41" s="260">
        <v>29721</v>
      </c>
      <c r="F41" s="261">
        <v>81</v>
      </c>
    </row>
    <row r="42" spans="1:6" x14ac:dyDescent="0.2">
      <c r="A42" s="125" t="s">
        <v>89</v>
      </c>
      <c r="D42" s="126" t="s">
        <v>90</v>
      </c>
      <c r="E42" s="262">
        <v>1285</v>
      </c>
      <c r="F42" s="263">
        <v>71.8</v>
      </c>
    </row>
    <row r="43" spans="1:6" x14ac:dyDescent="0.2">
      <c r="A43" s="125" t="s">
        <v>91</v>
      </c>
      <c r="D43" s="126" t="s">
        <v>92</v>
      </c>
      <c r="E43" s="262">
        <v>2810</v>
      </c>
      <c r="F43" s="263">
        <v>80.3</v>
      </c>
    </row>
    <row r="44" spans="1:6" x14ac:dyDescent="0.2">
      <c r="A44" s="125" t="s">
        <v>93</v>
      </c>
      <c r="D44" s="126" t="s">
        <v>94</v>
      </c>
      <c r="E44" s="262">
        <v>1354</v>
      </c>
      <c r="F44" s="263">
        <v>88.3</v>
      </c>
    </row>
    <row r="45" spans="1:6" x14ac:dyDescent="0.2">
      <c r="A45" s="125" t="s">
        <v>95</v>
      </c>
      <c r="D45" s="126" t="s">
        <v>96</v>
      </c>
      <c r="E45" s="262">
        <v>1731</v>
      </c>
      <c r="F45" s="263">
        <v>83.4</v>
      </c>
    </row>
    <row r="46" spans="1:6" x14ac:dyDescent="0.2">
      <c r="A46" s="125" t="s">
        <v>97</v>
      </c>
      <c r="D46" s="126" t="s">
        <v>98</v>
      </c>
      <c r="E46" s="262">
        <v>1976</v>
      </c>
      <c r="F46" s="263">
        <v>80</v>
      </c>
    </row>
    <row r="47" spans="1:6" x14ac:dyDescent="0.2">
      <c r="A47" s="125" t="s">
        <v>99</v>
      </c>
      <c r="D47" s="126" t="s">
        <v>100</v>
      </c>
      <c r="E47" s="262">
        <v>1276</v>
      </c>
      <c r="F47" s="263">
        <v>86.4</v>
      </c>
    </row>
    <row r="48" spans="1:6" x14ac:dyDescent="0.2">
      <c r="A48" s="125" t="s">
        <v>101</v>
      </c>
      <c r="D48" s="126" t="s">
        <v>102</v>
      </c>
      <c r="E48" s="262">
        <v>2416</v>
      </c>
      <c r="F48" s="263">
        <v>80.599999999999994</v>
      </c>
    </row>
    <row r="49" spans="1:6" x14ac:dyDescent="0.2">
      <c r="A49" s="125" t="s">
        <v>103</v>
      </c>
      <c r="D49" s="126" t="s">
        <v>104</v>
      </c>
      <c r="E49" s="262">
        <v>4035</v>
      </c>
      <c r="F49" s="263">
        <v>82.1</v>
      </c>
    </row>
    <row r="50" spans="1:6" x14ac:dyDescent="0.2">
      <c r="A50" s="125" t="s">
        <v>105</v>
      </c>
      <c r="D50" s="126" t="s">
        <v>106</v>
      </c>
      <c r="E50" s="262">
        <v>898</v>
      </c>
      <c r="F50" s="263">
        <v>83.9</v>
      </c>
    </row>
    <row r="51" spans="1:6" x14ac:dyDescent="0.2">
      <c r="A51" s="125" t="s">
        <v>107</v>
      </c>
      <c r="D51" s="126" t="s">
        <v>108</v>
      </c>
      <c r="E51" s="262">
        <v>987</v>
      </c>
      <c r="F51" s="263">
        <v>85.3</v>
      </c>
    </row>
    <row r="52" spans="1:6" x14ac:dyDescent="0.2">
      <c r="A52" s="125" t="s">
        <v>109</v>
      </c>
      <c r="D52" s="126" t="s">
        <v>110</v>
      </c>
      <c r="E52" s="262">
        <v>3448</v>
      </c>
      <c r="F52" s="263">
        <v>80.900000000000006</v>
      </c>
    </row>
    <row r="53" spans="1:6" x14ac:dyDescent="0.2">
      <c r="A53" s="125" t="s">
        <v>111</v>
      </c>
      <c r="D53" s="126" t="s">
        <v>112</v>
      </c>
      <c r="E53" s="262">
        <v>1827</v>
      </c>
      <c r="F53" s="263">
        <v>80.3</v>
      </c>
    </row>
    <row r="54" spans="1:6" x14ac:dyDescent="0.2">
      <c r="A54" s="125" t="s">
        <v>113</v>
      </c>
      <c r="D54" s="126" t="s">
        <v>114</v>
      </c>
      <c r="E54" s="262">
        <v>2794</v>
      </c>
      <c r="F54" s="263">
        <v>70.7</v>
      </c>
    </row>
    <row r="55" spans="1:6" x14ac:dyDescent="0.2">
      <c r="A55" s="125" t="s">
        <v>115</v>
      </c>
      <c r="D55" s="126" t="s">
        <v>116</v>
      </c>
      <c r="E55" s="262">
        <v>2005</v>
      </c>
      <c r="F55" s="263">
        <v>86.4</v>
      </c>
    </row>
    <row r="56" spans="1:6" x14ac:dyDescent="0.2">
      <c r="A56" s="125" t="s">
        <v>117</v>
      </c>
      <c r="D56" s="126" t="s">
        <v>118</v>
      </c>
      <c r="E56" s="262">
        <v>879</v>
      </c>
      <c r="F56" s="263">
        <v>85</v>
      </c>
    </row>
    <row r="57" spans="1:6" x14ac:dyDescent="0.2">
      <c r="A57" s="3"/>
      <c r="D57" s="3"/>
      <c r="E57" s="264"/>
      <c r="F57" s="264"/>
    </row>
    <row r="58" spans="1:6" x14ac:dyDescent="0.2">
      <c r="A58" s="16" t="s">
        <v>385</v>
      </c>
      <c r="D58" s="17" t="s">
        <v>119</v>
      </c>
      <c r="E58" s="260">
        <v>25559</v>
      </c>
      <c r="F58" s="261">
        <v>79.2</v>
      </c>
    </row>
    <row r="59" spans="1:6" x14ac:dyDescent="0.2">
      <c r="A59" s="125" t="s">
        <v>120</v>
      </c>
      <c r="D59" s="126" t="s">
        <v>121</v>
      </c>
      <c r="E59" s="262">
        <v>1464</v>
      </c>
      <c r="F59" s="263">
        <v>77.400000000000006</v>
      </c>
    </row>
    <row r="60" spans="1:6" x14ac:dyDescent="0.2">
      <c r="A60" s="125" t="s">
        <v>122</v>
      </c>
      <c r="D60" s="126" t="s">
        <v>123</v>
      </c>
      <c r="E60" s="262">
        <v>4216</v>
      </c>
      <c r="F60" s="263">
        <v>78</v>
      </c>
    </row>
    <row r="61" spans="1:6" x14ac:dyDescent="0.2">
      <c r="A61" s="125" t="s">
        <v>124</v>
      </c>
      <c r="D61" s="126" t="s">
        <v>125</v>
      </c>
      <c r="E61" s="262">
        <v>1811</v>
      </c>
      <c r="F61" s="263">
        <v>75.5</v>
      </c>
    </row>
    <row r="62" spans="1:6" x14ac:dyDescent="0.2">
      <c r="A62" s="125" t="s">
        <v>126</v>
      </c>
      <c r="D62" s="126" t="s">
        <v>127</v>
      </c>
      <c r="E62" s="262">
        <v>3729</v>
      </c>
      <c r="F62" s="263">
        <v>78.7</v>
      </c>
    </row>
    <row r="63" spans="1:6" x14ac:dyDescent="0.2">
      <c r="A63" s="125" t="s">
        <v>128</v>
      </c>
      <c r="D63" s="126" t="s">
        <v>129</v>
      </c>
      <c r="E63" s="262">
        <v>4239</v>
      </c>
      <c r="F63" s="263">
        <v>81.099999999999994</v>
      </c>
    </row>
    <row r="64" spans="1:6" x14ac:dyDescent="0.2">
      <c r="A64" s="125" t="s">
        <v>130</v>
      </c>
      <c r="D64" s="126" t="s">
        <v>131</v>
      </c>
      <c r="E64" s="262">
        <v>4047</v>
      </c>
      <c r="F64" s="263">
        <v>76.2</v>
      </c>
    </row>
    <row r="65" spans="1:6" x14ac:dyDescent="0.2">
      <c r="A65" s="125" t="s">
        <v>132</v>
      </c>
      <c r="D65" s="126" t="s">
        <v>133</v>
      </c>
      <c r="E65" s="262">
        <v>1414</v>
      </c>
      <c r="F65" s="263">
        <v>72.3</v>
      </c>
    </row>
    <row r="66" spans="1:6" x14ac:dyDescent="0.2">
      <c r="A66" s="125" t="s">
        <v>134</v>
      </c>
      <c r="D66" s="126" t="s">
        <v>135</v>
      </c>
      <c r="E66" s="262">
        <v>4389</v>
      </c>
      <c r="F66" s="263">
        <v>86.2</v>
      </c>
    </row>
    <row r="67" spans="1:6" x14ac:dyDescent="0.2">
      <c r="A67" s="125" t="s">
        <v>136</v>
      </c>
      <c r="D67" s="126" t="s">
        <v>137</v>
      </c>
      <c r="E67" s="262">
        <v>250</v>
      </c>
      <c r="F67" s="263">
        <v>81.599999999999994</v>
      </c>
    </row>
    <row r="68" spans="1:6" x14ac:dyDescent="0.2">
      <c r="A68" s="3"/>
      <c r="D68" s="3"/>
      <c r="E68" s="264"/>
      <c r="F68" s="264"/>
    </row>
    <row r="69" spans="1:6" x14ac:dyDescent="0.2">
      <c r="A69" s="17" t="s">
        <v>386</v>
      </c>
      <c r="D69" s="17" t="s">
        <v>138</v>
      </c>
      <c r="E69" s="260">
        <v>33086</v>
      </c>
      <c r="F69" s="261">
        <v>82.7</v>
      </c>
    </row>
    <row r="70" spans="1:6" x14ac:dyDescent="0.2">
      <c r="A70" s="125" t="s">
        <v>139</v>
      </c>
      <c r="D70" s="126" t="s">
        <v>140</v>
      </c>
      <c r="E70" s="262">
        <v>6309</v>
      </c>
      <c r="F70" s="263">
        <v>85.4</v>
      </c>
    </row>
    <row r="71" spans="1:6" x14ac:dyDescent="0.2">
      <c r="A71" s="125" t="s">
        <v>141</v>
      </c>
      <c r="D71" s="126" t="s">
        <v>142</v>
      </c>
      <c r="E71" s="262">
        <v>1811</v>
      </c>
      <c r="F71" s="263">
        <v>86.2</v>
      </c>
    </row>
    <row r="72" spans="1:6" x14ac:dyDescent="0.2">
      <c r="A72" s="125" t="s">
        <v>143</v>
      </c>
      <c r="D72" s="126" t="s">
        <v>144</v>
      </c>
      <c r="E72" s="262">
        <v>2073</v>
      </c>
      <c r="F72" s="263">
        <v>77.5</v>
      </c>
    </row>
    <row r="73" spans="1:6" x14ac:dyDescent="0.2">
      <c r="A73" s="125" t="s">
        <v>355</v>
      </c>
      <c r="D73" s="126" t="s">
        <v>145</v>
      </c>
      <c r="E73" s="262">
        <v>940</v>
      </c>
      <c r="F73" s="263">
        <v>80.5</v>
      </c>
    </row>
    <row r="74" spans="1:6" x14ac:dyDescent="0.2">
      <c r="A74" s="125" t="s">
        <v>146</v>
      </c>
      <c r="D74" s="126" t="s">
        <v>147</v>
      </c>
      <c r="E74" s="262">
        <v>1977</v>
      </c>
      <c r="F74" s="263">
        <v>85.7</v>
      </c>
    </row>
    <row r="75" spans="1:6" x14ac:dyDescent="0.2">
      <c r="A75" s="125" t="s">
        <v>148</v>
      </c>
      <c r="D75" s="126" t="s">
        <v>149</v>
      </c>
      <c r="E75" s="262">
        <v>1650</v>
      </c>
      <c r="F75" s="263">
        <v>75.099999999999994</v>
      </c>
    </row>
    <row r="76" spans="1:6" x14ac:dyDescent="0.2">
      <c r="A76" s="125" t="s">
        <v>150</v>
      </c>
      <c r="D76" s="126" t="s">
        <v>151</v>
      </c>
      <c r="E76" s="262">
        <v>1584</v>
      </c>
      <c r="F76" s="263">
        <v>87.4</v>
      </c>
    </row>
    <row r="77" spans="1:6" x14ac:dyDescent="0.2">
      <c r="A77" s="125" t="s">
        <v>152</v>
      </c>
      <c r="D77" s="126" t="s">
        <v>153</v>
      </c>
      <c r="E77" s="262">
        <v>4922</v>
      </c>
      <c r="F77" s="263">
        <v>80</v>
      </c>
    </row>
    <row r="78" spans="1:6" x14ac:dyDescent="0.2">
      <c r="A78" s="125" t="s">
        <v>154</v>
      </c>
      <c r="D78" s="126" t="s">
        <v>155</v>
      </c>
      <c r="E78" s="262">
        <v>1383</v>
      </c>
      <c r="F78" s="263">
        <v>78.3</v>
      </c>
    </row>
    <row r="79" spans="1:6" x14ac:dyDescent="0.2">
      <c r="A79" s="125" t="s">
        <v>156</v>
      </c>
      <c r="D79" s="126" t="s">
        <v>157</v>
      </c>
      <c r="E79" s="262">
        <v>1081</v>
      </c>
      <c r="F79" s="263">
        <v>85.4</v>
      </c>
    </row>
    <row r="80" spans="1:6" x14ac:dyDescent="0.2">
      <c r="A80" s="125" t="s">
        <v>158</v>
      </c>
      <c r="D80" s="126" t="s">
        <v>159</v>
      </c>
      <c r="E80" s="262">
        <v>1789</v>
      </c>
      <c r="F80" s="263">
        <v>85.2</v>
      </c>
    </row>
    <row r="81" spans="1:6" x14ac:dyDescent="0.2">
      <c r="A81" s="125" t="s">
        <v>160</v>
      </c>
      <c r="D81" s="126" t="s">
        <v>161</v>
      </c>
      <c r="E81" s="262">
        <v>3093</v>
      </c>
      <c r="F81" s="263">
        <v>82.9</v>
      </c>
    </row>
    <row r="82" spans="1:6" x14ac:dyDescent="0.2">
      <c r="A82" s="125" t="s">
        <v>162</v>
      </c>
      <c r="D82" s="126" t="s">
        <v>163</v>
      </c>
      <c r="E82" s="262">
        <v>1294</v>
      </c>
      <c r="F82" s="263">
        <v>85.2</v>
      </c>
    </row>
    <row r="83" spans="1:6" x14ac:dyDescent="0.2">
      <c r="A83" s="125" t="s">
        <v>164</v>
      </c>
      <c r="D83" s="126" t="s">
        <v>165</v>
      </c>
      <c r="E83" s="262">
        <v>3180</v>
      </c>
      <c r="F83" s="263">
        <v>81.599999999999994</v>
      </c>
    </row>
    <row r="84" spans="1:6" x14ac:dyDescent="0.2">
      <c r="A84" s="3"/>
      <c r="D84" s="3"/>
      <c r="E84" s="264"/>
      <c r="F84" s="264"/>
    </row>
    <row r="85" spans="1:6" x14ac:dyDescent="0.2">
      <c r="A85" s="17" t="s">
        <v>383</v>
      </c>
      <c r="D85" s="17" t="s">
        <v>166</v>
      </c>
      <c r="E85" s="260">
        <v>33186</v>
      </c>
      <c r="F85" s="261">
        <v>76.099999999999994</v>
      </c>
    </row>
    <row r="86" spans="1:6" x14ac:dyDescent="0.2">
      <c r="A86" s="125" t="s">
        <v>167</v>
      </c>
      <c r="D86" s="126" t="s">
        <v>168</v>
      </c>
      <c r="E86" s="262">
        <v>989</v>
      </c>
      <c r="F86" s="263">
        <v>73.900000000000006</v>
      </c>
    </row>
    <row r="87" spans="1:6" x14ac:dyDescent="0.2">
      <c r="A87" s="125" t="s">
        <v>169</v>
      </c>
      <c r="D87" s="126" t="s">
        <v>170</v>
      </c>
      <c r="E87" s="262">
        <v>3094</v>
      </c>
      <c r="F87" s="263">
        <v>76</v>
      </c>
    </row>
    <row r="88" spans="1:6" x14ac:dyDescent="0.2">
      <c r="A88" s="125" t="s">
        <v>171</v>
      </c>
      <c r="D88" s="126" t="s">
        <v>172</v>
      </c>
      <c r="E88" s="262">
        <v>1502</v>
      </c>
      <c r="F88" s="263">
        <v>77.8</v>
      </c>
    </row>
    <row r="89" spans="1:6" x14ac:dyDescent="0.2">
      <c r="A89" s="125" t="s">
        <v>173</v>
      </c>
      <c r="D89" s="126" t="s">
        <v>174</v>
      </c>
      <c r="E89" s="262">
        <v>8079</v>
      </c>
      <c r="F89" s="263">
        <v>76.7</v>
      </c>
    </row>
    <row r="90" spans="1:6" x14ac:dyDescent="0.2">
      <c r="A90" s="125" t="s">
        <v>175</v>
      </c>
      <c r="D90" s="126" t="s">
        <v>176</v>
      </c>
      <c r="E90" s="262">
        <v>6599</v>
      </c>
      <c r="F90" s="263">
        <v>81</v>
      </c>
    </row>
    <row r="91" spans="1:6" x14ac:dyDescent="0.2">
      <c r="A91" s="125" t="s">
        <v>177</v>
      </c>
      <c r="D91" s="126" t="s">
        <v>178</v>
      </c>
      <c r="E91" s="262">
        <v>1245</v>
      </c>
      <c r="F91" s="263">
        <v>85</v>
      </c>
    </row>
    <row r="92" spans="1:6" x14ac:dyDescent="0.2">
      <c r="A92" s="125" t="s">
        <v>179</v>
      </c>
      <c r="D92" s="126" t="s">
        <v>180</v>
      </c>
      <c r="E92" s="262">
        <v>4565</v>
      </c>
      <c r="F92" s="263">
        <v>67.7</v>
      </c>
    </row>
    <row r="93" spans="1:6" x14ac:dyDescent="0.2">
      <c r="A93" s="125" t="s">
        <v>181</v>
      </c>
      <c r="D93" s="126" t="s">
        <v>182</v>
      </c>
      <c r="E93" s="262">
        <v>1118</v>
      </c>
      <c r="F93" s="263">
        <v>83.6</v>
      </c>
    </row>
    <row r="94" spans="1:6" x14ac:dyDescent="0.2">
      <c r="A94" s="125" t="s">
        <v>183</v>
      </c>
      <c r="D94" s="126" t="s">
        <v>184</v>
      </c>
      <c r="E94" s="262">
        <v>1159</v>
      </c>
      <c r="F94" s="263">
        <v>78.3</v>
      </c>
    </row>
    <row r="95" spans="1:6" x14ac:dyDescent="0.2">
      <c r="A95" s="125" t="s">
        <v>185</v>
      </c>
      <c r="D95" s="126" t="s">
        <v>186</v>
      </c>
      <c r="E95" s="262">
        <v>3958</v>
      </c>
      <c r="F95" s="263">
        <v>68.400000000000006</v>
      </c>
    </row>
    <row r="96" spans="1:6" x14ac:dyDescent="0.2">
      <c r="A96" s="125" t="s">
        <v>187</v>
      </c>
      <c r="D96" s="126" t="s">
        <v>188</v>
      </c>
      <c r="E96" s="262">
        <v>878</v>
      </c>
      <c r="F96" s="263">
        <v>86.7</v>
      </c>
    </row>
    <row r="97" spans="1:6" x14ac:dyDescent="0.2">
      <c r="A97" s="3"/>
      <c r="D97" s="3"/>
      <c r="E97" s="264"/>
      <c r="F97" s="264"/>
    </row>
    <row r="98" spans="1:6" x14ac:dyDescent="0.2">
      <c r="A98" s="17" t="s">
        <v>384</v>
      </c>
      <c r="D98" s="17" t="s">
        <v>189</v>
      </c>
      <c r="E98" s="260">
        <v>38268</v>
      </c>
      <c r="F98" s="261">
        <v>81.599999999999994</v>
      </c>
    </row>
    <row r="99" spans="1:6" x14ac:dyDescent="0.2">
      <c r="A99" s="16" t="s">
        <v>190</v>
      </c>
      <c r="D99" s="17" t="s">
        <v>191</v>
      </c>
      <c r="E99" s="262">
        <v>12002</v>
      </c>
      <c r="F99" s="263">
        <v>80.2</v>
      </c>
    </row>
    <row r="100" spans="1:6" x14ac:dyDescent="0.2">
      <c r="A100" s="125" t="s">
        <v>192</v>
      </c>
      <c r="D100" s="126" t="s">
        <v>193</v>
      </c>
      <c r="E100" s="262">
        <v>627</v>
      </c>
      <c r="F100" s="263">
        <v>69.099999999999994</v>
      </c>
    </row>
    <row r="101" spans="1:6" x14ac:dyDescent="0.2">
      <c r="A101" s="125" t="s">
        <v>194</v>
      </c>
      <c r="D101" s="143" t="s">
        <v>195</v>
      </c>
      <c r="E101" s="265" t="s">
        <v>196</v>
      </c>
      <c r="F101" s="265" t="s">
        <v>196</v>
      </c>
    </row>
    <row r="102" spans="1:6" x14ac:dyDescent="0.2">
      <c r="A102" s="125" t="s">
        <v>197</v>
      </c>
      <c r="D102" s="126" t="s">
        <v>198</v>
      </c>
      <c r="E102" s="262">
        <v>682</v>
      </c>
      <c r="F102" s="263">
        <v>77.599999999999994</v>
      </c>
    </row>
    <row r="103" spans="1:6" x14ac:dyDescent="0.2">
      <c r="A103" s="125" t="s">
        <v>199</v>
      </c>
      <c r="D103" s="126" t="s">
        <v>200</v>
      </c>
      <c r="E103" s="262">
        <v>558</v>
      </c>
      <c r="F103" s="263">
        <v>79.900000000000006</v>
      </c>
    </row>
    <row r="104" spans="1:6" x14ac:dyDescent="0.2">
      <c r="A104" s="125" t="s">
        <v>201</v>
      </c>
      <c r="D104" s="126" t="s">
        <v>202</v>
      </c>
      <c r="E104" s="262">
        <v>1107</v>
      </c>
      <c r="F104" s="263">
        <v>81.400000000000006</v>
      </c>
    </row>
    <row r="105" spans="1:6" x14ac:dyDescent="0.2">
      <c r="A105" s="125" t="s">
        <v>203</v>
      </c>
      <c r="D105" s="126" t="s">
        <v>204</v>
      </c>
      <c r="E105" s="262">
        <v>772</v>
      </c>
      <c r="F105" s="263">
        <v>85.8</v>
      </c>
    </row>
    <row r="106" spans="1:6" x14ac:dyDescent="0.2">
      <c r="A106" s="125" t="s">
        <v>205</v>
      </c>
      <c r="D106" s="126" t="s">
        <v>206</v>
      </c>
      <c r="E106" s="262">
        <v>328</v>
      </c>
      <c r="F106" s="263">
        <v>94.8</v>
      </c>
    </row>
    <row r="107" spans="1:6" x14ac:dyDescent="0.2">
      <c r="A107" s="125" t="s">
        <v>207</v>
      </c>
      <c r="D107" s="126" t="s">
        <v>208</v>
      </c>
      <c r="E107" s="262">
        <v>935</v>
      </c>
      <c r="F107" s="263">
        <v>83.1</v>
      </c>
    </row>
    <row r="108" spans="1:6" x14ac:dyDescent="0.2">
      <c r="A108" s="125" t="s">
        <v>209</v>
      </c>
      <c r="D108" s="126" t="s">
        <v>210</v>
      </c>
      <c r="E108" s="262">
        <v>1191</v>
      </c>
      <c r="F108" s="263">
        <v>77.2</v>
      </c>
    </row>
    <row r="109" spans="1:6" x14ac:dyDescent="0.2">
      <c r="A109" s="125" t="s">
        <v>211</v>
      </c>
      <c r="D109" s="126" t="s">
        <v>212</v>
      </c>
      <c r="E109" s="262">
        <v>1699</v>
      </c>
      <c r="F109" s="263">
        <v>75.8</v>
      </c>
    </row>
    <row r="110" spans="1:6" x14ac:dyDescent="0.2">
      <c r="A110" s="125" t="s">
        <v>213</v>
      </c>
      <c r="D110" s="126" t="s">
        <v>214</v>
      </c>
      <c r="E110" s="262">
        <v>1164</v>
      </c>
      <c r="F110" s="263">
        <v>80.8</v>
      </c>
    </row>
    <row r="111" spans="1:6" x14ac:dyDescent="0.2">
      <c r="A111" s="125" t="s">
        <v>215</v>
      </c>
      <c r="D111" s="126" t="s">
        <v>216</v>
      </c>
      <c r="E111" s="262">
        <v>1281</v>
      </c>
      <c r="F111" s="263">
        <v>81.900000000000006</v>
      </c>
    </row>
    <row r="112" spans="1:6" x14ac:dyDescent="0.2">
      <c r="A112" s="125" t="s">
        <v>217</v>
      </c>
      <c r="D112" s="126" t="s">
        <v>218</v>
      </c>
      <c r="E112" s="262">
        <v>1007</v>
      </c>
      <c r="F112" s="263">
        <v>81.099999999999994</v>
      </c>
    </row>
    <row r="113" spans="1:6" x14ac:dyDescent="0.2">
      <c r="A113" s="125" t="s">
        <v>219</v>
      </c>
      <c r="D113" s="126" t="s">
        <v>220</v>
      </c>
      <c r="E113" s="262">
        <v>651</v>
      </c>
      <c r="F113" s="263">
        <v>84.3</v>
      </c>
    </row>
    <row r="114" spans="1:6" x14ac:dyDescent="0.2">
      <c r="A114" s="3"/>
      <c r="D114" s="26"/>
      <c r="E114" s="266"/>
      <c r="F114" s="218"/>
    </row>
    <row r="115" spans="1:6" x14ac:dyDescent="0.2">
      <c r="A115" s="17" t="s">
        <v>221</v>
      </c>
      <c r="D115" s="17" t="s">
        <v>222</v>
      </c>
      <c r="E115" s="260">
        <v>26266</v>
      </c>
      <c r="F115" s="261">
        <v>82.3</v>
      </c>
    </row>
    <row r="116" spans="1:6" x14ac:dyDescent="0.2">
      <c r="A116" s="125" t="s">
        <v>223</v>
      </c>
      <c r="D116" s="126" t="s">
        <v>224</v>
      </c>
      <c r="E116" s="262">
        <v>1153</v>
      </c>
      <c r="F116" s="263">
        <v>81.400000000000006</v>
      </c>
    </row>
    <row r="117" spans="1:6" x14ac:dyDescent="0.2">
      <c r="A117" s="125" t="s">
        <v>225</v>
      </c>
      <c r="D117" s="126" t="s">
        <v>226</v>
      </c>
      <c r="E117" s="262">
        <v>1841</v>
      </c>
      <c r="F117" s="263">
        <v>84</v>
      </c>
    </row>
    <row r="118" spans="1:6" x14ac:dyDescent="0.2">
      <c r="A118" s="125" t="s">
        <v>227</v>
      </c>
      <c r="D118" s="126" t="s">
        <v>228</v>
      </c>
      <c r="E118" s="262">
        <v>1629</v>
      </c>
      <c r="F118" s="263">
        <v>86.2</v>
      </c>
    </row>
    <row r="119" spans="1:6" x14ac:dyDescent="0.2">
      <c r="A119" s="125" t="s">
        <v>229</v>
      </c>
      <c r="D119" s="126" t="s">
        <v>230</v>
      </c>
      <c r="E119" s="262">
        <v>1477</v>
      </c>
      <c r="F119" s="263">
        <v>76</v>
      </c>
    </row>
    <row r="120" spans="1:6" x14ac:dyDescent="0.2">
      <c r="A120" s="125" t="s">
        <v>231</v>
      </c>
      <c r="D120" s="126" t="s">
        <v>232</v>
      </c>
      <c r="E120" s="262">
        <v>1685</v>
      </c>
      <c r="F120" s="263">
        <v>90.3</v>
      </c>
    </row>
    <row r="121" spans="1:6" x14ac:dyDescent="0.2">
      <c r="A121" s="125" t="s">
        <v>233</v>
      </c>
      <c r="D121" s="126" t="s">
        <v>234</v>
      </c>
      <c r="E121" s="262">
        <v>1826</v>
      </c>
      <c r="F121" s="263">
        <v>82.1</v>
      </c>
    </row>
    <row r="122" spans="1:6" x14ac:dyDescent="0.2">
      <c r="A122" s="125" t="s">
        <v>235</v>
      </c>
      <c r="D122" s="126" t="s">
        <v>236</v>
      </c>
      <c r="E122" s="262">
        <v>1424</v>
      </c>
      <c r="F122" s="263">
        <v>75.8</v>
      </c>
    </row>
    <row r="123" spans="1:6" x14ac:dyDescent="0.2">
      <c r="A123" s="125" t="s">
        <v>237</v>
      </c>
      <c r="D123" s="126" t="s">
        <v>238</v>
      </c>
      <c r="E123" s="262">
        <v>1911</v>
      </c>
      <c r="F123" s="263">
        <v>78</v>
      </c>
    </row>
    <row r="124" spans="1:6" x14ac:dyDescent="0.2">
      <c r="A124" s="125" t="s">
        <v>239</v>
      </c>
      <c r="D124" s="126" t="s">
        <v>240</v>
      </c>
      <c r="E124" s="262">
        <v>1013</v>
      </c>
      <c r="F124" s="263">
        <v>88.4</v>
      </c>
    </row>
    <row r="125" spans="1:6" x14ac:dyDescent="0.2">
      <c r="A125" s="125" t="s">
        <v>241</v>
      </c>
      <c r="D125" s="126" t="s">
        <v>242</v>
      </c>
      <c r="E125" s="262">
        <v>1034</v>
      </c>
      <c r="F125" s="263">
        <v>76.7</v>
      </c>
    </row>
    <row r="126" spans="1:6" x14ac:dyDescent="0.2">
      <c r="A126" s="125" t="s">
        <v>243</v>
      </c>
      <c r="D126" s="126" t="s">
        <v>244</v>
      </c>
      <c r="E126" s="262">
        <v>1544</v>
      </c>
      <c r="F126" s="263">
        <v>77.099999999999994</v>
      </c>
    </row>
    <row r="127" spans="1:6" x14ac:dyDescent="0.2">
      <c r="A127" s="125" t="s">
        <v>245</v>
      </c>
      <c r="D127" s="126" t="s">
        <v>246</v>
      </c>
      <c r="E127" s="262">
        <v>1561</v>
      </c>
      <c r="F127" s="263">
        <v>84.8</v>
      </c>
    </row>
    <row r="128" spans="1:6" x14ac:dyDescent="0.2">
      <c r="A128" s="125" t="s">
        <v>247</v>
      </c>
      <c r="D128" s="126" t="s">
        <v>248</v>
      </c>
      <c r="E128" s="262">
        <v>1366</v>
      </c>
      <c r="F128" s="263">
        <v>84.3</v>
      </c>
    </row>
    <row r="129" spans="1:6" x14ac:dyDescent="0.2">
      <c r="A129" s="125" t="s">
        <v>249</v>
      </c>
      <c r="D129" s="126" t="s">
        <v>250</v>
      </c>
      <c r="E129" s="262">
        <v>786</v>
      </c>
      <c r="F129" s="263">
        <v>83.3</v>
      </c>
    </row>
    <row r="130" spans="1:6" x14ac:dyDescent="0.2">
      <c r="A130" s="125" t="s">
        <v>251</v>
      </c>
      <c r="D130" s="126" t="s">
        <v>252</v>
      </c>
      <c r="E130" s="262">
        <v>842</v>
      </c>
      <c r="F130" s="263">
        <v>81.400000000000006</v>
      </c>
    </row>
    <row r="131" spans="1:6" x14ac:dyDescent="0.2">
      <c r="A131" s="125" t="s">
        <v>253</v>
      </c>
      <c r="D131" s="126" t="s">
        <v>254</v>
      </c>
      <c r="E131" s="262">
        <v>1819</v>
      </c>
      <c r="F131" s="263">
        <v>84.4</v>
      </c>
    </row>
    <row r="132" spans="1:6" x14ac:dyDescent="0.2">
      <c r="A132" s="125" t="s">
        <v>255</v>
      </c>
      <c r="D132" s="126" t="s">
        <v>256</v>
      </c>
      <c r="E132" s="262">
        <v>669</v>
      </c>
      <c r="F132" s="263">
        <v>82.7</v>
      </c>
    </row>
    <row r="133" spans="1:6" x14ac:dyDescent="0.2">
      <c r="A133" s="125" t="s">
        <v>257</v>
      </c>
      <c r="D133" s="126" t="s">
        <v>258</v>
      </c>
      <c r="E133" s="262">
        <v>1359</v>
      </c>
      <c r="F133" s="263">
        <v>91.4</v>
      </c>
    </row>
    <row r="134" spans="1:6" x14ac:dyDescent="0.2">
      <c r="A134" s="125" t="s">
        <v>259</v>
      </c>
      <c r="D134" s="126" t="s">
        <v>260</v>
      </c>
      <c r="E134" s="262">
        <v>1327</v>
      </c>
      <c r="F134" s="263">
        <v>73.900000000000006</v>
      </c>
    </row>
    <row r="135" spans="1:6" x14ac:dyDescent="0.2">
      <c r="A135" s="3"/>
      <c r="D135" s="26"/>
      <c r="E135" s="266"/>
      <c r="F135" s="218"/>
    </row>
    <row r="136" spans="1:6" x14ac:dyDescent="0.2">
      <c r="A136" s="16" t="s">
        <v>387</v>
      </c>
      <c r="D136" s="17" t="s">
        <v>261</v>
      </c>
      <c r="E136" s="260">
        <v>45608</v>
      </c>
      <c r="F136" s="261">
        <v>78.7</v>
      </c>
    </row>
    <row r="137" spans="1:6" x14ac:dyDescent="0.2">
      <c r="A137" s="125" t="s">
        <v>460</v>
      </c>
      <c r="D137" s="126" t="s">
        <v>262</v>
      </c>
      <c r="E137" s="262">
        <v>539</v>
      </c>
      <c r="F137" s="263">
        <v>88.7</v>
      </c>
    </row>
    <row r="138" spans="1:6" x14ac:dyDescent="0.2">
      <c r="A138" s="125" t="s">
        <v>263</v>
      </c>
      <c r="D138" s="126" t="s">
        <v>264</v>
      </c>
      <c r="E138" s="262">
        <v>1148</v>
      </c>
      <c r="F138" s="263">
        <v>74.400000000000006</v>
      </c>
    </row>
    <row r="139" spans="1:6" x14ac:dyDescent="0.2">
      <c r="A139" s="125" t="s">
        <v>265</v>
      </c>
      <c r="D139" s="126" t="s">
        <v>266</v>
      </c>
      <c r="E139" s="262">
        <v>2874</v>
      </c>
      <c r="F139" s="263">
        <v>81.900000000000006</v>
      </c>
    </row>
    <row r="140" spans="1:6" x14ac:dyDescent="0.2">
      <c r="A140" s="125" t="s">
        <v>267</v>
      </c>
      <c r="D140" s="126" t="s">
        <v>268</v>
      </c>
      <c r="E140" s="262">
        <v>2717</v>
      </c>
      <c r="F140" s="263">
        <v>78.5</v>
      </c>
    </row>
    <row r="141" spans="1:6" x14ac:dyDescent="0.2">
      <c r="A141" s="125" t="s">
        <v>269</v>
      </c>
      <c r="D141" s="126" t="s">
        <v>270</v>
      </c>
      <c r="E141" s="262">
        <v>7137</v>
      </c>
      <c r="F141" s="263">
        <v>74.5</v>
      </c>
    </row>
    <row r="142" spans="1:6" x14ac:dyDescent="0.2">
      <c r="A142" s="125" t="s">
        <v>271</v>
      </c>
      <c r="D142" s="126" t="s">
        <v>272</v>
      </c>
      <c r="E142" s="262">
        <v>788</v>
      </c>
      <c r="F142" s="263">
        <v>62.2</v>
      </c>
    </row>
    <row r="143" spans="1:6" x14ac:dyDescent="0.2">
      <c r="A143" s="125" t="s">
        <v>273</v>
      </c>
      <c r="D143" s="126" t="s">
        <v>274</v>
      </c>
      <c r="E143" s="262">
        <v>8390</v>
      </c>
      <c r="F143" s="263">
        <v>83.3</v>
      </c>
    </row>
    <row r="144" spans="1:6" x14ac:dyDescent="0.2">
      <c r="A144" s="125" t="s">
        <v>275</v>
      </c>
      <c r="D144" s="126" t="s">
        <v>276</v>
      </c>
      <c r="E144" s="262">
        <v>1613</v>
      </c>
      <c r="F144" s="263">
        <v>86.2</v>
      </c>
    </row>
    <row r="145" spans="1:6" x14ac:dyDescent="0.2">
      <c r="A145" s="125" t="s">
        <v>277</v>
      </c>
      <c r="D145" s="126" t="s">
        <v>278</v>
      </c>
      <c r="E145" s="262">
        <v>1398</v>
      </c>
      <c r="F145" s="263">
        <v>85.9</v>
      </c>
    </row>
    <row r="146" spans="1:6" x14ac:dyDescent="0.2">
      <c r="A146" s="125" t="s">
        <v>279</v>
      </c>
      <c r="D146" s="126" t="s">
        <v>280</v>
      </c>
      <c r="E146" s="262">
        <v>3193</v>
      </c>
      <c r="F146" s="263">
        <v>72.900000000000006</v>
      </c>
    </row>
    <row r="147" spans="1:6" x14ac:dyDescent="0.2">
      <c r="A147" s="125" t="s">
        <v>281</v>
      </c>
      <c r="D147" s="126" t="s">
        <v>282</v>
      </c>
      <c r="E147" s="262">
        <v>941</v>
      </c>
      <c r="F147" s="263">
        <v>59.4</v>
      </c>
    </row>
    <row r="148" spans="1:6" x14ac:dyDescent="0.2">
      <c r="A148" s="125" t="s">
        <v>283</v>
      </c>
      <c r="D148" s="126" t="s">
        <v>284</v>
      </c>
      <c r="E148" s="262">
        <v>561</v>
      </c>
      <c r="F148" s="263">
        <v>88.8</v>
      </c>
    </row>
    <row r="149" spans="1:6" x14ac:dyDescent="0.2">
      <c r="A149" s="125" t="s">
        <v>285</v>
      </c>
      <c r="D149" s="126" t="s">
        <v>286</v>
      </c>
      <c r="E149" s="262">
        <v>823</v>
      </c>
      <c r="F149" s="263">
        <v>91.5</v>
      </c>
    </row>
    <row r="150" spans="1:6" x14ac:dyDescent="0.2">
      <c r="A150" s="125" t="s">
        <v>287</v>
      </c>
      <c r="D150" s="126" t="s">
        <v>288</v>
      </c>
      <c r="E150" s="262">
        <v>1026</v>
      </c>
      <c r="F150" s="263">
        <v>78.099999999999994</v>
      </c>
    </row>
    <row r="151" spans="1:6" x14ac:dyDescent="0.2">
      <c r="A151" s="125" t="s">
        <v>289</v>
      </c>
      <c r="D151" s="126" t="s">
        <v>290</v>
      </c>
      <c r="E151" s="262">
        <v>5515</v>
      </c>
      <c r="F151" s="263">
        <v>80.900000000000006</v>
      </c>
    </row>
    <row r="152" spans="1:6" x14ac:dyDescent="0.2">
      <c r="A152" s="125" t="s">
        <v>291</v>
      </c>
      <c r="D152" s="126" t="s">
        <v>292</v>
      </c>
      <c r="E152" s="262">
        <v>1012</v>
      </c>
      <c r="F152" s="263">
        <v>72.3</v>
      </c>
    </row>
    <row r="153" spans="1:6" x14ac:dyDescent="0.2">
      <c r="A153" s="125" t="s">
        <v>293</v>
      </c>
      <c r="D153" s="126" t="s">
        <v>294</v>
      </c>
      <c r="E153" s="262">
        <v>4250</v>
      </c>
      <c r="F153" s="263">
        <v>74.5</v>
      </c>
    </row>
    <row r="154" spans="1:6" x14ac:dyDescent="0.2">
      <c r="A154" s="125" t="s">
        <v>295</v>
      </c>
      <c r="D154" s="126" t="s">
        <v>296</v>
      </c>
      <c r="E154" s="262">
        <v>814</v>
      </c>
      <c r="F154" s="263">
        <v>84.4</v>
      </c>
    </row>
    <row r="155" spans="1:6" x14ac:dyDescent="0.2">
      <c r="A155" s="125" t="s">
        <v>297</v>
      </c>
      <c r="D155" s="126" t="s">
        <v>298</v>
      </c>
      <c r="E155" s="262">
        <v>869</v>
      </c>
      <c r="F155" s="263">
        <v>79.3</v>
      </c>
    </row>
    <row r="156" spans="1:6" x14ac:dyDescent="0.2">
      <c r="A156" s="3"/>
      <c r="D156" s="26"/>
      <c r="E156" s="266"/>
      <c r="F156" s="218"/>
    </row>
    <row r="157" spans="1:6" x14ac:dyDescent="0.2">
      <c r="A157" s="16" t="s">
        <v>388</v>
      </c>
      <c r="D157" s="17" t="s">
        <v>299</v>
      </c>
      <c r="E157" s="260">
        <v>28836</v>
      </c>
      <c r="F157" s="261">
        <v>75.8</v>
      </c>
    </row>
    <row r="158" spans="1:6" x14ac:dyDescent="0.2">
      <c r="A158" s="125" t="s">
        <v>302</v>
      </c>
      <c r="D158" s="126" t="s">
        <v>303</v>
      </c>
      <c r="E158" s="262">
        <v>1076</v>
      </c>
      <c r="F158" s="263">
        <v>78.3</v>
      </c>
    </row>
    <row r="159" spans="1:6" x14ac:dyDescent="0.2">
      <c r="A159" s="125" t="s">
        <v>304</v>
      </c>
      <c r="D159" s="126" t="s">
        <v>305</v>
      </c>
      <c r="E159" s="262">
        <v>881</v>
      </c>
      <c r="F159" s="263">
        <v>80.900000000000006</v>
      </c>
    </row>
    <row r="160" spans="1:6" x14ac:dyDescent="0.2">
      <c r="A160" s="125" t="s">
        <v>306</v>
      </c>
      <c r="D160" s="126" t="s">
        <v>307</v>
      </c>
      <c r="E160" s="262">
        <v>1629</v>
      </c>
      <c r="F160" s="263">
        <v>76.5</v>
      </c>
    </row>
    <row r="161" spans="1:6" x14ac:dyDescent="0.2">
      <c r="A161" s="125" t="s">
        <v>308</v>
      </c>
      <c r="D161" s="126" t="s">
        <v>309</v>
      </c>
      <c r="E161" s="262">
        <v>2981</v>
      </c>
      <c r="F161" s="263">
        <v>73.8</v>
      </c>
    </row>
    <row r="162" spans="1:6" x14ac:dyDescent="0.2">
      <c r="A162" s="125" t="s">
        <v>310</v>
      </c>
      <c r="D162" s="126" t="s">
        <v>311</v>
      </c>
      <c r="E162" s="262">
        <v>4073</v>
      </c>
      <c r="F162" s="263">
        <v>72.900000000000006</v>
      </c>
    </row>
    <row r="163" spans="1:6" x14ac:dyDescent="0.2">
      <c r="A163" s="125" t="s">
        <v>312</v>
      </c>
      <c r="D163" s="126" t="s">
        <v>313</v>
      </c>
      <c r="E163" s="262">
        <v>2243</v>
      </c>
      <c r="F163" s="263">
        <v>72</v>
      </c>
    </row>
    <row r="164" spans="1:6" x14ac:dyDescent="0.2">
      <c r="A164" s="125" t="s">
        <v>314</v>
      </c>
      <c r="D164" s="126" t="s">
        <v>315</v>
      </c>
      <c r="E164" s="262">
        <v>3433</v>
      </c>
      <c r="F164" s="263">
        <v>79.900000000000006</v>
      </c>
    </row>
    <row r="165" spans="1:6" x14ac:dyDescent="0.2">
      <c r="A165" s="125" t="s">
        <v>300</v>
      </c>
      <c r="D165" s="126" t="s">
        <v>301</v>
      </c>
      <c r="E165" s="262">
        <v>10</v>
      </c>
      <c r="F165" s="263">
        <v>90</v>
      </c>
    </row>
    <row r="166" spans="1:6" x14ac:dyDescent="0.2">
      <c r="A166" s="125" t="s">
        <v>316</v>
      </c>
      <c r="D166" s="126" t="s">
        <v>317</v>
      </c>
      <c r="E166" s="262">
        <v>1191</v>
      </c>
      <c r="F166" s="263">
        <v>74.2</v>
      </c>
    </row>
    <row r="167" spans="1:6" x14ac:dyDescent="0.2">
      <c r="A167" s="125" t="s">
        <v>318</v>
      </c>
      <c r="D167" s="126" t="s">
        <v>319</v>
      </c>
      <c r="E167" s="262">
        <v>1393</v>
      </c>
      <c r="F167" s="263">
        <v>82.1</v>
      </c>
    </row>
    <row r="168" spans="1:6" x14ac:dyDescent="0.2">
      <c r="A168" s="125" t="s">
        <v>320</v>
      </c>
      <c r="D168" s="126" t="s">
        <v>321</v>
      </c>
      <c r="E168" s="262">
        <v>805</v>
      </c>
      <c r="F168" s="263">
        <v>77.8</v>
      </c>
    </row>
    <row r="169" spans="1:6" x14ac:dyDescent="0.2">
      <c r="A169" s="125" t="s">
        <v>322</v>
      </c>
      <c r="D169" s="126" t="s">
        <v>323</v>
      </c>
      <c r="E169" s="262">
        <v>2899</v>
      </c>
      <c r="F169" s="263">
        <v>76</v>
      </c>
    </row>
    <row r="170" spans="1:6" x14ac:dyDescent="0.2">
      <c r="A170" s="125" t="s">
        <v>324</v>
      </c>
      <c r="D170" s="126" t="s">
        <v>325</v>
      </c>
      <c r="E170" s="262">
        <v>1660</v>
      </c>
      <c r="F170" s="263">
        <v>76.599999999999994</v>
      </c>
    </row>
    <row r="171" spans="1:6" x14ac:dyDescent="0.2">
      <c r="A171" s="125" t="s">
        <v>326</v>
      </c>
      <c r="D171" s="126" t="s">
        <v>327</v>
      </c>
      <c r="E171" s="262">
        <v>1174</v>
      </c>
      <c r="F171" s="263">
        <v>71.7</v>
      </c>
    </row>
    <row r="172" spans="1:6" x14ac:dyDescent="0.2">
      <c r="A172" s="125" t="s">
        <v>328</v>
      </c>
      <c r="D172" s="126" t="s">
        <v>329</v>
      </c>
      <c r="E172" s="262">
        <v>757</v>
      </c>
      <c r="F172" s="263">
        <v>75.400000000000006</v>
      </c>
    </row>
    <row r="173" spans="1:6" x14ac:dyDescent="0.2">
      <c r="A173" s="125" t="s">
        <v>330</v>
      </c>
      <c r="D173" s="126" t="s">
        <v>331</v>
      </c>
      <c r="E173" s="262">
        <v>2631</v>
      </c>
      <c r="F173" s="263">
        <v>75.8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7FA0-D6AA-462A-BA59-569144501E53}">
  <sheetPr codeName="Sheet7">
    <tabColor indexed="42"/>
    <pageSetUpPr fitToPage="1"/>
  </sheetPr>
  <dimension ref="A1:K196"/>
  <sheetViews>
    <sheetView showGridLines="0" zoomScaleNormal="100" workbookViewId="0">
      <selection activeCell="I3" sqref="I3:J3"/>
    </sheetView>
  </sheetViews>
  <sheetFormatPr defaultColWidth="8.85546875" defaultRowHeight="13.5" x14ac:dyDescent="0.25"/>
  <cols>
    <col min="1" max="1" width="27.7109375" style="9" customWidth="1"/>
    <col min="2" max="2" width="8.7109375" style="9" customWidth="1"/>
    <col min="3" max="3" width="9.85546875" style="67" customWidth="1"/>
    <col min="4" max="4" width="9.7109375" style="9" customWidth="1"/>
    <col min="5" max="5" width="9.85546875" style="65" customWidth="1"/>
    <col min="6" max="7" width="9.7109375" customWidth="1"/>
    <col min="8" max="10" width="9.85546875" style="68" customWidth="1"/>
  </cols>
  <sheetData>
    <row r="1" spans="1:11" ht="12.75" customHeight="1" x14ac:dyDescent="0.2">
      <c r="A1" s="517" t="s">
        <v>368</v>
      </c>
      <c r="B1" s="517"/>
      <c r="C1" s="517"/>
      <c r="D1" s="517"/>
      <c r="E1" s="517"/>
      <c r="F1" s="517"/>
      <c r="G1" s="517"/>
      <c r="H1" s="517"/>
      <c r="I1" s="517"/>
      <c r="J1" s="517"/>
    </row>
    <row r="2" spans="1:11" ht="13.5" customHeight="1" x14ac:dyDescent="0.2">
      <c r="A2" s="171" t="s">
        <v>433</v>
      </c>
      <c r="B2" s="171"/>
      <c r="C2" s="461"/>
      <c r="D2" s="461"/>
      <c r="E2" s="40"/>
      <c r="F2" s="41"/>
      <c r="G2" s="214"/>
      <c r="H2" s="214"/>
      <c r="I2" s="524" t="s">
        <v>395</v>
      </c>
      <c r="J2" s="525"/>
    </row>
    <row r="3" spans="1:11" ht="13.5" customHeight="1" x14ac:dyDescent="0.2">
      <c r="A3" s="168" t="s">
        <v>9</v>
      </c>
      <c r="B3" s="171"/>
      <c r="C3" s="160"/>
      <c r="D3" s="160"/>
      <c r="E3" s="40"/>
      <c r="F3" s="41"/>
      <c r="G3" s="214"/>
      <c r="H3" s="214"/>
      <c r="I3" s="521" t="s">
        <v>457</v>
      </c>
      <c r="J3" s="522"/>
      <c r="K3" s="216"/>
    </row>
    <row r="4" spans="1:11" ht="11.25" customHeight="1" x14ac:dyDescent="0.25">
      <c r="A4" s="175"/>
      <c r="B4" s="175"/>
      <c r="C4" s="124"/>
      <c r="D4" s="176"/>
      <c r="E4" s="139"/>
      <c r="F4" s="46"/>
      <c r="G4" s="46"/>
      <c r="H4" s="8"/>
      <c r="I4" s="8"/>
      <c r="J4" s="8"/>
    </row>
    <row r="5" spans="1:11" ht="19.5" customHeight="1" x14ac:dyDescent="0.2">
      <c r="A5" s="518" t="s">
        <v>378</v>
      </c>
      <c r="B5" s="518" t="s">
        <v>379</v>
      </c>
      <c r="C5" s="514" t="s">
        <v>366</v>
      </c>
      <c r="D5" s="514"/>
      <c r="E5" s="514"/>
      <c r="F5" s="514"/>
      <c r="G5" s="514"/>
      <c r="H5" s="514"/>
      <c r="I5" s="514"/>
      <c r="J5" s="514"/>
    </row>
    <row r="6" spans="1:11" ht="12.75" customHeight="1" x14ac:dyDescent="0.2">
      <c r="A6" s="519"/>
      <c r="B6" s="519"/>
      <c r="C6" s="523" t="str">
        <f>IF('Table 16 data'!C174=1,'Table 16 data'!D175,'Table 16 data'!D176)</f>
        <v>5+ A*-C grades including English and mathematics GCSEs</v>
      </c>
      <c r="D6" s="523"/>
      <c r="E6" s="523"/>
      <c r="F6" s="523"/>
      <c r="G6" s="523"/>
      <c r="H6" s="523"/>
      <c r="I6" s="523"/>
      <c r="J6" s="523"/>
    </row>
    <row r="7" spans="1:11" ht="12.75" x14ac:dyDescent="0.2">
      <c r="A7" s="520"/>
      <c r="B7" s="520"/>
      <c r="C7" s="179" t="s">
        <v>334</v>
      </c>
      <c r="D7" s="179" t="s">
        <v>335</v>
      </c>
      <c r="E7" s="179" t="s">
        <v>336</v>
      </c>
      <c r="F7" s="179" t="s">
        <v>337</v>
      </c>
      <c r="G7" s="179" t="s">
        <v>338</v>
      </c>
      <c r="H7" s="179" t="s">
        <v>339</v>
      </c>
      <c r="I7" s="180" t="s">
        <v>353</v>
      </c>
      <c r="J7" s="180" t="s">
        <v>370</v>
      </c>
    </row>
    <row r="8" spans="1:11" ht="11.25" customHeight="1" x14ac:dyDescent="0.2">
      <c r="A8" s="47"/>
      <c r="B8" s="47"/>
      <c r="C8" s="48"/>
      <c r="D8" s="48"/>
      <c r="E8" s="48"/>
      <c r="F8" s="3"/>
      <c r="G8" s="3"/>
      <c r="H8" s="2"/>
      <c r="I8" s="2"/>
      <c r="J8" s="2"/>
    </row>
    <row r="9" spans="1:11" s="51" customFormat="1" ht="11.25" customHeight="1" x14ac:dyDescent="0.2">
      <c r="A9" s="16" t="s">
        <v>380</v>
      </c>
      <c r="B9" s="16" t="s">
        <v>17</v>
      </c>
      <c r="C9" s="229">
        <f>VLOOKUP($A9,'Table 17 data'!$A$9:$S$186,'Table 16 data'!$D$174+'Table 17 data'!C$4,0)</f>
        <v>40.4</v>
      </c>
      <c r="D9" s="229">
        <f>VLOOKUP($A9,'Table 17 data'!$A$9:$S$186,'Table 16 data'!$D$174+'Table 17 data'!D$4,0)</f>
        <v>41.9</v>
      </c>
      <c r="E9" s="229">
        <f>VLOOKUP($A9,'Table 17 data'!$A$9:$S$186,'Table 16 data'!$D$174+'Table 17 data'!E$4,0)</f>
        <v>44.9</v>
      </c>
      <c r="F9" s="229">
        <f>VLOOKUP($A9,'Table 17 data'!$A$9:$S$186,'Table 16 data'!$D$174+'Table 17 data'!F$4,0)</f>
        <v>48.1</v>
      </c>
      <c r="G9" s="229">
        <f>VLOOKUP($A9,'Table 17 data'!$A$9:$S$186,'Table 16 data'!$D$174+'Table 17 data'!G$4,0)</f>
        <v>52.9</v>
      </c>
      <c r="H9" s="229">
        <f>VLOOKUP($A9,'Table 17 data'!$A$9:$S$186,'Table 16 data'!$D$174+'Table 17 data'!H$4,0)</f>
        <v>56.8</v>
      </c>
      <c r="I9" s="229">
        <f>VLOOKUP($A9,'Table 17 data'!$A$9:$S$186,'Table 16 data'!$D$174+'Table 17 data'!I$4,0)</f>
        <v>58.5</v>
      </c>
      <c r="J9" s="229">
        <f>VLOOKUP($A9,'Table 17 data'!$A$9:$S$186,'Table 16 data'!$D$174+'Table 17 data'!J$4,0)</f>
        <v>59.3</v>
      </c>
    </row>
    <row r="10" spans="1:11" ht="11.25" customHeight="1" x14ac:dyDescent="0.2">
      <c r="A10" s="20" t="s">
        <v>354</v>
      </c>
      <c r="B10" s="126" t="s">
        <v>20</v>
      </c>
      <c r="C10" s="230">
        <f>VLOOKUP($A10,'Table 17 data'!$A$9:$S$186,'Table 16 data'!$D$174+'Table 17 data'!C$4,0)</f>
        <v>40.4</v>
      </c>
      <c r="D10" s="230">
        <f>VLOOKUP($A10,'Table 17 data'!$A$9:$S$186,'Table 16 data'!$D$174+'Table 17 data'!D$4,0)</f>
        <v>42.3</v>
      </c>
      <c r="E10" s="230">
        <f>VLOOKUP($A10,'Table 17 data'!$A$9:$S$186,'Table 16 data'!$D$174+'Table 17 data'!E$4,0)</f>
        <v>44.5</v>
      </c>
      <c r="F10" s="230">
        <f>VLOOKUP($A10,'Table 17 data'!$A$9:$S$186,'Table 16 data'!$D$174+'Table 17 data'!F$4,0)</f>
        <v>48.7</v>
      </c>
      <c r="G10" s="230">
        <f>VLOOKUP($A10,'Table 17 data'!$A$9:$S$186,'Table 16 data'!$D$174+'Table 17 data'!G$4,0)</f>
        <v>55.8</v>
      </c>
      <c r="H10" s="230">
        <f>VLOOKUP($A10,'Table 17 data'!$A$9:$S$186,'Table 16 data'!$D$174+'Table 17 data'!H$4,0)</f>
        <v>60</v>
      </c>
      <c r="I10" s="230">
        <f>VLOOKUP($A10,'Table 17 data'!$A$9:$S$186,'Table 16 data'!$D$174+'Table 17 data'!I$4,0)</f>
        <v>62.5</v>
      </c>
      <c r="J10" s="230">
        <f>VLOOKUP($A10,'Table 17 data'!$A$9:$S$186,'Table 16 data'!$D$174+'Table 17 data'!J$4,0)</f>
        <v>63.1</v>
      </c>
    </row>
    <row r="11" spans="1:11" ht="11.25" customHeight="1" x14ac:dyDescent="0.2">
      <c r="A11" s="20" t="s">
        <v>18</v>
      </c>
      <c r="B11" s="126" t="s">
        <v>19</v>
      </c>
      <c r="C11" s="230">
        <f>VLOOKUP($A11,'Table 17 data'!$A$9:$S$186,'Table 16 data'!$D$174+'Table 17 data'!C$4,0)</f>
        <v>44.7</v>
      </c>
      <c r="D11" s="230">
        <f>VLOOKUP($A11,'Table 17 data'!$A$9:$S$186,'Table 16 data'!$D$174+'Table 17 data'!D$4,0)</f>
        <v>46</v>
      </c>
      <c r="E11" s="230">
        <f>VLOOKUP($A11,'Table 17 data'!$A$9:$S$186,'Table 16 data'!$D$174+'Table 17 data'!E$4,0)</f>
        <v>47.7</v>
      </c>
      <c r="F11" s="230">
        <f>VLOOKUP($A11,'Table 17 data'!$A$9:$S$186,'Table 16 data'!$D$174+'Table 17 data'!F$4,0)</f>
        <v>51.6</v>
      </c>
      <c r="G11" s="230">
        <f>VLOOKUP($A11,'Table 17 data'!$A$9:$S$186,'Table 16 data'!$D$174+'Table 17 data'!G$4,0)</f>
        <v>54.7</v>
      </c>
      <c r="H11" s="230">
        <f>VLOOKUP($A11,'Table 17 data'!$A$9:$S$186,'Table 16 data'!$D$174+'Table 17 data'!H$4,0)</f>
        <v>65.7</v>
      </c>
      <c r="I11" s="230">
        <f>VLOOKUP($A11,'Table 17 data'!$A$9:$S$186,'Table 16 data'!$D$174+'Table 17 data'!I$4,0)</f>
        <v>62.2</v>
      </c>
      <c r="J11" s="230">
        <f>VLOOKUP($A11,'Table 17 data'!$A$9:$S$186,'Table 16 data'!$D$174+'Table 17 data'!J$4,0)</f>
        <v>64.8</v>
      </c>
    </row>
    <row r="12" spans="1:11" ht="11.25" customHeight="1" x14ac:dyDescent="0.2">
      <c r="A12" s="22" t="s">
        <v>21</v>
      </c>
      <c r="B12" s="126" t="s">
        <v>22</v>
      </c>
      <c r="C12" s="230">
        <f>VLOOKUP($A12,'Table 17 data'!$A$9:$S$186,'Table 16 data'!$D$174+'Table 17 data'!C$4,0)</f>
        <v>45</v>
      </c>
      <c r="D12" s="230">
        <f>VLOOKUP($A12,'Table 17 data'!$A$9:$S$186,'Table 16 data'!$D$174+'Table 17 data'!D$4,0)</f>
        <v>45.5</v>
      </c>
      <c r="E12" s="230">
        <f>VLOOKUP($A12,'Table 17 data'!$A$9:$S$186,'Table 16 data'!$D$174+'Table 17 data'!E$4,0)</f>
        <v>47</v>
      </c>
      <c r="F12" s="230">
        <f>VLOOKUP($A12,'Table 17 data'!$A$9:$S$186,'Table 16 data'!$D$174+'Table 17 data'!F$4,0)</f>
        <v>52.3</v>
      </c>
      <c r="G12" s="230">
        <f>VLOOKUP($A12,'Table 17 data'!$A$9:$S$186,'Table 16 data'!$D$174+'Table 17 data'!G$4,0)</f>
        <v>54.2</v>
      </c>
      <c r="H12" s="230">
        <f>VLOOKUP($A12,'Table 17 data'!$A$9:$S$186,'Table 16 data'!$D$174+'Table 17 data'!H$4,0)</f>
        <v>60.3</v>
      </c>
      <c r="I12" s="230">
        <f>VLOOKUP($A12,'Table 17 data'!$A$9:$S$186,'Table 16 data'!$D$174+'Table 17 data'!I$4,0)</f>
        <v>60.6</v>
      </c>
      <c r="J12" s="230">
        <f>VLOOKUP($A12,'Table 17 data'!$A$9:$S$186,'Table 16 data'!$D$174+'Table 17 data'!J$4,0)</f>
        <v>61.7</v>
      </c>
    </row>
    <row r="13" spans="1:11" ht="11.25" customHeight="1" x14ac:dyDescent="0.2">
      <c r="A13" s="22" t="s">
        <v>23</v>
      </c>
      <c r="B13" s="126" t="s">
        <v>24</v>
      </c>
      <c r="C13" s="230">
        <f>VLOOKUP($A13,'Table 17 data'!$A$9:$S$186,'Table 16 data'!$D$174+'Table 17 data'!C$4,0)</f>
        <v>37.5</v>
      </c>
      <c r="D13" s="230">
        <f>VLOOKUP($A13,'Table 17 data'!$A$9:$S$186,'Table 16 data'!$D$174+'Table 17 data'!D$4,0)</f>
        <v>38.6</v>
      </c>
      <c r="E13" s="230">
        <f>VLOOKUP($A13,'Table 17 data'!$A$9:$S$186,'Table 16 data'!$D$174+'Table 17 data'!E$4,0)</f>
        <v>39.200000000000003</v>
      </c>
      <c r="F13" s="230">
        <f>VLOOKUP($A13,'Table 17 data'!$A$9:$S$186,'Table 16 data'!$D$174+'Table 17 data'!F$4,0)</f>
        <v>48.5</v>
      </c>
      <c r="G13" s="230">
        <f>VLOOKUP($A13,'Table 17 data'!$A$9:$S$186,'Table 16 data'!$D$174+'Table 17 data'!G$4,0)</f>
        <v>49.6</v>
      </c>
      <c r="H13" s="230">
        <f>VLOOKUP($A13,'Table 17 data'!$A$9:$S$186,'Table 16 data'!$D$174+'Table 17 data'!H$4,0)</f>
        <v>56.4</v>
      </c>
      <c r="I13" s="230">
        <f>VLOOKUP($A13,'Table 17 data'!$A$9:$S$186,'Table 16 data'!$D$174+'Table 17 data'!I$4,0)</f>
        <v>48.8</v>
      </c>
      <c r="J13" s="230">
        <f>VLOOKUP($A13,'Table 17 data'!$A$9:$S$186,'Table 16 data'!$D$174+'Table 17 data'!J$4,0)</f>
        <v>59</v>
      </c>
    </row>
    <row r="14" spans="1:11" ht="11.25" customHeight="1" x14ac:dyDescent="0.2">
      <c r="A14" s="22" t="s">
        <v>25</v>
      </c>
      <c r="B14" s="126" t="s">
        <v>26</v>
      </c>
      <c r="C14" s="230">
        <f>VLOOKUP($A14,'Table 17 data'!$A$9:$S$186,'Table 16 data'!$D$174+'Table 17 data'!C$4,0)</f>
        <v>30.1</v>
      </c>
      <c r="D14" s="230">
        <f>VLOOKUP($A14,'Table 17 data'!$A$9:$S$186,'Table 16 data'!$D$174+'Table 17 data'!D$4,0)</f>
        <v>31.9</v>
      </c>
      <c r="E14" s="230">
        <f>VLOOKUP($A14,'Table 17 data'!$A$9:$S$186,'Table 16 data'!$D$174+'Table 17 data'!E$4,0)</f>
        <v>35.799999999999997</v>
      </c>
      <c r="F14" s="230">
        <f>VLOOKUP($A14,'Table 17 data'!$A$9:$S$186,'Table 16 data'!$D$174+'Table 17 data'!F$4,0)</f>
        <v>36.9</v>
      </c>
      <c r="G14" s="230">
        <f>VLOOKUP($A14,'Table 17 data'!$A$9:$S$186,'Table 16 data'!$D$174+'Table 17 data'!G$4,0)</f>
        <v>44.2</v>
      </c>
      <c r="H14" s="230">
        <f>VLOOKUP($A14,'Table 17 data'!$A$9:$S$186,'Table 16 data'!$D$174+'Table 17 data'!H$4,0)</f>
        <v>40.9</v>
      </c>
      <c r="I14" s="230">
        <f>VLOOKUP($A14,'Table 17 data'!$A$9:$S$186,'Table 16 data'!$D$174+'Table 17 data'!I$4,0)</f>
        <v>47.6</v>
      </c>
      <c r="J14" s="230">
        <f>VLOOKUP($A14,'Table 17 data'!$A$9:$S$186,'Table 16 data'!$D$174+'Table 17 data'!J$4,0)</f>
        <v>50.3</v>
      </c>
    </row>
    <row r="15" spans="1:11" ht="11.25" customHeight="1" x14ac:dyDescent="0.2">
      <c r="A15" s="22" t="s">
        <v>27</v>
      </c>
      <c r="B15" s="126" t="s">
        <v>28</v>
      </c>
      <c r="C15" s="230">
        <f>VLOOKUP($A15,'Table 17 data'!$A$9:$S$186,'Table 16 data'!$D$174+'Table 17 data'!C$4,0)</f>
        <v>33.5</v>
      </c>
      <c r="D15" s="230">
        <f>VLOOKUP($A15,'Table 17 data'!$A$9:$S$186,'Table 16 data'!$D$174+'Table 17 data'!D$4,0)</f>
        <v>38</v>
      </c>
      <c r="E15" s="230">
        <f>VLOOKUP($A15,'Table 17 data'!$A$9:$S$186,'Table 16 data'!$D$174+'Table 17 data'!E$4,0)</f>
        <v>39.200000000000003</v>
      </c>
      <c r="F15" s="230">
        <f>VLOOKUP($A15,'Table 17 data'!$A$9:$S$186,'Table 16 data'!$D$174+'Table 17 data'!F$4,0)</f>
        <v>41.9</v>
      </c>
      <c r="G15" s="230">
        <f>VLOOKUP($A15,'Table 17 data'!$A$9:$S$186,'Table 16 data'!$D$174+'Table 17 data'!G$4,0)</f>
        <v>49.5</v>
      </c>
      <c r="H15" s="230">
        <f>VLOOKUP($A15,'Table 17 data'!$A$9:$S$186,'Table 16 data'!$D$174+'Table 17 data'!H$4,0)</f>
        <v>52.6</v>
      </c>
      <c r="I15" s="230">
        <f>VLOOKUP($A15,'Table 17 data'!$A$9:$S$186,'Table 16 data'!$D$174+'Table 17 data'!I$4,0)</f>
        <v>55.9</v>
      </c>
      <c r="J15" s="230">
        <f>VLOOKUP($A15,'Table 17 data'!$A$9:$S$186,'Table 16 data'!$D$174+'Table 17 data'!J$4,0)</f>
        <v>57.3</v>
      </c>
    </row>
    <row r="16" spans="1:11" ht="11.25" customHeight="1" x14ac:dyDescent="0.2">
      <c r="A16" s="22" t="s">
        <v>29</v>
      </c>
      <c r="B16" s="126" t="s">
        <v>30</v>
      </c>
      <c r="C16" s="230">
        <f>VLOOKUP($A16,'Table 17 data'!$A$9:$S$186,'Table 16 data'!$D$174+'Table 17 data'!C$4,0)</f>
        <v>47.9</v>
      </c>
      <c r="D16" s="230">
        <f>VLOOKUP($A16,'Table 17 data'!$A$9:$S$186,'Table 16 data'!$D$174+'Table 17 data'!D$4,0)</f>
        <v>47.3</v>
      </c>
      <c r="E16" s="230">
        <f>VLOOKUP($A16,'Table 17 data'!$A$9:$S$186,'Table 16 data'!$D$174+'Table 17 data'!E$4,0)</f>
        <v>50.4</v>
      </c>
      <c r="F16" s="230">
        <f>VLOOKUP($A16,'Table 17 data'!$A$9:$S$186,'Table 16 data'!$D$174+'Table 17 data'!F$4,0)</f>
        <v>53.6</v>
      </c>
      <c r="G16" s="230">
        <f>VLOOKUP($A16,'Table 17 data'!$A$9:$S$186,'Table 16 data'!$D$174+'Table 17 data'!G$4,0)</f>
        <v>53.1</v>
      </c>
      <c r="H16" s="230">
        <f>VLOOKUP($A16,'Table 17 data'!$A$9:$S$186,'Table 16 data'!$D$174+'Table 17 data'!H$4,0)</f>
        <v>58.5</v>
      </c>
      <c r="I16" s="230">
        <f>VLOOKUP($A16,'Table 17 data'!$A$9:$S$186,'Table 16 data'!$D$174+'Table 17 data'!I$4,0)</f>
        <v>61.9</v>
      </c>
      <c r="J16" s="230">
        <f>VLOOKUP($A16,'Table 17 data'!$A$9:$S$186,'Table 16 data'!$D$174+'Table 17 data'!J$4,0)</f>
        <v>64.8</v>
      </c>
    </row>
    <row r="17" spans="1:10" ht="11.25" customHeight="1" x14ac:dyDescent="0.2">
      <c r="A17" s="22" t="s">
        <v>31</v>
      </c>
      <c r="B17" s="126" t="s">
        <v>32</v>
      </c>
      <c r="C17" s="230">
        <f>VLOOKUP($A17,'Table 17 data'!$A$9:$S$186,'Table 16 data'!$D$174+'Table 17 data'!C$4,0)</f>
        <v>48.9</v>
      </c>
      <c r="D17" s="230">
        <f>VLOOKUP($A17,'Table 17 data'!$A$9:$S$186,'Table 16 data'!$D$174+'Table 17 data'!D$4,0)</f>
        <v>46.3</v>
      </c>
      <c r="E17" s="230">
        <f>VLOOKUP($A17,'Table 17 data'!$A$9:$S$186,'Table 16 data'!$D$174+'Table 17 data'!E$4,0)</f>
        <v>50.9</v>
      </c>
      <c r="F17" s="230">
        <f>VLOOKUP($A17,'Table 17 data'!$A$9:$S$186,'Table 16 data'!$D$174+'Table 17 data'!F$4,0)</f>
        <v>51.9</v>
      </c>
      <c r="G17" s="230">
        <f>VLOOKUP($A17,'Table 17 data'!$A$9:$S$186,'Table 16 data'!$D$174+'Table 17 data'!G$4,0)</f>
        <v>54</v>
      </c>
      <c r="H17" s="230">
        <f>VLOOKUP($A17,'Table 17 data'!$A$9:$S$186,'Table 16 data'!$D$174+'Table 17 data'!H$4,0)</f>
        <v>57.7</v>
      </c>
      <c r="I17" s="230">
        <f>VLOOKUP($A17,'Table 17 data'!$A$9:$S$186,'Table 16 data'!$D$174+'Table 17 data'!I$4,0)</f>
        <v>58.2</v>
      </c>
      <c r="J17" s="230">
        <f>VLOOKUP($A17,'Table 17 data'!$A$9:$S$186,'Table 16 data'!$D$174+'Table 17 data'!J$4,0)</f>
        <v>55.2</v>
      </c>
    </row>
    <row r="18" spans="1:10" ht="11.25" customHeight="1" x14ac:dyDescent="0.2">
      <c r="A18" s="22" t="s">
        <v>33</v>
      </c>
      <c r="B18" s="126" t="s">
        <v>34</v>
      </c>
      <c r="C18" s="230">
        <f>VLOOKUP($A18,'Table 17 data'!$A$9:$S$186,'Table 16 data'!$D$174+'Table 17 data'!C$4,0)</f>
        <v>40.1</v>
      </c>
      <c r="D18" s="230">
        <f>VLOOKUP($A18,'Table 17 data'!$A$9:$S$186,'Table 16 data'!$D$174+'Table 17 data'!D$4,0)</f>
        <v>38.5</v>
      </c>
      <c r="E18" s="230">
        <f>VLOOKUP($A18,'Table 17 data'!$A$9:$S$186,'Table 16 data'!$D$174+'Table 17 data'!E$4,0)</f>
        <v>45</v>
      </c>
      <c r="F18" s="230">
        <f>VLOOKUP($A18,'Table 17 data'!$A$9:$S$186,'Table 16 data'!$D$174+'Table 17 data'!F$4,0)</f>
        <v>48.5</v>
      </c>
      <c r="G18" s="230">
        <f>VLOOKUP($A18,'Table 17 data'!$A$9:$S$186,'Table 16 data'!$D$174+'Table 17 data'!G$4,0)</f>
        <v>53.2</v>
      </c>
      <c r="H18" s="230">
        <f>VLOOKUP($A18,'Table 17 data'!$A$9:$S$186,'Table 16 data'!$D$174+'Table 17 data'!H$4,0)</f>
        <v>55</v>
      </c>
      <c r="I18" s="230">
        <f>VLOOKUP($A18,'Table 17 data'!$A$9:$S$186,'Table 16 data'!$D$174+'Table 17 data'!I$4,0)</f>
        <v>55</v>
      </c>
      <c r="J18" s="230">
        <f>VLOOKUP($A18,'Table 17 data'!$A$9:$S$186,'Table 16 data'!$D$174+'Table 17 data'!J$4,0)</f>
        <v>55.1</v>
      </c>
    </row>
    <row r="19" spans="1:10" ht="11.25" customHeight="1" x14ac:dyDescent="0.2">
      <c r="A19" s="22" t="s">
        <v>35</v>
      </c>
      <c r="B19" s="126" t="s">
        <v>36</v>
      </c>
      <c r="C19" s="230">
        <f>VLOOKUP($A19,'Table 17 data'!$A$9:$S$186,'Table 16 data'!$D$174+'Table 17 data'!C$4,0)</f>
        <v>39.5</v>
      </c>
      <c r="D19" s="230">
        <f>VLOOKUP($A19,'Table 17 data'!$A$9:$S$186,'Table 16 data'!$D$174+'Table 17 data'!D$4,0)</f>
        <v>41.9</v>
      </c>
      <c r="E19" s="230">
        <f>VLOOKUP($A19,'Table 17 data'!$A$9:$S$186,'Table 16 data'!$D$174+'Table 17 data'!E$4,0)</f>
        <v>42.7</v>
      </c>
      <c r="F19" s="230">
        <f>VLOOKUP($A19,'Table 17 data'!$A$9:$S$186,'Table 16 data'!$D$174+'Table 17 data'!F$4,0)</f>
        <v>47.9</v>
      </c>
      <c r="G19" s="230">
        <f>VLOOKUP($A19,'Table 17 data'!$A$9:$S$186,'Table 16 data'!$D$174+'Table 17 data'!G$4,0)</f>
        <v>53.9</v>
      </c>
      <c r="H19" s="230">
        <f>VLOOKUP($A19,'Table 17 data'!$A$9:$S$186,'Table 16 data'!$D$174+'Table 17 data'!H$4,0)</f>
        <v>57.7</v>
      </c>
      <c r="I19" s="230">
        <f>VLOOKUP($A19,'Table 17 data'!$A$9:$S$186,'Table 16 data'!$D$174+'Table 17 data'!I$4,0)</f>
        <v>58.2</v>
      </c>
      <c r="J19" s="230">
        <f>VLOOKUP($A19,'Table 17 data'!$A$9:$S$186,'Table 16 data'!$D$174+'Table 17 data'!J$4,0)</f>
        <v>59.2</v>
      </c>
    </row>
    <row r="20" spans="1:10" ht="11.25" customHeight="1" x14ac:dyDescent="0.2">
      <c r="A20" s="22" t="s">
        <v>37</v>
      </c>
      <c r="B20" s="126" t="s">
        <v>38</v>
      </c>
      <c r="C20" s="230">
        <f>VLOOKUP($A20,'Table 17 data'!$A$9:$S$186,'Table 16 data'!$D$174+'Table 17 data'!C$4,0)</f>
        <v>41.2</v>
      </c>
      <c r="D20" s="230">
        <f>VLOOKUP($A20,'Table 17 data'!$A$9:$S$186,'Table 16 data'!$D$174+'Table 17 data'!D$4,0)</f>
        <v>44.7</v>
      </c>
      <c r="E20" s="230">
        <f>VLOOKUP($A20,'Table 17 data'!$A$9:$S$186,'Table 16 data'!$D$174+'Table 17 data'!E$4,0)</f>
        <v>48.4</v>
      </c>
      <c r="F20" s="230">
        <f>VLOOKUP($A20,'Table 17 data'!$A$9:$S$186,'Table 16 data'!$D$174+'Table 17 data'!F$4,0)</f>
        <v>49.3</v>
      </c>
      <c r="G20" s="230">
        <f>VLOOKUP($A20,'Table 17 data'!$A$9:$S$186,'Table 16 data'!$D$174+'Table 17 data'!G$4,0)</f>
        <v>52.9</v>
      </c>
      <c r="H20" s="230">
        <f>VLOOKUP($A20,'Table 17 data'!$A$9:$S$186,'Table 16 data'!$D$174+'Table 17 data'!H$4,0)</f>
        <v>57.3</v>
      </c>
      <c r="I20" s="230">
        <f>VLOOKUP($A20,'Table 17 data'!$A$9:$S$186,'Table 16 data'!$D$174+'Table 17 data'!I$4,0)</f>
        <v>54.3</v>
      </c>
      <c r="J20" s="230">
        <f>VLOOKUP($A20,'Table 17 data'!$A$9:$S$186,'Table 16 data'!$D$174+'Table 17 data'!J$4,0)</f>
        <v>57.4</v>
      </c>
    </row>
    <row r="21" spans="1:10" ht="11.25" customHeight="1" x14ac:dyDescent="0.2">
      <c r="A21" s="20" t="s">
        <v>39</v>
      </c>
      <c r="B21" s="126" t="s">
        <v>40</v>
      </c>
      <c r="C21" s="230">
        <f>VLOOKUP($A21,'Table 17 data'!$A$9:$S$186,'Table 16 data'!$D$174+'Table 17 data'!C$4,0)</f>
        <v>33.9</v>
      </c>
      <c r="D21" s="230">
        <f>VLOOKUP($A21,'Table 17 data'!$A$9:$S$186,'Table 16 data'!$D$174+'Table 17 data'!D$4,0)</f>
        <v>38.5</v>
      </c>
      <c r="E21" s="230">
        <f>VLOOKUP($A21,'Table 17 data'!$A$9:$S$186,'Table 16 data'!$D$174+'Table 17 data'!E$4,0)</f>
        <v>43</v>
      </c>
      <c r="F21" s="230">
        <f>VLOOKUP($A21,'Table 17 data'!$A$9:$S$186,'Table 16 data'!$D$174+'Table 17 data'!F$4,0)</f>
        <v>45.1</v>
      </c>
      <c r="G21" s="230">
        <f>VLOOKUP($A21,'Table 17 data'!$A$9:$S$186,'Table 16 data'!$D$174+'Table 17 data'!G$4,0)</f>
        <v>52.6</v>
      </c>
      <c r="H21" s="230">
        <f>VLOOKUP($A21,'Table 17 data'!$A$9:$S$186,'Table 16 data'!$D$174+'Table 17 data'!H$4,0)</f>
        <v>55.4</v>
      </c>
      <c r="I21" s="230">
        <f>VLOOKUP($A21,'Table 17 data'!$A$9:$S$186,'Table 16 data'!$D$174+'Table 17 data'!I$4,0)</f>
        <v>62.6</v>
      </c>
      <c r="J21" s="230">
        <f>VLOOKUP($A21,'Table 17 data'!$A$9:$S$186,'Table 16 data'!$D$174+'Table 17 data'!J$4,0)</f>
        <v>60.1</v>
      </c>
    </row>
    <row r="22" spans="1:10" s="3" customFormat="1" ht="11.25" customHeight="1" x14ac:dyDescent="0.2">
      <c r="C22" s="231"/>
      <c r="D22" s="231"/>
      <c r="E22" s="231"/>
      <c r="F22" s="232"/>
      <c r="G22" s="232"/>
      <c r="H22" s="232"/>
      <c r="I22" s="233"/>
      <c r="J22" s="232"/>
    </row>
    <row r="23" spans="1:10" s="51" customFormat="1" ht="11.25" customHeight="1" x14ac:dyDescent="0.2">
      <c r="A23" s="16" t="s">
        <v>381</v>
      </c>
      <c r="B23" s="16" t="s">
        <v>41</v>
      </c>
      <c r="C23" s="229">
        <f>VLOOKUP($A23,'Table 17 data'!$A$9:$S$186,'Table 16 data'!$D$174+'Table 17 data'!C$4,0)</f>
        <v>42.2</v>
      </c>
      <c r="D23" s="229">
        <f>VLOOKUP($A23,'Table 17 data'!$A$9:$S$186,'Table 16 data'!$D$174+'Table 17 data'!D$4,0)</f>
        <v>44.7</v>
      </c>
      <c r="E23" s="229">
        <f>VLOOKUP($A23,'Table 17 data'!$A$9:$S$186,'Table 16 data'!$D$174+'Table 17 data'!E$4,0)</f>
        <v>47.5</v>
      </c>
      <c r="F23" s="229">
        <f>VLOOKUP($A23,'Table 17 data'!$A$9:$S$186,'Table 16 data'!$D$174+'Table 17 data'!F$4,0)</f>
        <v>49.9</v>
      </c>
      <c r="G23" s="229">
        <f>VLOOKUP($A23,'Table 17 data'!$A$9:$S$186,'Table 16 data'!$D$174+'Table 17 data'!G$4,0)</f>
        <v>55.2</v>
      </c>
      <c r="H23" s="229">
        <f>VLOOKUP($A23,'Table 17 data'!$A$9:$S$186,'Table 16 data'!$D$174+'Table 17 data'!H$4,0)</f>
        <v>58.4</v>
      </c>
      <c r="I23" s="229">
        <f>VLOOKUP($A23,'Table 17 data'!$A$9:$S$186,'Table 16 data'!$D$174+'Table 17 data'!I$4,0)</f>
        <v>58.9</v>
      </c>
      <c r="J23" s="229">
        <f>VLOOKUP($A23,'Table 17 data'!$A$9:$S$186,'Table 16 data'!$D$174+'Table 17 data'!J$4,0)</f>
        <v>59.9</v>
      </c>
    </row>
    <row r="24" spans="1:10" ht="11.25" customHeight="1" x14ac:dyDescent="0.2">
      <c r="A24" s="24" t="s">
        <v>42</v>
      </c>
      <c r="B24" s="126" t="s">
        <v>43</v>
      </c>
      <c r="C24" s="230">
        <f>VLOOKUP($A24,'Table 17 data'!$A$9:$S$186,'Table 16 data'!$D$174+'Table 17 data'!C$4,0)</f>
        <v>38.6</v>
      </c>
      <c r="D24" s="230">
        <f>VLOOKUP($A24,'Table 17 data'!$A$9:$S$186,'Table 16 data'!$D$174+'Table 17 data'!D$4,0)</f>
        <v>43.7</v>
      </c>
      <c r="E24" s="230">
        <f>VLOOKUP($A24,'Table 17 data'!$A$9:$S$186,'Table 16 data'!$D$174+'Table 17 data'!E$4,0)</f>
        <v>45.8</v>
      </c>
      <c r="F24" s="230">
        <f>VLOOKUP($A24,'Table 17 data'!$A$9:$S$186,'Table 16 data'!$D$174+'Table 17 data'!F$4,0)</f>
        <v>43.9</v>
      </c>
      <c r="G24" s="230">
        <f>VLOOKUP($A24,'Table 17 data'!$A$9:$S$186,'Table 16 data'!$D$174+'Table 17 data'!G$4,0)</f>
        <v>51.9</v>
      </c>
      <c r="H24" s="230">
        <f>VLOOKUP($A24,'Table 17 data'!$A$9:$S$186,'Table 16 data'!$D$174+'Table 17 data'!H$4,0)</f>
        <v>56.9</v>
      </c>
      <c r="I24" s="230">
        <f>VLOOKUP($A24,'Table 17 data'!$A$9:$S$186,'Table 16 data'!$D$174+'Table 17 data'!I$4,0)</f>
        <v>57</v>
      </c>
      <c r="J24" s="230">
        <f>VLOOKUP($A24,'Table 17 data'!$A$9:$S$186,'Table 16 data'!$D$174+'Table 17 data'!J$4,0)</f>
        <v>59.5</v>
      </c>
    </row>
    <row r="25" spans="1:10" ht="11.25" customHeight="1" x14ac:dyDescent="0.2">
      <c r="A25" s="24" t="s">
        <v>44</v>
      </c>
      <c r="B25" s="126" t="s">
        <v>45</v>
      </c>
      <c r="C25" s="230">
        <f>VLOOKUP($A25,'Table 17 data'!$A$9:$S$186,'Table 16 data'!$D$174+'Table 17 data'!C$4,0)</f>
        <v>34.200000000000003</v>
      </c>
      <c r="D25" s="230">
        <f>VLOOKUP($A25,'Table 17 data'!$A$9:$S$186,'Table 16 data'!$D$174+'Table 17 data'!D$4,0)</f>
        <v>34.6</v>
      </c>
      <c r="E25" s="230">
        <f>VLOOKUP($A25,'Table 17 data'!$A$9:$S$186,'Table 16 data'!$D$174+'Table 17 data'!E$4,0)</f>
        <v>34.5</v>
      </c>
      <c r="F25" s="230">
        <f>VLOOKUP($A25,'Table 17 data'!$A$9:$S$186,'Table 16 data'!$D$174+'Table 17 data'!F$4,0)</f>
        <v>38.700000000000003</v>
      </c>
      <c r="G25" s="230">
        <f>VLOOKUP($A25,'Table 17 data'!$A$9:$S$186,'Table 16 data'!$D$174+'Table 17 data'!G$4,0)</f>
        <v>47.8</v>
      </c>
      <c r="H25" s="230">
        <f>VLOOKUP($A25,'Table 17 data'!$A$9:$S$186,'Table 16 data'!$D$174+'Table 17 data'!H$4,0)</f>
        <v>46.2</v>
      </c>
      <c r="I25" s="230">
        <f>VLOOKUP($A25,'Table 17 data'!$A$9:$S$186,'Table 16 data'!$D$174+'Table 17 data'!I$4,0)</f>
        <v>47.9</v>
      </c>
      <c r="J25" s="230">
        <f>VLOOKUP($A25,'Table 17 data'!$A$9:$S$186,'Table 16 data'!$D$174+'Table 17 data'!J$4,0)</f>
        <v>46.1</v>
      </c>
    </row>
    <row r="26" spans="1:10" ht="11.25" customHeight="1" x14ac:dyDescent="0.2">
      <c r="A26" s="25" t="s">
        <v>46</v>
      </c>
      <c r="B26" s="126" t="s">
        <v>47</v>
      </c>
      <c r="C26" s="230">
        <f>VLOOKUP($A26,'Table 17 data'!$A$9:$S$186,'Table 16 data'!$D$174+'Table 17 data'!C$4,0)</f>
        <v>38</v>
      </c>
      <c r="D26" s="230">
        <f>VLOOKUP($A26,'Table 17 data'!$A$9:$S$186,'Table 16 data'!$D$174+'Table 17 data'!D$4,0)</f>
        <v>40.1</v>
      </c>
      <c r="E26" s="230">
        <f>VLOOKUP($A26,'Table 17 data'!$A$9:$S$186,'Table 16 data'!$D$174+'Table 17 data'!E$4,0)</f>
        <v>44.9</v>
      </c>
      <c r="F26" s="230">
        <f>VLOOKUP($A26,'Table 17 data'!$A$9:$S$186,'Table 16 data'!$D$174+'Table 17 data'!F$4,0)</f>
        <v>46.2</v>
      </c>
      <c r="G26" s="230">
        <f>VLOOKUP($A26,'Table 17 data'!$A$9:$S$186,'Table 16 data'!$D$174+'Table 17 data'!G$4,0)</f>
        <v>53.2</v>
      </c>
      <c r="H26" s="230">
        <f>VLOOKUP($A26,'Table 17 data'!$A$9:$S$186,'Table 16 data'!$D$174+'Table 17 data'!H$4,0)</f>
        <v>59.6</v>
      </c>
      <c r="I26" s="230">
        <f>VLOOKUP($A26,'Table 17 data'!$A$9:$S$186,'Table 16 data'!$D$174+'Table 17 data'!I$4,0)</f>
        <v>60.2</v>
      </c>
      <c r="J26" s="230">
        <f>VLOOKUP($A26,'Table 17 data'!$A$9:$S$186,'Table 16 data'!$D$174+'Table 17 data'!J$4,0)</f>
        <v>60.7</v>
      </c>
    </row>
    <row r="27" spans="1:10" ht="11.25" customHeight="1" x14ac:dyDescent="0.2">
      <c r="A27" s="25" t="s">
        <v>48</v>
      </c>
      <c r="B27" s="126" t="s">
        <v>49</v>
      </c>
      <c r="C27" s="230">
        <f>VLOOKUP($A27,'Table 17 data'!$A$9:$S$186,'Table 16 data'!$D$174+'Table 17 data'!C$4,0)</f>
        <v>47.9</v>
      </c>
      <c r="D27" s="230">
        <f>VLOOKUP($A27,'Table 17 data'!$A$9:$S$186,'Table 16 data'!$D$174+'Table 17 data'!D$4,0)</f>
        <v>52.9</v>
      </c>
      <c r="E27" s="230">
        <f>VLOOKUP($A27,'Table 17 data'!$A$9:$S$186,'Table 16 data'!$D$174+'Table 17 data'!E$4,0)</f>
        <v>55.5</v>
      </c>
      <c r="F27" s="230">
        <f>VLOOKUP($A27,'Table 17 data'!$A$9:$S$186,'Table 16 data'!$D$174+'Table 17 data'!F$4,0)</f>
        <v>58.8</v>
      </c>
      <c r="G27" s="230">
        <f>VLOOKUP($A27,'Table 17 data'!$A$9:$S$186,'Table 16 data'!$D$174+'Table 17 data'!G$4,0)</f>
        <v>62.1</v>
      </c>
      <c r="H27" s="230">
        <f>VLOOKUP($A27,'Table 17 data'!$A$9:$S$186,'Table 16 data'!$D$174+'Table 17 data'!H$4,0)</f>
        <v>62.8</v>
      </c>
      <c r="I27" s="230">
        <f>VLOOKUP($A27,'Table 17 data'!$A$9:$S$186,'Table 16 data'!$D$174+'Table 17 data'!I$4,0)</f>
        <v>63</v>
      </c>
      <c r="J27" s="230">
        <f>VLOOKUP($A27,'Table 17 data'!$A$9:$S$186,'Table 16 data'!$D$174+'Table 17 data'!J$4,0)</f>
        <v>62.3</v>
      </c>
    </row>
    <row r="28" spans="1:10" ht="11.25" customHeight="1" x14ac:dyDescent="0.2">
      <c r="A28" s="25" t="s">
        <v>359</v>
      </c>
      <c r="B28" s="181" t="s">
        <v>196</v>
      </c>
      <c r="C28" s="230">
        <f>VLOOKUP($A28,'Table 17 data'!$A$9:$S$186,'Table 16 data'!$D$174+'Table 17 data'!C$4,0)</f>
        <v>50.5</v>
      </c>
      <c r="D28" s="230">
        <f>VLOOKUP($A28,'Table 17 data'!$A$9:$S$186,'Table 16 data'!$D$174+'Table 17 data'!D$4,0)</f>
        <v>51.5</v>
      </c>
      <c r="E28" s="230">
        <f>VLOOKUP($A28,'Table 17 data'!$A$9:$S$186,'Table 16 data'!$D$174+'Table 17 data'!E$4,0)</f>
        <v>52.9</v>
      </c>
      <c r="F28" s="230" t="str">
        <f>VLOOKUP($A28,'Table 17 data'!$A$9:$S$186,'Table 16 data'!$D$174+'Table 17 data'!F$4,0)</f>
        <v>.</v>
      </c>
      <c r="G28" s="230" t="str">
        <f>VLOOKUP($A28,'Table 17 data'!$A$9:$S$186,'Table 16 data'!$D$174+'Table 17 data'!G$4,0)</f>
        <v>.</v>
      </c>
      <c r="H28" s="230" t="str">
        <f>VLOOKUP($A28,'Table 17 data'!$A$9:$S$186,'Table 16 data'!$D$174+'Table 17 data'!H$4,0)</f>
        <v>.</v>
      </c>
      <c r="I28" s="230" t="str">
        <f>VLOOKUP($A28,'Table 17 data'!$A$9:$S$186,'Table 16 data'!$D$174+'Table 17 data'!I$4,0)</f>
        <v>.</v>
      </c>
      <c r="J28" s="230" t="str">
        <f>VLOOKUP($A28,'Table 17 data'!$A$9:$S$186,'Table 16 data'!$D$174+'Table 17 data'!J$4,0)</f>
        <v>.</v>
      </c>
    </row>
    <row r="29" spans="1:10" ht="11.25" customHeight="1" x14ac:dyDescent="0.2">
      <c r="A29" s="24" t="s">
        <v>50</v>
      </c>
      <c r="B29" s="126" t="s">
        <v>51</v>
      </c>
      <c r="C29" s="230" t="str">
        <f>VLOOKUP($A29,'Table 17 data'!$A$9:$S$186,'Table 16 data'!$D$174+'Table 17 data'!C$4,0)</f>
        <v>.</v>
      </c>
      <c r="D29" s="230" t="str">
        <f>VLOOKUP($A29,'Table 17 data'!$A$9:$S$186,'Table 16 data'!$D$174+'Table 17 data'!D$4,0)</f>
        <v>.</v>
      </c>
      <c r="E29" s="230" t="str">
        <f>VLOOKUP($A29,'Table 17 data'!$A$9:$S$186,'Table 16 data'!$D$174+'Table 17 data'!E$4,0)</f>
        <v>.</v>
      </c>
      <c r="F29" s="230">
        <f>VLOOKUP($A29,'Table 17 data'!$A$9:$S$186,'Table 16 data'!$D$174+'Table 17 data'!F$4,0)</f>
        <v>57.3</v>
      </c>
      <c r="G29" s="230">
        <f>VLOOKUP($A29,'Table 17 data'!$A$9:$S$186,'Table 16 data'!$D$174+'Table 17 data'!G$4,0)</f>
        <v>62.5</v>
      </c>
      <c r="H29" s="230">
        <f>VLOOKUP($A29,'Table 17 data'!$A$9:$S$186,'Table 16 data'!$D$174+'Table 17 data'!H$4,0)</f>
        <v>64.400000000000006</v>
      </c>
      <c r="I29" s="230">
        <f>VLOOKUP($A29,'Table 17 data'!$A$9:$S$186,'Table 16 data'!$D$174+'Table 17 data'!I$4,0)</f>
        <v>62</v>
      </c>
      <c r="J29" s="230">
        <f>VLOOKUP($A29,'Table 17 data'!$A$9:$S$186,'Table 16 data'!$D$174+'Table 17 data'!J$4,0)</f>
        <v>62.4</v>
      </c>
    </row>
    <row r="30" spans="1:10" ht="11.25" customHeight="1" x14ac:dyDescent="0.2">
      <c r="A30" s="24" t="s">
        <v>52</v>
      </c>
      <c r="B30" s="126" t="s">
        <v>53</v>
      </c>
      <c r="C30" s="230" t="str">
        <f>VLOOKUP($A30,'Table 17 data'!$A$9:$S$186,'Table 16 data'!$D$174+'Table 17 data'!C$4,0)</f>
        <v>.</v>
      </c>
      <c r="D30" s="230" t="str">
        <f>VLOOKUP($A30,'Table 17 data'!$A$9:$S$186,'Table 16 data'!$D$174+'Table 17 data'!D$4,0)</f>
        <v>.</v>
      </c>
      <c r="E30" s="230" t="str">
        <f>VLOOKUP($A30,'Table 17 data'!$A$9:$S$186,'Table 16 data'!$D$174+'Table 17 data'!E$4,0)</f>
        <v>.</v>
      </c>
      <c r="F30" s="230">
        <f>VLOOKUP($A30,'Table 17 data'!$A$9:$S$186,'Table 16 data'!$D$174+'Table 17 data'!F$4,0)</f>
        <v>50.6</v>
      </c>
      <c r="G30" s="230">
        <f>VLOOKUP($A30,'Table 17 data'!$A$9:$S$186,'Table 16 data'!$D$174+'Table 17 data'!G$4,0)</f>
        <v>56.4</v>
      </c>
      <c r="H30" s="230">
        <f>VLOOKUP($A30,'Table 17 data'!$A$9:$S$186,'Table 16 data'!$D$174+'Table 17 data'!H$4,0)</f>
        <v>59.5</v>
      </c>
      <c r="I30" s="230">
        <f>VLOOKUP($A30,'Table 17 data'!$A$9:$S$186,'Table 16 data'!$D$174+'Table 17 data'!I$4,0)</f>
        <v>59.8</v>
      </c>
      <c r="J30" s="230">
        <f>VLOOKUP($A30,'Table 17 data'!$A$9:$S$186,'Table 16 data'!$D$174+'Table 17 data'!J$4,0)</f>
        <v>63</v>
      </c>
    </row>
    <row r="31" spans="1:10" ht="11.25" customHeight="1" x14ac:dyDescent="0.2">
      <c r="A31" s="25" t="s">
        <v>54</v>
      </c>
      <c r="B31" s="126" t="s">
        <v>55</v>
      </c>
      <c r="C31" s="230">
        <f>VLOOKUP($A31,'Table 17 data'!$A$9:$S$186,'Table 16 data'!$D$174+'Table 17 data'!C$4,0)</f>
        <v>45.3</v>
      </c>
      <c r="D31" s="230">
        <f>VLOOKUP($A31,'Table 17 data'!$A$9:$S$186,'Table 16 data'!$D$174+'Table 17 data'!D$4,0)</f>
        <v>45.7</v>
      </c>
      <c r="E31" s="230">
        <f>VLOOKUP($A31,'Table 17 data'!$A$9:$S$186,'Table 16 data'!$D$174+'Table 17 data'!E$4,0)</f>
        <v>48.4</v>
      </c>
      <c r="F31" s="230">
        <f>VLOOKUP($A31,'Table 17 data'!$A$9:$S$186,'Table 16 data'!$D$174+'Table 17 data'!F$4,0)</f>
        <v>49.6</v>
      </c>
      <c r="G31" s="230">
        <f>VLOOKUP($A31,'Table 17 data'!$A$9:$S$186,'Table 16 data'!$D$174+'Table 17 data'!G$4,0)</f>
        <v>55.8</v>
      </c>
      <c r="H31" s="230">
        <f>VLOOKUP($A31,'Table 17 data'!$A$9:$S$186,'Table 16 data'!$D$174+'Table 17 data'!H$4,0)</f>
        <v>57</v>
      </c>
      <c r="I31" s="230">
        <f>VLOOKUP($A31,'Table 17 data'!$A$9:$S$186,'Table 16 data'!$D$174+'Table 17 data'!I$4,0)</f>
        <v>56.1</v>
      </c>
      <c r="J31" s="230">
        <f>VLOOKUP($A31,'Table 17 data'!$A$9:$S$186,'Table 16 data'!$D$174+'Table 17 data'!J$4,0)</f>
        <v>56.5</v>
      </c>
    </row>
    <row r="32" spans="1:10" ht="11.25" customHeight="1" x14ac:dyDescent="0.2">
      <c r="A32" s="24" t="s">
        <v>56</v>
      </c>
      <c r="B32" s="126" t="s">
        <v>57</v>
      </c>
      <c r="C32" s="230">
        <f>VLOOKUP($A32,'Table 17 data'!$A$9:$S$186,'Table 16 data'!$D$174+'Table 17 data'!C$4,0)</f>
        <v>33.299999999999997</v>
      </c>
      <c r="D32" s="230">
        <f>VLOOKUP($A32,'Table 17 data'!$A$9:$S$186,'Table 16 data'!$D$174+'Table 17 data'!D$4,0)</f>
        <v>41.1</v>
      </c>
      <c r="E32" s="230">
        <f>VLOOKUP($A32,'Table 17 data'!$A$9:$S$186,'Table 16 data'!$D$174+'Table 17 data'!E$4,0)</f>
        <v>49.3</v>
      </c>
      <c r="F32" s="230">
        <f>VLOOKUP($A32,'Table 17 data'!$A$9:$S$186,'Table 16 data'!$D$174+'Table 17 data'!F$4,0)</f>
        <v>44.6</v>
      </c>
      <c r="G32" s="230">
        <f>VLOOKUP($A32,'Table 17 data'!$A$9:$S$186,'Table 16 data'!$D$174+'Table 17 data'!G$4,0)</f>
        <v>50.1</v>
      </c>
      <c r="H32" s="230">
        <f>VLOOKUP($A32,'Table 17 data'!$A$9:$S$186,'Table 16 data'!$D$174+'Table 17 data'!H$4,0)</f>
        <v>56.3</v>
      </c>
      <c r="I32" s="230">
        <f>VLOOKUP($A32,'Table 17 data'!$A$9:$S$186,'Table 16 data'!$D$174+'Table 17 data'!I$4,0)</f>
        <v>59</v>
      </c>
      <c r="J32" s="230">
        <f>VLOOKUP($A32,'Table 17 data'!$A$9:$S$186,'Table 16 data'!$D$174+'Table 17 data'!J$4,0)</f>
        <v>62.5</v>
      </c>
    </row>
    <row r="33" spans="1:10" ht="11.25" customHeight="1" x14ac:dyDescent="0.2">
      <c r="A33" s="26" t="s">
        <v>58</v>
      </c>
      <c r="B33" s="126" t="s">
        <v>59</v>
      </c>
      <c r="C33" s="230">
        <f>VLOOKUP($A33,'Table 17 data'!$A$9:$S$186,'Table 16 data'!$D$174+'Table 17 data'!C$4,0)</f>
        <v>26.1</v>
      </c>
      <c r="D33" s="230">
        <f>VLOOKUP($A33,'Table 17 data'!$A$9:$S$186,'Table 16 data'!$D$174+'Table 17 data'!D$4,0)</f>
        <v>26.5</v>
      </c>
      <c r="E33" s="230">
        <f>VLOOKUP($A33,'Table 17 data'!$A$9:$S$186,'Table 16 data'!$D$174+'Table 17 data'!E$4,0)</f>
        <v>29.9</v>
      </c>
      <c r="F33" s="230">
        <f>VLOOKUP($A33,'Table 17 data'!$A$9:$S$186,'Table 16 data'!$D$174+'Table 17 data'!F$4,0)</f>
        <v>33.5</v>
      </c>
      <c r="G33" s="230">
        <f>VLOOKUP($A33,'Table 17 data'!$A$9:$S$186,'Table 16 data'!$D$174+'Table 17 data'!G$4,0)</f>
        <v>38</v>
      </c>
      <c r="H33" s="230">
        <f>VLOOKUP($A33,'Table 17 data'!$A$9:$S$186,'Table 16 data'!$D$174+'Table 17 data'!H$4,0)</f>
        <v>40.799999999999997</v>
      </c>
      <c r="I33" s="230">
        <f>VLOOKUP($A33,'Table 17 data'!$A$9:$S$186,'Table 16 data'!$D$174+'Table 17 data'!I$4,0)</f>
        <v>40.9</v>
      </c>
      <c r="J33" s="230">
        <f>VLOOKUP($A33,'Table 17 data'!$A$9:$S$186,'Table 16 data'!$D$174+'Table 17 data'!J$4,0)</f>
        <v>43.7</v>
      </c>
    </row>
    <row r="34" spans="1:10" ht="11.25" customHeight="1" x14ac:dyDescent="0.2">
      <c r="A34" s="24" t="s">
        <v>60</v>
      </c>
      <c r="B34" s="126" t="s">
        <v>61</v>
      </c>
      <c r="C34" s="230">
        <f>VLOOKUP($A34,'Table 17 data'!$A$9:$S$186,'Table 16 data'!$D$174+'Table 17 data'!C$4,0)</f>
        <v>45.9</v>
      </c>
      <c r="D34" s="230">
        <f>VLOOKUP($A34,'Table 17 data'!$A$9:$S$186,'Table 16 data'!$D$174+'Table 17 data'!D$4,0)</f>
        <v>48.2</v>
      </c>
      <c r="E34" s="230">
        <f>VLOOKUP($A34,'Table 17 data'!$A$9:$S$186,'Table 16 data'!$D$174+'Table 17 data'!E$4,0)</f>
        <v>50.8</v>
      </c>
      <c r="F34" s="230">
        <f>VLOOKUP($A34,'Table 17 data'!$A$9:$S$186,'Table 16 data'!$D$174+'Table 17 data'!F$4,0)</f>
        <v>53.5</v>
      </c>
      <c r="G34" s="230">
        <f>VLOOKUP($A34,'Table 17 data'!$A$9:$S$186,'Table 16 data'!$D$174+'Table 17 data'!G$4,0)</f>
        <v>56.7</v>
      </c>
      <c r="H34" s="230">
        <f>VLOOKUP($A34,'Table 17 data'!$A$9:$S$186,'Table 16 data'!$D$174+'Table 17 data'!H$4,0)</f>
        <v>60.1</v>
      </c>
      <c r="I34" s="230">
        <f>VLOOKUP($A34,'Table 17 data'!$A$9:$S$186,'Table 16 data'!$D$174+'Table 17 data'!I$4,0)</f>
        <v>59.9</v>
      </c>
      <c r="J34" s="230">
        <f>VLOOKUP($A34,'Table 17 data'!$A$9:$S$186,'Table 16 data'!$D$174+'Table 17 data'!J$4,0)</f>
        <v>61.2</v>
      </c>
    </row>
    <row r="35" spans="1:10" ht="11.25" customHeight="1" x14ac:dyDescent="0.2">
      <c r="A35" s="25" t="s">
        <v>62</v>
      </c>
      <c r="B35" s="126" t="s">
        <v>63</v>
      </c>
      <c r="C35" s="230">
        <f>VLOOKUP($A35,'Table 17 data'!$A$9:$S$186,'Table 16 data'!$D$174+'Table 17 data'!C$4,0)</f>
        <v>35.5</v>
      </c>
      <c r="D35" s="230">
        <f>VLOOKUP($A35,'Table 17 data'!$A$9:$S$186,'Table 16 data'!$D$174+'Table 17 data'!D$4,0)</f>
        <v>37.4</v>
      </c>
      <c r="E35" s="230">
        <f>VLOOKUP($A35,'Table 17 data'!$A$9:$S$186,'Table 16 data'!$D$174+'Table 17 data'!E$4,0)</f>
        <v>41.2</v>
      </c>
      <c r="F35" s="230">
        <f>VLOOKUP($A35,'Table 17 data'!$A$9:$S$186,'Table 16 data'!$D$174+'Table 17 data'!F$4,0)</f>
        <v>44.3</v>
      </c>
      <c r="G35" s="230">
        <f>VLOOKUP($A35,'Table 17 data'!$A$9:$S$186,'Table 16 data'!$D$174+'Table 17 data'!G$4,0)</f>
        <v>53</v>
      </c>
      <c r="H35" s="230">
        <f>VLOOKUP($A35,'Table 17 data'!$A$9:$S$186,'Table 16 data'!$D$174+'Table 17 data'!H$4,0)</f>
        <v>55</v>
      </c>
      <c r="I35" s="230">
        <f>VLOOKUP($A35,'Table 17 data'!$A$9:$S$186,'Table 16 data'!$D$174+'Table 17 data'!I$4,0)</f>
        <v>56.8</v>
      </c>
      <c r="J35" s="230">
        <f>VLOOKUP($A35,'Table 17 data'!$A$9:$S$186,'Table 16 data'!$D$174+'Table 17 data'!J$4,0)</f>
        <v>56</v>
      </c>
    </row>
    <row r="36" spans="1:10" ht="11.25" customHeight="1" x14ac:dyDescent="0.2">
      <c r="A36" s="25" t="s">
        <v>64</v>
      </c>
      <c r="B36" s="126" t="s">
        <v>65</v>
      </c>
      <c r="C36" s="230">
        <f>VLOOKUP($A36,'Table 17 data'!$A$9:$S$186,'Table 16 data'!$D$174+'Table 17 data'!C$4,0)</f>
        <v>29</v>
      </c>
      <c r="D36" s="230">
        <f>VLOOKUP($A36,'Table 17 data'!$A$9:$S$186,'Table 16 data'!$D$174+'Table 17 data'!D$4,0)</f>
        <v>32.299999999999997</v>
      </c>
      <c r="E36" s="230">
        <f>VLOOKUP($A36,'Table 17 data'!$A$9:$S$186,'Table 16 data'!$D$174+'Table 17 data'!E$4,0)</f>
        <v>36.9</v>
      </c>
      <c r="F36" s="230">
        <f>VLOOKUP($A36,'Table 17 data'!$A$9:$S$186,'Table 16 data'!$D$174+'Table 17 data'!F$4,0)</f>
        <v>38.6</v>
      </c>
      <c r="G36" s="230">
        <f>VLOOKUP($A36,'Table 17 data'!$A$9:$S$186,'Table 16 data'!$D$174+'Table 17 data'!G$4,0)</f>
        <v>45.7</v>
      </c>
      <c r="H36" s="230">
        <f>VLOOKUP($A36,'Table 17 data'!$A$9:$S$186,'Table 16 data'!$D$174+'Table 17 data'!H$4,0)</f>
        <v>51.8</v>
      </c>
      <c r="I36" s="230">
        <f>VLOOKUP($A36,'Table 17 data'!$A$9:$S$186,'Table 16 data'!$D$174+'Table 17 data'!I$4,0)</f>
        <v>53.2</v>
      </c>
      <c r="J36" s="230">
        <f>VLOOKUP($A36,'Table 17 data'!$A$9:$S$186,'Table 16 data'!$D$174+'Table 17 data'!J$4,0)</f>
        <v>53.1</v>
      </c>
    </row>
    <row r="37" spans="1:10" ht="11.25" customHeight="1" x14ac:dyDescent="0.2">
      <c r="A37" s="25" t="s">
        <v>66</v>
      </c>
      <c r="B37" s="126" t="s">
        <v>67</v>
      </c>
      <c r="C37" s="230">
        <f>VLOOKUP($A37,'Table 17 data'!$A$9:$S$186,'Table 16 data'!$D$174+'Table 17 data'!C$4,0)</f>
        <v>35.4</v>
      </c>
      <c r="D37" s="230">
        <f>VLOOKUP($A37,'Table 17 data'!$A$9:$S$186,'Table 16 data'!$D$174+'Table 17 data'!D$4,0)</f>
        <v>40.5</v>
      </c>
      <c r="E37" s="230">
        <f>VLOOKUP($A37,'Table 17 data'!$A$9:$S$186,'Table 16 data'!$D$174+'Table 17 data'!E$4,0)</f>
        <v>43.1</v>
      </c>
      <c r="F37" s="230">
        <f>VLOOKUP($A37,'Table 17 data'!$A$9:$S$186,'Table 16 data'!$D$174+'Table 17 data'!F$4,0)</f>
        <v>46.8</v>
      </c>
      <c r="G37" s="230">
        <f>VLOOKUP($A37,'Table 17 data'!$A$9:$S$186,'Table 16 data'!$D$174+'Table 17 data'!G$4,0)</f>
        <v>51.9</v>
      </c>
      <c r="H37" s="230">
        <f>VLOOKUP($A37,'Table 17 data'!$A$9:$S$186,'Table 16 data'!$D$174+'Table 17 data'!H$4,0)</f>
        <v>56.1</v>
      </c>
      <c r="I37" s="230">
        <f>VLOOKUP($A37,'Table 17 data'!$A$9:$S$186,'Table 16 data'!$D$174+'Table 17 data'!I$4,0)</f>
        <v>55.9</v>
      </c>
      <c r="J37" s="230">
        <f>VLOOKUP($A37,'Table 17 data'!$A$9:$S$186,'Table 16 data'!$D$174+'Table 17 data'!J$4,0)</f>
        <v>57</v>
      </c>
    </row>
    <row r="38" spans="1:10" ht="11.25" customHeight="1" x14ac:dyDescent="0.2">
      <c r="A38" s="25" t="s">
        <v>68</v>
      </c>
      <c r="B38" s="126" t="s">
        <v>69</v>
      </c>
      <c r="C38" s="230">
        <f>VLOOKUP($A38,'Table 17 data'!$A$9:$S$186,'Table 16 data'!$D$174+'Table 17 data'!C$4,0)</f>
        <v>37.1</v>
      </c>
      <c r="D38" s="230">
        <f>VLOOKUP($A38,'Table 17 data'!$A$9:$S$186,'Table 16 data'!$D$174+'Table 17 data'!D$4,0)</f>
        <v>41.9</v>
      </c>
      <c r="E38" s="230">
        <f>VLOOKUP($A38,'Table 17 data'!$A$9:$S$186,'Table 16 data'!$D$174+'Table 17 data'!E$4,0)</f>
        <v>43.4</v>
      </c>
      <c r="F38" s="230">
        <f>VLOOKUP($A38,'Table 17 data'!$A$9:$S$186,'Table 16 data'!$D$174+'Table 17 data'!F$4,0)</f>
        <v>47.8</v>
      </c>
      <c r="G38" s="230">
        <f>VLOOKUP($A38,'Table 17 data'!$A$9:$S$186,'Table 16 data'!$D$174+'Table 17 data'!G$4,0)</f>
        <v>51.4</v>
      </c>
      <c r="H38" s="230">
        <f>VLOOKUP($A38,'Table 17 data'!$A$9:$S$186,'Table 16 data'!$D$174+'Table 17 data'!H$4,0)</f>
        <v>53.5</v>
      </c>
      <c r="I38" s="230">
        <f>VLOOKUP($A38,'Table 17 data'!$A$9:$S$186,'Table 16 data'!$D$174+'Table 17 data'!I$4,0)</f>
        <v>52</v>
      </c>
      <c r="J38" s="230">
        <f>VLOOKUP($A38,'Table 17 data'!$A$9:$S$186,'Table 16 data'!$D$174+'Table 17 data'!J$4,0)</f>
        <v>56.2</v>
      </c>
    </row>
    <row r="39" spans="1:10" ht="11.25" customHeight="1" x14ac:dyDescent="0.2">
      <c r="A39" s="25" t="s">
        <v>70</v>
      </c>
      <c r="B39" s="126" t="s">
        <v>71</v>
      </c>
      <c r="C39" s="230">
        <f>VLOOKUP($A39,'Table 17 data'!$A$9:$S$186,'Table 16 data'!$D$174+'Table 17 data'!C$4,0)</f>
        <v>32</v>
      </c>
      <c r="D39" s="230">
        <f>VLOOKUP($A39,'Table 17 data'!$A$9:$S$186,'Table 16 data'!$D$174+'Table 17 data'!D$4,0)</f>
        <v>37.799999999999997</v>
      </c>
      <c r="E39" s="230">
        <f>VLOOKUP($A39,'Table 17 data'!$A$9:$S$186,'Table 16 data'!$D$174+'Table 17 data'!E$4,0)</f>
        <v>40.299999999999997</v>
      </c>
      <c r="F39" s="230">
        <f>VLOOKUP($A39,'Table 17 data'!$A$9:$S$186,'Table 16 data'!$D$174+'Table 17 data'!F$4,0)</f>
        <v>45.8</v>
      </c>
      <c r="G39" s="230">
        <f>VLOOKUP($A39,'Table 17 data'!$A$9:$S$186,'Table 16 data'!$D$174+'Table 17 data'!G$4,0)</f>
        <v>49.8</v>
      </c>
      <c r="H39" s="230">
        <f>VLOOKUP($A39,'Table 17 data'!$A$9:$S$186,'Table 16 data'!$D$174+'Table 17 data'!H$4,0)</f>
        <v>52.9</v>
      </c>
      <c r="I39" s="230">
        <f>VLOOKUP($A39,'Table 17 data'!$A$9:$S$186,'Table 16 data'!$D$174+'Table 17 data'!I$4,0)</f>
        <v>52</v>
      </c>
      <c r="J39" s="230">
        <f>VLOOKUP($A39,'Table 17 data'!$A$9:$S$186,'Table 16 data'!$D$174+'Table 17 data'!J$4,0)</f>
        <v>54.8</v>
      </c>
    </row>
    <row r="40" spans="1:10" ht="11.25" customHeight="1" x14ac:dyDescent="0.2">
      <c r="A40" s="25" t="s">
        <v>72</v>
      </c>
      <c r="B40" s="126" t="s">
        <v>73</v>
      </c>
      <c r="C40" s="230">
        <f>VLOOKUP($A40,'Table 17 data'!$A$9:$S$186,'Table 16 data'!$D$174+'Table 17 data'!C$4,0)</f>
        <v>44</v>
      </c>
      <c r="D40" s="230">
        <f>VLOOKUP($A40,'Table 17 data'!$A$9:$S$186,'Table 16 data'!$D$174+'Table 17 data'!D$4,0)</f>
        <v>45.9</v>
      </c>
      <c r="E40" s="230">
        <f>VLOOKUP($A40,'Table 17 data'!$A$9:$S$186,'Table 16 data'!$D$174+'Table 17 data'!E$4,0)</f>
        <v>51.4</v>
      </c>
      <c r="F40" s="230">
        <f>VLOOKUP($A40,'Table 17 data'!$A$9:$S$186,'Table 16 data'!$D$174+'Table 17 data'!F$4,0)</f>
        <v>53.2</v>
      </c>
      <c r="G40" s="230">
        <f>VLOOKUP($A40,'Table 17 data'!$A$9:$S$186,'Table 16 data'!$D$174+'Table 17 data'!G$4,0)</f>
        <v>55.8</v>
      </c>
      <c r="H40" s="230">
        <f>VLOOKUP($A40,'Table 17 data'!$A$9:$S$186,'Table 16 data'!$D$174+'Table 17 data'!H$4,0)</f>
        <v>59.5</v>
      </c>
      <c r="I40" s="230">
        <f>VLOOKUP($A40,'Table 17 data'!$A$9:$S$186,'Table 16 data'!$D$174+'Table 17 data'!I$4,0)</f>
        <v>58.5</v>
      </c>
      <c r="J40" s="230">
        <f>VLOOKUP($A40,'Table 17 data'!$A$9:$S$186,'Table 16 data'!$D$174+'Table 17 data'!J$4,0)</f>
        <v>60.9</v>
      </c>
    </row>
    <row r="41" spans="1:10" ht="11.25" customHeight="1" x14ac:dyDescent="0.2">
      <c r="A41" s="26" t="s">
        <v>74</v>
      </c>
      <c r="B41" s="126" t="s">
        <v>75</v>
      </c>
      <c r="C41" s="230">
        <f>VLOOKUP($A41,'Table 17 data'!$A$9:$S$186,'Table 16 data'!$D$174+'Table 17 data'!C$4,0)</f>
        <v>38</v>
      </c>
      <c r="D41" s="230">
        <f>VLOOKUP($A41,'Table 17 data'!$A$9:$S$186,'Table 16 data'!$D$174+'Table 17 data'!D$4,0)</f>
        <v>41.4</v>
      </c>
      <c r="E41" s="230">
        <f>VLOOKUP($A41,'Table 17 data'!$A$9:$S$186,'Table 16 data'!$D$174+'Table 17 data'!E$4,0)</f>
        <v>44.2</v>
      </c>
      <c r="F41" s="230">
        <f>VLOOKUP($A41,'Table 17 data'!$A$9:$S$186,'Table 16 data'!$D$174+'Table 17 data'!F$4,0)</f>
        <v>47.4</v>
      </c>
      <c r="G41" s="230">
        <f>VLOOKUP($A41,'Table 17 data'!$A$9:$S$186,'Table 16 data'!$D$174+'Table 17 data'!G$4,0)</f>
        <v>52.8</v>
      </c>
      <c r="H41" s="230">
        <f>VLOOKUP($A41,'Table 17 data'!$A$9:$S$186,'Table 16 data'!$D$174+'Table 17 data'!H$4,0)</f>
        <v>55.7</v>
      </c>
      <c r="I41" s="230">
        <f>VLOOKUP($A41,'Table 17 data'!$A$9:$S$186,'Table 16 data'!$D$174+'Table 17 data'!I$4,0)</f>
        <v>55.1</v>
      </c>
      <c r="J41" s="230">
        <f>VLOOKUP($A41,'Table 17 data'!$A$9:$S$186,'Table 16 data'!$D$174+'Table 17 data'!J$4,0)</f>
        <v>55.5</v>
      </c>
    </row>
    <row r="42" spans="1:10" ht="11.25" customHeight="1" x14ac:dyDescent="0.2">
      <c r="A42" s="25" t="s">
        <v>76</v>
      </c>
      <c r="B42" s="126" t="s">
        <v>77</v>
      </c>
      <c r="C42" s="230">
        <f>VLOOKUP($A42,'Table 17 data'!$A$9:$S$186,'Table 16 data'!$D$174+'Table 17 data'!C$4,0)</f>
        <v>50</v>
      </c>
      <c r="D42" s="230">
        <f>VLOOKUP($A42,'Table 17 data'!$A$9:$S$186,'Table 16 data'!$D$174+'Table 17 data'!D$4,0)</f>
        <v>50.5</v>
      </c>
      <c r="E42" s="230">
        <f>VLOOKUP($A42,'Table 17 data'!$A$9:$S$186,'Table 16 data'!$D$174+'Table 17 data'!E$4,0)</f>
        <v>52.5</v>
      </c>
      <c r="F42" s="230">
        <f>VLOOKUP($A42,'Table 17 data'!$A$9:$S$186,'Table 16 data'!$D$174+'Table 17 data'!F$4,0)</f>
        <v>55.3</v>
      </c>
      <c r="G42" s="230">
        <f>VLOOKUP($A42,'Table 17 data'!$A$9:$S$186,'Table 16 data'!$D$174+'Table 17 data'!G$4,0)</f>
        <v>61.9</v>
      </c>
      <c r="H42" s="230">
        <f>VLOOKUP($A42,'Table 17 data'!$A$9:$S$186,'Table 16 data'!$D$174+'Table 17 data'!H$4,0)</f>
        <v>64.599999999999994</v>
      </c>
      <c r="I42" s="230">
        <f>VLOOKUP($A42,'Table 17 data'!$A$9:$S$186,'Table 16 data'!$D$174+'Table 17 data'!I$4,0)</f>
        <v>65</v>
      </c>
      <c r="J42" s="230">
        <f>VLOOKUP($A42,'Table 17 data'!$A$9:$S$186,'Table 16 data'!$D$174+'Table 17 data'!J$4,0)</f>
        <v>65.8</v>
      </c>
    </row>
    <row r="43" spans="1:10" ht="11.25" customHeight="1" x14ac:dyDescent="0.2">
      <c r="A43" s="25" t="s">
        <v>78</v>
      </c>
      <c r="B43" s="126" t="s">
        <v>79</v>
      </c>
      <c r="C43" s="230">
        <f>VLOOKUP($A43,'Table 17 data'!$A$9:$S$186,'Table 16 data'!$D$174+'Table 17 data'!C$4,0)</f>
        <v>38.5</v>
      </c>
      <c r="D43" s="230">
        <f>VLOOKUP($A43,'Table 17 data'!$A$9:$S$186,'Table 16 data'!$D$174+'Table 17 data'!D$4,0)</f>
        <v>41.8</v>
      </c>
      <c r="E43" s="230">
        <f>VLOOKUP($A43,'Table 17 data'!$A$9:$S$186,'Table 16 data'!$D$174+'Table 17 data'!E$4,0)</f>
        <v>41.8</v>
      </c>
      <c r="F43" s="230">
        <f>VLOOKUP($A43,'Table 17 data'!$A$9:$S$186,'Table 16 data'!$D$174+'Table 17 data'!F$4,0)</f>
        <v>45.5</v>
      </c>
      <c r="G43" s="230">
        <f>VLOOKUP($A43,'Table 17 data'!$A$9:$S$186,'Table 16 data'!$D$174+'Table 17 data'!G$4,0)</f>
        <v>49.7</v>
      </c>
      <c r="H43" s="230">
        <f>VLOOKUP($A43,'Table 17 data'!$A$9:$S$186,'Table 16 data'!$D$174+'Table 17 data'!H$4,0)</f>
        <v>55.6</v>
      </c>
      <c r="I43" s="230">
        <f>VLOOKUP($A43,'Table 17 data'!$A$9:$S$186,'Table 16 data'!$D$174+'Table 17 data'!I$4,0)</f>
        <v>56.8</v>
      </c>
      <c r="J43" s="230">
        <f>VLOOKUP($A43,'Table 17 data'!$A$9:$S$186,'Table 16 data'!$D$174+'Table 17 data'!J$4,0)</f>
        <v>59.4</v>
      </c>
    </row>
    <row r="44" spans="1:10" ht="11.25" customHeight="1" x14ac:dyDescent="0.2">
      <c r="A44" s="25" t="s">
        <v>80</v>
      </c>
      <c r="B44" s="126" t="s">
        <v>81</v>
      </c>
      <c r="C44" s="230">
        <f>VLOOKUP($A44,'Table 17 data'!$A$9:$S$186,'Table 16 data'!$D$174+'Table 17 data'!C$4,0)</f>
        <v>57</v>
      </c>
      <c r="D44" s="230">
        <f>VLOOKUP($A44,'Table 17 data'!$A$9:$S$186,'Table 16 data'!$D$174+'Table 17 data'!D$4,0)</f>
        <v>60.8</v>
      </c>
      <c r="E44" s="230">
        <f>VLOOKUP($A44,'Table 17 data'!$A$9:$S$186,'Table 16 data'!$D$174+'Table 17 data'!E$4,0)</f>
        <v>63.9</v>
      </c>
      <c r="F44" s="230">
        <f>VLOOKUP($A44,'Table 17 data'!$A$9:$S$186,'Table 16 data'!$D$174+'Table 17 data'!F$4,0)</f>
        <v>63.3</v>
      </c>
      <c r="G44" s="230">
        <f>VLOOKUP($A44,'Table 17 data'!$A$9:$S$186,'Table 16 data'!$D$174+'Table 17 data'!G$4,0)</f>
        <v>68.5</v>
      </c>
      <c r="H44" s="230">
        <f>VLOOKUP($A44,'Table 17 data'!$A$9:$S$186,'Table 16 data'!$D$174+'Table 17 data'!H$4,0)</f>
        <v>69.8</v>
      </c>
      <c r="I44" s="230">
        <f>VLOOKUP($A44,'Table 17 data'!$A$9:$S$186,'Table 16 data'!$D$174+'Table 17 data'!I$4,0)</f>
        <v>72.400000000000006</v>
      </c>
      <c r="J44" s="230">
        <f>VLOOKUP($A44,'Table 17 data'!$A$9:$S$186,'Table 16 data'!$D$174+'Table 17 data'!J$4,0)</f>
        <v>70.5</v>
      </c>
    </row>
    <row r="45" spans="1:10" ht="11.25" customHeight="1" x14ac:dyDescent="0.2">
      <c r="A45" s="24" t="s">
        <v>82</v>
      </c>
      <c r="B45" s="126" t="s">
        <v>83</v>
      </c>
      <c r="C45" s="230">
        <f>VLOOKUP($A45,'Table 17 data'!$A$9:$S$186,'Table 16 data'!$D$174+'Table 17 data'!C$4,0)</f>
        <v>48.6</v>
      </c>
      <c r="D45" s="230">
        <f>VLOOKUP($A45,'Table 17 data'!$A$9:$S$186,'Table 16 data'!$D$174+'Table 17 data'!D$4,0)</f>
        <v>49.9</v>
      </c>
      <c r="E45" s="230">
        <f>VLOOKUP($A45,'Table 17 data'!$A$9:$S$186,'Table 16 data'!$D$174+'Table 17 data'!E$4,0)</f>
        <v>53.3</v>
      </c>
      <c r="F45" s="230">
        <f>VLOOKUP($A45,'Table 17 data'!$A$9:$S$186,'Table 16 data'!$D$174+'Table 17 data'!F$4,0)</f>
        <v>59.8</v>
      </c>
      <c r="G45" s="230">
        <f>VLOOKUP($A45,'Table 17 data'!$A$9:$S$186,'Table 16 data'!$D$174+'Table 17 data'!G$4,0)</f>
        <v>61.3</v>
      </c>
      <c r="H45" s="230">
        <f>VLOOKUP($A45,'Table 17 data'!$A$9:$S$186,'Table 16 data'!$D$174+'Table 17 data'!H$4,0)</f>
        <v>64.3</v>
      </c>
      <c r="I45" s="230">
        <f>VLOOKUP($A45,'Table 17 data'!$A$9:$S$186,'Table 16 data'!$D$174+'Table 17 data'!I$4,0)</f>
        <v>62.9</v>
      </c>
      <c r="J45" s="230">
        <f>VLOOKUP($A45,'Table 17 data'!$A$9:$S$186,'Table 16 data'!$D$174+'Table 17 data'!J$4,0)</f>
        <v>65.7</v>
      </c>
    </row>
    <row r="46" spans="1:10" ht="11.25" customHeight="1" x14ac:dyDescent="0.2">
      <c r="A46" s="25" t="s">
        <v>84</v>
      </c>
      <c r="B46" s="126" t="s">
        <v>85</v>
      </c>
      <c r="C46" s="230">
        <f>VLOOKUP($A46,'Table 17 data'!$A$9:$S$186,'Table 16 data'!$D$174+'Table 17 data'!C$4,0)</f>
        <v>41.7</v>
      </c>
      <c r="D46" s="230">
        <f>VLOOKUP($A46,'Table 17 data'!$A$9:$S$186,'Table 16 data'!$D$174+'Table 17 data'!D$4,0)</f>
        <v>44.7</v>
      </c>
      <c r="E46" s="230">
        <f>VLOOKUP($A46,'Table 17 data'!$A$9:$S$186,'Table 16 data'!$D$174+'Table 17 data'!E$4,0)</f>
        <v>45.8</v>
      </c>
      <c r="F46" s="230">
        <f>VLOOKUP($A46,'Table 17 data'!$A$9:$S$186,'Table 16 data'!$D$174+'Table 17 data'!F$4,0)</f>
        <v>48.7</v>
      </c>
      <c r="G46" s="230">
        <f>VLOOKUP($A46,'Table 17 data'!$A$9:$S$186,'Table 16 data'!$D$174+'Table 17 data'!G$4,0)</f>
        <v>56</v>
      </c>
      <c r="H46" s="230">
        <f>VLOOKUP($A46,'Table 17 data'!$A$9:$S$186,'Table 16 data'!$D$174+'Table 17 data'!H$4,0)</f>
        <v>57.1</v>
      </c>
      <c r="I46" s="230">
        <f>VLOOKUP($A46,'Table 17 data'!$A$9:$S$186,'Table 16 data'!$D$174+'Table 17 data'!I$4,0)</f>
        <v>64.2</v>
      </c>
      <c r="J46" s="230">
        <f>VLOOKUP($A46,'Table 17 data'!$A$9:$S$186,'Table 16 data'!$D$174+'Table 17 data'!J$4,0)</f>
        <v>63.8</v>
      </c>
    </row>
    <row r="47" spans="1:10" s="3" customFormat="1" ht="11.25" customHeight="1" x14ac:dyDescent="0.2">
      <c r="A47" s="26" t="s">
        <v>86</v>
      </c>
      <c r="B47" s="126" t="s">
        <v>87</v>
      </c>
      <c r="C47" s="230">
        <f>VLOOKUP($A47,'Table 17 data'!$A$9:$S$186,'Table 16 data'!$D$174+'Table 17 data'!C$4,0)</f>
        <v>46.3</v>
      </c>
      <c r="D47" s="230">
        <f>VLOOKUP($A47,'Table 17 data'!$A$9:$S$186,'Table 16 data'!$D$174+'Table 17 data'!D$4,0)</f>
        <v>48.4</v>
      </c>
      <c r="E47" s="230">
        <f>VLOOKUP($A47,'Table 17 data'!$A$9:$S$186,'Table 16 data'!$D$174+'Table 17 data'!E$4,0)</f>
        <v>50.2</v>
      </c>
      <c r="F47" s="230">
        <f>VLOOKUP($A47,'Table 17 data'!$A$9:$S$186,'Table 16 data'!$D$174+'Table 17 data'!F$4,0)</f>
        <v>53.8</v>
      </c>
      <c r="G47" s="230">
        <f>VLOOKUP($A47,'Table 17 data'!$A$9:$S$186,'Table 16 data'!$D$174+'Table 17 data'!G$4,0)</f>
        <v>58.7</v>
      </c>
      <c r="H47" s="230">
        <f>VLOOKUP($A47,'Table 17 data'!$A$9:$S$186,'Table 16 data'!$D$174+'Table 17 data'!H$4,0)</f>
        <v>64.099999999999994</v>
      </c>
      <c r="I47" s="230">
        <f>VLOOKUP($A47,'Table 17 data'!$A$9:$S$186,'Table 16 data'!$D$174+'Table 17 data'!I$4,0)</f>
        <v>65.400000000000006</v>
      </c>
      <c r="J47" s="230">
        <f>VLOOKUP($A47,'Table 17 data'!$A$9:$S$186,'Table 16 data'!$D$174+'Table 17 data'!J$4,0)</f>
        <v>66.2</v>
      </c>
    </row>
    <row r="48" spans="1:10" s="51" customFormat="1" ht="11.25" customHeight="1" x14ac:dyDescent="0.2">
      <c r="A48" s="3"/>
      <c r="B48" s="17"/>
      <c r="C48" s="234"/>
      <c r="D48" s="234"/>
      <c r="E48" s="235"/>
      <c r="F48" s="236"/>
      <c r="G48" s="236"/>
      <c r="H48" s="236"/>
      <c r="I48" s="237"/>
      <c r="J48" s="236"/>
    </row>
    <row r="49" spans="1:10" ht="11.25" customHeight="1" x14ac:dyDescent="0.2">
      <c r="A49" s="16" t="s">
        <v>382</v>
      </c>
      <c r="B49" s="16" t="s">
        <v>88</v>
      </c>
      <c r="C49" s="229">
        <f>VLOOKUP($A49,'Table 17 data'!$A$9:$S$186,'Table 16 data'!$D$174+'Table 17 data'!C$4,0)</f>
        <v>40.299999999999997</v>
      </c>
      <c r="D49" s="229">
        <f>VLOOKUP($A49,'Table 17 data'!$A$9:$S$186,'Table 16 data'!$D$174+'Table 17 data'!D$4,0)</f>
        <v>42.5</v>
      </c>
      <c r="E49" s="229">
        <f>VLOOKUP($A49,'Table 17 data'!$A$9:$S$186,'Table 16 data'!$D$174+'Table 17 data'!E$4,0)</f>
        <v>44.4</v>
      </c>
      <c r="F49" s="229">
        <f>VLOOKUP($A49,'Table 17 data'!$A$9:$S$186,'Table 16 data'!$D$174+'Table 17 data'!F$4,0)</f>
        <v>47.3</v>
      </c>
      <c r="G49" s="229">
        <f>VLOOKUP($A49,'Table 17 data'!$A$9:$S$186,'Table 16 data'!$D$174+'Table 17 data'!G$4,0)</f>
        <v>52</v>
      </c>
      <c r="H49" s="229">
        <f>VLOOKUP($A49,'Table 17 data'!$A$9:$S$186,'Table 16 data'!$D$174+'Table 17 data'!H$4,0)</f>
        <v>54.6</v>
      </c>
      <c r="I49" s="229">
        <f>VLOOKUP($A49,'Table 17 data'!$A$9:$S$186,'Table 16 data'!$D$174+'Table 17 data'!I$4,0)</f>
        <v>57.3</v>
      </c>
      <c r="J49" s="229">
        <f>VLOOKUP($A49,'Table 17 data'!$A$9:$S$186,'Table 16 data'!$D$174+'Table 17 data'!J$4,0)</f>
        <v>59.5</v>
      </c>
    </row>
    <row r="50" spans="1:10" ht="11.25" customHeight="1" x14ac:dyDescent="0.2">
      <c r="A50" s="25" t="s">
        <v>89</v>
      </c>
      <c r="B50" s="126" t="s">
        <v>90</v>
      </c>
      <c r="C50" s="230">
        <f>VLOOKUP($A50,'Table 17 data'!$A$9:$S$186,'Table 16 data'!$D$174+'Table 17 data'!C$4,0)</f>
        <v>30.7</v>
      </c>
      <c r="D50" s="230">
        <f>VLOOKUP($A50,'Table 17 data'!$A$9:$S$186,'Table 16 data'!$D$174+'Table 17 data'!D$4,0)</f>
        <v>31.5</v>
      </c>
      <c r="E50" s="230">
        <f>VLOOKUP($A50,'Table 17 data'!$A$9:$S$186,'Table 16 data'!$D$174+'Table 17 data'!E$4,0)</f>
        <v>33.1</v>
      </c>
      <c r="F50" s="230">
        <f>VLOOKUP($A50,'Table 17 data'!$A$9:$S$186,'Table 16 data'!$D$174+'Table 17 data'!F$4,0)</f>
        <v>39.299999999999997</v>
      </c>
      <c r="G50" s="230">
        <f>VLOOKUP($A50,'Table 17 data'!$A$9:$S$186,'Table 16 data'!$D$174+'Table 17 data'!G$4,0)</f>
        <v>40.200000000000003</v>
      </c>
      <c r="H50" s="230">
        <f>VLOOKUP($A50,'Table 17 data'!$A$9:$S$186,'Table 16 data'!$D$174+'Table 17 data'!H$4,0)</f>
        <v>44.4</v>
      </c>
      <c r="I50" s="230">
        <f>VLOOKUP($A50,'Table 17 data'!$A$9:$S$186,'Table 16 data'!$D$174+'Table 17 data'!I$4,0)</f>
        <v>45.3</v>
      </c>
      <c r="J50" s="230">
        <f>VLOOKUP($A50,'Table 17 data'!$A$9:$S$186,'Table 16 data'!$D$174+'Table 17 data'!J$4,0)</f>
        <v>50.3</v>
      </c>
    </row>
    <row r="51" spans="1:10" ht="11.25" customHeight="1" x14ac:dyDescent="0.2">
      <c r="A51" s="25" t="s">
        <v>91</v>
      </c>
      <c r="B51" s="126" t="s">
        <v>92</v>
      </c>
      <c r="C51" s="230">
        <f>VLOOKUP($A51,'Table 17 data'!$A$9:$S$186,'Table 16 data'!$D$174+'Table 17 data'!C$4,0)</f>
        <v>34</v>
      </c>
      <c r="D51" s="230">
        <f>VLOOKUP($A51,'Table 17 data'!$A$9:$S$186,'Table 16 data'!$D$174+'Table 17 data'!D$4,0)</f>
        <v>36.299999999999997</v>
      </c>
      <c r="E51" s="230">
        <f>VLOOKUP($A51,'Table 17 data'!$A$9:$S$186,'Table 16 data'!$D$174+'Table 17 data'!E$4,0)</f>
        <v>36.9</v>
      </c>
      <c r="F51" s="230">
        <f>VLOOKUP($A51,'Table 17 data'!$A$9:$S$186,'Table 16 data'!$D$174+'Table 17 data'!F$4,0)</f>
        <v>41.6</v>
      </c>
      <c r="G51" s="230">
        <f>VLOOKUP($A51,'Table 17 data'!$A$9:$S$186,'Table 16 data'!$D$174+'Table 17 data'!G$4,0)</f>
        <v>44.4</v>
      </c>
      <c r="H51" s="230">
        <f>VLOOKUP($A51,'Table 17 data'!$A$9:$S$186,'Table 16 data'!$D$174+'Table 17 data'!H$4,0)</f>
        <v>47.5</v>
      </c>
      <c r="I51" s="230">
        <f>VLOOKUP($A51,'Table 17 data'!$A$9:$S$186,'Table 16 data'!$D$174+'Table 17 data'!I$4,0)</f>
        <v>52.4</v>
      </c>
      <c r="J51" s="230">
        <f>VLOOKUP($A51,'Table 17 data'!$A$9:$S$186,'Table 16 data'!$D$174+'Table 17 data'!J$4,0)</f>
        <v>53</v>
      </c>
    </row>
    <row r="52" spans="1:10" ht="11.25" customHeight="1" x14ac:dyDescent="0.2">
      <c r="A52" s="25" t="s">
        <v>93</v>
      </c>
      <c r="B52" s="126" t="s">
        <v>94</v>
      </c>
      <c r="C52" s="230">
        <f>VLOOKUP($A52,'Table 17 data'!$A$9:$S$186,'Table 16 data'!$D$174+'Table 17 data'!C$4,0)</f>
        <v>43.8</v>
      </c>
      <c r="D52" s="230">
        <f>VLOOKUP($A52,'Table 17 data'!$A$9:$S$186,'Table 16 data'!$D$174+'Table 17 data'!D$4,0)</f>
        <v>45.7</v>
      </c>
      <c r="E52" s="230">
        <f>VLOOKUP($A52,'Table 17 data'!$A$9:$S$186,'Table 16 data'!$D$174+'Table 17 data'!E$4,0)</f>
        <v>50.3</v>
      </c>
      <c r="F52" s="230">
        <f>VLOOKUP($A52,'Table 17 data'!$A$9:$S$186,'Table 16 data'!$D$174+'Table 17 data'!F$4,0)</f>
        <v>50.6</v>
      </c>
      <c r="G52" s="230">
        <f>VLOOKUP($A52,'Table 17 data'!$A$9:$S$186,'Table 16 data'!$D$174+'Table 17 data'!G$4,0)</f>
        <v>54.5</v>
      </c>
      <c r="H52" s="230">
        <f>VLOOKUP($A52,'Table 17 data'!$A$9:$S$186,'Table 16 data'!$D$174+'Table 17 data'!H$4,0)</f>
        <v>59.4</v>
      </c>
      <c r="I52" s="230">
        <f>VLOOKUP($A52,'Table 17 data'!$A$9:$S$186,'Table 16 data'!$D$174+'Table 17 data'!I$4,0)</f>
        <v>61.1</v>
      </c>
      <c r="J52" s="230">
        <f>VLOOKUP($A52,'Table 17 data'!$A$9:$S$186,'Table 16 data'!$D$174+'Table 17 data'!J$4,0)</f>
        <v>65.7</v>
      </c>
    </row>
    <row r="53" spans="1:10" ht="11.25" customHeight="1" x14ac:dyDescent="0.2">
      <c r="A53" s="25" t="s">
        <v>95</v>
      </c>
      <c r="B53" s="126" t="s">
        <v>96</v>
      </c>
      <c r="C53" s="230">
        <f>VLOOKUP($A53,'Table 17 data'!$A$9:$S$186,'Table 16 data'!$D$174+'Table 17 data'!C$4,0)</f>
        <v>34.799999999999997</v>
      </c>
      <c r="D53" s="230">
        <f>VLOOKUP($A53,'Table 17 data'!$A$9:$S$186,'Table 16 data'!$D$174+'Table 17 data'!D$4,0)</f>
        <v>37.4</v>
      </c>
      <c r="E53" s="230">
        <f>VLOOKUP($A53,'Table 17 data'!$A$9:$S$186,'Table 16 data'!$D$174+'Table 17 data'!E$4,0)</f>
        <v>39.200000000000003</v>
      </c>
      <c r="F53" s="230">
        <f>VLOOKUP($A53,'Table 17 data'!$A$9:$S$186,'Table 16 data'!$D$174+'Table 17 data'!F$4,0)</f>
        <v>42.9</v>
      </c>
      <c r="G53" s="230">
        <f>VLOOKUP($A53,'Table 17 data'!$A$9:$S$186,'Table 16 data'!$D$174+'Table 17 data'!G$4,0)</f>
        <v>51.4</v>
      </c>
      <c r="H53" s="230">
        <f>VLOOKUP($A53,'Table 17 data'!$A$9:$S$186,'Table 16 data'!$D$174+'Table 17 data'!H$4,0)</f>
        <v>54.4</v>
      </c>
      <c r="I53" s="230">
        <f>VLOOKUP($A53,'Table 17 data'!$A$9:$S$186,'Table 16 data'!$D$174+'Table 17 data'!I$4,0)</f>
        <v>54.7</v>
      </c>
      <c r="J53" s="230">
        <f>VLOOKUP($A53,'Table 17 data'!$A$9:$S$186,'Table 16 data'!$D$174+'Table 17 data'!J$4,0)</f>
        <v>56.6</v>
      </c>
    </row>
    <row r="54" spans="1:10" ht="11.25" customHeight="1" x14ac:dyDescent="0.2">
      <c r="A54" s="25" t="s">
        <v>97</v>
      </c>
      <c r="B54" s="126" t="s">
        <v>98</v>
      </c>
      <c r="C54" s="230">
        <f>VLOOKUP($A54,'Table 17 data'!$A$9:$S$186,'Table 16 data'!$D$174+'Table 17 data'!C$4,0)</f>
        <v>49.8</v>
      </c>
      <c r="D54" s="230">
        <f>VLOOKUP($A54,'Table 17 data'!$A$9:$S$186,'Table 16 data'!$D$174+'Table 17 data'!D$4,0)</f>
        <v>50.8</v>
      </c>
      <c r="E54" s="230">
        <f>VLOOKUP($A54,'Table 17 data'!$A$9:$S$186,'Table 16 data'!$D$174+'Table 17 data'!E$4,0)</f>
        <v>52.5</v>
      </c>
      <c r="F54" s="230">
        <f>VLOOKUP($A54,'Table 17 data'!$A$9:$S$186,'Table 16 data'!$D$174+'Table 17 data'!F$4,0)</f>
        <v>52.3</v>
      </c>
      <c r="G54" s="230">
        <f>VLOOKUP($A54,'Table 17 data'!$A$9:$S$186,'Table 16 data'!$D$174+'Table 17 data'!G$4,0)</f>
        <v>58.6</v>
      </c>
      <c r="H54" s="230">
        <f>VLOOKUP($A54,'Table 17 data'!$A$9:$S$186,'Table 16 data'!$D$174+'Table 17 data'!H$4,0)</f>
        <v>55.4</v>
      </c>
      <c r="I54" s="230">
        <f>VLOOKUP($A54,'Table 17 data'!$A$9:$S$186,'Table 16 data'!$D$174+'Table 17 data'!I$4,0)</f>
        <v>57.4</v>
      </c>
      <c r="J54" s="230">
        <f>VLOOKUP($A54,'Table 17 data'!$A$9:$S$186,'Table 16 data'!$D$174+'Table 17 data'!J$4,0)</f>
        <v>61</v>
      </c>
    </row>
    <row r="55" spans="1:10" ht="11.25" customHeight="1" x14ac:dyDescent="0.2">
      <c r="A55" s="25" t="s">
        <v>99</v>
      </c>
      <c r="B55" s="126" t="s">
        <v>100</v>
      </c>
      <c r="C55" s="230">
        <f>VLOOKUP($A55,'Table 17 data'!$A$9:$S$186,'Table 16 data'!$D$174+'Table 17 data'!C$4,0)</f>
        <v>25.9</v>
      </c>
      <c r="D55" s="230">
        <f>VLOOKUP($A55,'Table 17 data'!$A$9:$S$186,'Table 16 data'!$D$174+'Table 17 data'!D$4,0)</f>
        <v>30</v>
      </c>
      <c r="E55" s="230">
        <f>VLOOKUP($A55,'Table 17 data'!$A$9:$S$186,'Table 16 data'!$D$174+'Table 17 data'!E$4,0)</f>
        <v>29.6</v>
      </c>
      <c r="F55" s="230">
        <f>VLOOKUP($A55,'Table 17 data'!$A$9:$S$186,'Table 16 data'!$D$174+'Table 17 data'!F$4,0)</f>
        <v>36.9</v>
      </c>
      <c r="G55" s="230">
        <f>VLOOKUP($A55,'Table 17 data'!$A$9:$S$186,'Table 16 data'!$D$174+'Table 17 data'!G$4,0)</f>
        <v>42.3</v>
      </c>
      <c r="H55" s="230">
        <f>VLOOKUP($A55,'Table 17 data'!$A$9:$S$186,'Table 16 data'!$D$174+'Table 17 data'!H$4,0)</f>
        <v>46.3</v>
      </c>
      <c r="I55" s="230">
        <f>VLOOKUP($A55,'Table 17 data'!$A$9:$S$186,'Table 16 data'!$D$174+'Table 17 data'!I$4,0)</f>
        <v>47.8</v>
      </c>
      <c r="J55" s="230">
        <f>VLOOKUP($A55,'Table 17 data'!$A$9:$S$186,'Table 16 data'!$D$174+'Table 17 data'!J$4,0)</f>
        <v>50</v>
      </c>
    </row>
    <row r="56" spans="1:10" ht="11.25" customHeight="1" x14ac:dyDescent="0.2">
      <c r="A56" s="25" t="s">
        <v>101</v>
      </c>
      <c r="B56" s="126" t="s">
        <v>102</v>
      </c>
      <c r="C56" s="230">
        <f>VLOOKUP($A56,'Table 17 data'!$A$9:$S$186,'Table 16 data'!$D$174+'Table 17 data'!C$4,0)</f>
        <v>40.799999999999997</v>
      </c>
      <c r="D56" s="230">
        <f>VLOOKUP($A56,'Table 17 data'!$A$9:$S$186,'Table 16 data'!$D$174+'Table 17 data'!D$4,0)</f>
        <v>42.8</v>
      </c>
      <c r="E56" s="230">
        <f>VLOOKUP($A56,'Table 17 data'!$A$9:$S$186,'Table 16 data'!$D$174+'Table 17 data'!E$4,0)</f>
        <v>45.6</v>
      </c>
      <c r="F56" s="230">
        <f>VLOOKUP($A56,'Table 17 data'!$A$9:$S$186,'Table 16 data'!$D$174+'Table 17 data'!F$4,0)</f>
        <v>47.4</v>
      </c>
      <c r="G56" s="230">
        <f>VLOOKUP($A56,'Table 17 data'!$A$9:$S$186,'Table 16 data'!$D$174+'Table 17 data'!G$4,0)</f>
        <v>52.8</v>
      </c>
      <c r="H56" s="230">
        <f>VLOOKUP($A56,'Table 17 data'!$A$9:$S$186,'Table 16 data'!$D$174+'Table 17 data'!H$4,0)</f>
        <v>59.3</v>
      </c>
      <c r="I56" s="230">
        <f>VLOOKUP($A56,'Table 17 data'!$A$9:$S$186,'Table 16 data'!$D$174+'Table 17 data'!I$4,0)</f>
        <v>62</v>
      </c>
      <c r="J56" s="230">
        <f>VLOOKUP($A56,'Table 17 data'!$A$9:$S$186,'Table 16 data'!$D$174+'Table 17 data'!J$4,0)</f>
        <v>62.6</v>
      </c>
    </row>
    <row r="57" spans="1:10" ht="11.25" customHeight="1" x14ac:dyDescent="0.2">
      <c r="A57" s="25" t="s">
        <v>103</v>
      </c>
      <c r="B57" s="126" t="s">
        <v>104</v>
      </c>
      <c r="C57" s="230">
        <f>VLOOKUP($A57,'Table 17 data'!$A$9:$S$186,'Table 16 data'!$D$174+'Table 17 data'!C$4,0)</f>
        <v>40.4</v>
      </c>
      <c r="D57" s="230">
        <f>VLOOKUP($A57,'Table 17 data'!$A$9:$S$186,'Table 16 data'!$D$174+'Table 17 data'!D$4,0)</f>
        <v>42.1</v>
      </c>
      <c r="E57" s="230">
        <f>VLOOKUP($A57,'Table 17 data'!$A$9:$S$186,'Table 16 data'!$D$174+'Table 17 data'!E$4,0)</f>
        <v>46.4</v>
      </c>
      <c r="F57" s="230">
        <f>VLOOKUP($A57,'Table 17 data'!$A$9:$S$186,'Table 16 data'!$D$174+'Table 17 data'!F$4,0)</f>
        <v>45.9</v>
      </c>
      <c r="G57" s="230">
        <f>VLOOKUP($A57,'Table 17 data'!$A$9:$S$186,'Table 16 data'!$D$174+'Table 17 data'!G$4,0)</f>
        <v>50.6</v>
      </c>
      <c r="H57" s="230">
        <f>VLOOKUP($A57,'Table 17 data'!$A$9:$S$186,'Table 16 data'!$D$174+'Table 17 data'!H$4,0)</f>
        <v>53.7</v>
      </c>
      <c r="I57" s="230">
        <f>VLOOKUP($A57,'Table 17 data'!$A$9:$S$186,'Table 16 data'!$D$174+'Table 17 data'!I$4,0)</f>
        <v>55</v>
      </c>
      <c r="J57" s="230">
        <f>VLOOKUP($A57,'Table 17 data'!$A$9:$S$186,'Table 16 data'!$D$174+'Table 17 data'!J$4,0)</f>
        <v>57.3</v>
      </c>
    </row>
    <row r="58" spans="1:10" ht="11.25" customHeight="1" x14ac:dyDescent="0.2">
      <c r="A58" s="25" t="s">
        <v>105</v>
      </c>
      <c r="B58" s="126" t="s">
        <v>106</v>
      </c>
      <c r="C58" s="230">
        <f>VLOOKUP($A58,'Table 17 data'!$A$9:$S$186,'Table 16 data'!$D$174+'Table 17 data'!C$4,0)</f>
        <v>35.4</v>
      </c>
      <c r="D58" s="230">
        <f>VLOOKUP($A58,'Table 17 data'!$A$9:$S$186,'Table 16 data'!$D$174+'Table 17 data'!D$4,0)</f>
        <v>39</v>
      </c>
      <c r="E58" s="230">
        <f>VLOOKUP($A58,'Table 17 data'!$A$9:$S$186,'Table 16 data'!$D$174+'Table 17 data'!E$4,0)</f>
        <v>39.700000000000003</v>
      </c>
      <c r="F58" s="230">
        <f>VLOOKUP($A58,'Table 17 data'!$A$9:$S$186,'Table 16 data'!$D$174+'Table 17 data'!F$4,0)</f>
        <v>45.7</v>
      </c>
      <c r="G58" s="230">
        <f>VLOOKUP($A58,'Table 17 data'!$A$9:$S$186,'Table 16 data'!$D$174+'Table 17 data'!G$4,0)</f>
        <v>54.2</v>
      </c>
      <c r="H58" s="230">
        <f>VLOOKUP($A58,'Table 17 data'!$A$9:$S$186,'Table 16 data'!$D$174+'Table 17 data'!H$4,0)</f>
        <v>54.2</v>
      </c>
      <c r="I58" s="230">
        <f>VLOOKUP($A58,'Table 17 data'!$A$9:$S$186,'Table 16 data'!$D$174+'Table 17 data'!I$4,0)</f>
        <v>61.1</v>
      </c>
      <c r="J58" s="230">
        <f>VLOOKUP($A58,'Table 17 data'!$A$9:$S$186,'Table 16 data'!$D$174+'Table 17 data'!J$4,0)</f>
        <v>58.5</v>
      </c>
    </row>
    <row r="59" spans="1:10" ht="11.25" customHeight="1" x14ac:dyDescent="0.2">
      <c r="A59" s="25" t="s">
        <v>107</v>
      </c>
      <c r="B59" s="126" t="s">
        <v>108</v>
      </c>
      <c r="C59" s="230">
        <f>VLOOKUP($A59,'Table 17 data'!$A$9:$S$186,'Table 16 data'!$D$174+'Table 17 data'!C$4,0)</f>
        <v>38.5</v>
      </c>
      <c r="D59" s="230">
        <f>VLOOKUP($A59,'Table 17 data'!$A$9:$S$186,'Table 16 data'!$D$174+'Table 17 data'!D$4,0)</f>
        <v>40.9</v>
      </c>
      <c r="E59" s="230">
        <f>VLOOKUP($A59,'Table 17 data'!$A$9:$S$186,'Table 16 data'!$D$174+'Table 17 data'!E$4,0)</f>
        <v>41.6</v>
      </c>
      <c r="F59" s="230">
        <f>VLOOKUP($A59,'Table 17 data'!$A$9:$S$186,'Table 16 data'!$D$174+'Table 17 data'!F$4,0)</f>
        <v>45.4</v>
      </c>
      <c r="G59" s="230">
        <f>VLOOKUP($A59,'Table 17 data'!$A$9:$S$186,'Table 16 data'!$D$174+'Table 17 data'!G$4,0)</f>
        <v>51.5</v>
      </c>
      <c r="H59" s="230">
        <f>VLOOKUP($A59,'Table 17 data'!$A$9:$S$186,'Table 16 data'!$D$174+'Table 17 data'!H$4,0)</f>
        <v>52.4</v>
      </c>
      <c r="I59" s="230">
        <f>VLOOKUP($A59,'Table 17 data'!$A$9:$S$186,'Table 16 data'!$D$174+'Table 17 data'!I$4,0)</f>
        <v>56.3</v>
      </c>
      <c r="J59" s="230">
        <f>VLOOKUP($A59,'Table 17 data'!$A$9:$S$186,'Table 16 data'!$D$174+'Table 17 data'!J$4,0)</f>
        <v>56.8</v>
      </c>
    </row>
    <row r="60" spans="1:10" ht="11.25" customHeight="1" x14ac:dyDescent="0.2">
      <c r="A60" s="26" t="s">
        <v>109</v>
      </c>
      <c r="B60" s="126" t="s">
        <v>110</v>
      </c>
      <c r="C60" s="230">
        <f>VLOOKUP($A60,'Table 17 data'!$A$9:$S$186,'Table 16 data'!$D$174+'Table 17 data'!C$4,0)</f>
        <v>53.5</v>
      </c>
      <c r="D60" s="230">
        <f>VLOOKUP($A60,'Table 17 data'!$A$9:$S$186,'Table 16 data'!$D$174+'Table 17 data'!D$4,0)</f>
        <v>54.2</v>
      </c>
      <c r="E60" s="230">
        <f>VLOOKUP($A60,'Table 17 data'!$A$9:$S$186,'Table 16 data'!$D$174+'Table 17 data'!E$4,0)</f>
        <v>54.7</v>
      </c>
      <c r="F60" s="230">
        <f>VLOOKUP($A60,'Table 17 data'!$A$9:$S$186,'Table 16 data'!$D$174+'Table 17 data'!F$4,0)</f>
        <v>58.6</v>
      </c>
      <c r="G60" s="230">
        <f>VLOOKUP($A60,'Table 17 data'!$A$9:$S$186,'Table 16 data'!$D$174+'Table 17 data'!G$4,0)</f>
        <v>61.6</v>
      </c>
      <c r="H60" s="230">
        <f>VLOOKUP($A60,'Table 17 data'!$A$9:$S$186,'Table 16 data'!$D$174+'Table 17 data'!H$4,0)</f>
        <v>63.2</v>
      </c>
      <c r="I60" s="230">
        <f>VLOOKUP($A60,'Table 17 data'!$A$9:$S$186,'Table 16 data'!$D$174+'Table 17 data'!I$4,0)</f>
        <v>65.599999999999994</v>
      </c>
      <c r="J60" s="230">
        <f>VLOOKUP($A60,'Table 17 data'!$A$9:$S$186,'Table 16 data'!$D$174+'Table 17 data'!J$4,0)</f>
        <v>65.400000000000006</v>
      </c>
    </row>
    <row r="61" spans="1:10" ht="11.25" customHeight="1" x14ac:dyDescent="0.2">
      <c r="A61" s="25" t="s">
        <v>111</v>
      </c>
      <c r="B61" s="126" t="s">
        <v>112</v>
      </c>
      <c r="C61" s="230">
        <f>VLOOKUP($A61,'Table 17 data'!$A$9:$S$186,'Table 16 data'!$D$174+'Table 17 data'!C$4,0)</f>
        <v>37.5</v>
      </c>
      <c r="D61" s="230">
        <f>VLOOKUP($A61,'Table 17 data'!$A$9:$S$186,'Table 16 data'!$D$174+'Table 17 data'!D$4,0)</f>
        <v>39</v>
      </c>
      <c r="E61" s="230">
        <f>VLOOKUP($A61,'Table 17 data'!$A$9:$S$186,'Table 16 data'!$D$174+'Table 17 data'!E$4,0)</f>
        <v>40.9</v>
      </c>
      <c r="F61" s="230">
        <f>VLOOKUP($A61,'Table 17 data'!$A$9:$S$186,'Table 16 data'!$D$174+'Table 17 data'!F$4,0)</f>
        <v>47.1</v>
      </c>
      <c r="G61" s="230">
        <f>VLOOKUP($A61,'Table 17 data'!$A$9:$S$186,'Table 16 data'!$D$174+'Table 17 data'!G$4,0)</f>
        <v>50.8</v>
      </c>
      <c r="H61" s="230">
        <f>VLOOKUP($A61,'Table 17 data'!$A$9:$S$186,'Table 16 data'!$D$174+'Table 17 data'!H$4,0)</f>
        <v>56.7</v>
      </c>
      <c r="I61" s="230">
        <f>VLOOKUP($A61,'Table 17 data'!$A$9:$S$186,'Table 16 data'!$D$174+'Table 17 data'!I$4,0)</f>
        <v>60</v>
      </c>
      <c r="J61" s="230">
        <f>VLOOKUP($A61,'Table 17 data'!$A$9:$S$186,'Table 16 data'!$D$174+'Table 17 data'!J$4,0)</f>
        <v>63.6</v>
      </c>
    </row>
    <row r="62" spans="1:10" ht="11.25" customHeight="1" x14ac:dyDescent="0.2">
      <c r="A62" s="25" t="s">
        <v>113</v>
      </c>
      <c r="B62" s="126" t="s">
        <v>114</v>
      </c>
      <c r="C62" s="230">
        <f>VLOOKUP($A62,'Table 17 data'!$A$9:$S$186,'Table 16 data'!$D$174+'Table 17 data'!C$4,0)</f>
        <v>37.1</v>
      </c>
      <c r="D62" s="230">
        <f>VLOOKUP($A62,'Table 17 data'!$A$9:$S$186,'Table 16 data'!$D$174+'Table 17 data'!D$4,0)</f>
        <v>39.9</v>
      </c>
      <c r="E62" s="230">
        <f>VLOOKUP($A62,'Table 17 data'!$A$9:$S$186,'Table 16 data'!$D$174+'Table 17 data'!E$4,0)</f>
        <v>40.6</v>
      </c>
      <c r="F62" s="230">
        <f>VLOOKUP($A62,'Table 17 data'!$A$9:$S$186,'Table 16 data'!$D$174+'Table 17 data'!F$4,0)</f>
        <v>44.5</v>
      </c>
      <c r="G62" s="230">
        <f>VLOOKUP($A62,'Table 17 data'!$A$9:$S$186,'Table 16 data'!$D$174+'Table 17 data'!G$4,0)</f>
        <v>49.2</v>
      </c>
      <c r="H62" s="230">
        <f>VLOOKUP($A62,'Table 17 data'!$A$9:$S$186,'Table 16 data'!$D$174+'Table 17 data'!H$4,0)</f>
        <v>49.4</v>
      </c>
      <c r="I62" s="230">
        <f>VLOOKUP($A62,'Table 17 data'!$A$9:$S$186,'Table 16 data'!$D$174+'Table 17 data'!I$4,0)</f>
        <v>55.6</v>
      </c>
      <c r="J62" s="230">
        <f>VLOOKUP($A62,'Table 17 data'!$A$9:$S$186,'Table 16 data'!$D$174+'Table 17 data'!J$4,0)</f>
        <v>57.3</v>
      </c>
    </row>
    <row r="63" spans="1:10" ht="11.25" customHeight="1" x14ac:dyDescent="0.2">
      <c r="A63" s="25" t="s">
        <v>115</v>
      </c>
      <c r="B63" s="126" t="s">
        <v>116</v>
      </c>
      <c r="C63" s="230">
        <f>VLOOKUP($A63,'Table 17 data'!$A$9:$S$186,'Table 16 data'!$D$174+'Table 17 data'!C$4,0)</f>
        <v>42.9</v>
      </c>
      <c r="D63" s="230">
        <f>VLOOKUP($A63,'Table 17 data'!$A$9:$S$186,'Table 16 data'!$D$174+'Table 17 data'!D$4,0)</f>
        <v>46.5</v>
      </c>
      <c r="E63" s="230">
        <f>VLOOKUP($A63,'Table 17 data'!$A$9:$S$186,'Table 16 data'!$D$174+'Table 17 data'!E$4,0)</f>
        <v>51.3</v>
      </c>
      <c r="F63" s="230">
        <f>VLOOKUP($A63,'Table 17 data'!$A$9:$S$186,'Table 16 data'!$D$174+'Table 17 data'!F$4,0)</f>
        <v>49.3</v>
      </c>
      <c r="G63" s="230">
        <f>VLOOKUP($A63,'Table 17 data'!$A$9:$S$186,'Table 16 data'!$D$174+'Table 17 data'!G$4,0)</f>
        <v>55.8</v>
      </c>
      <c r="H63" s="230">
        <f>VLOOKUP($A63,'Table 17 data'!$A$9:$S$186,'Table 16 data'!$D$174+'Table 17 data'!H$4,0)</f>
        <v>57.4</v>
      </c>
      <c r="I63" s="230">
        <f>VLOOKUP($A63,'Table 17 data'!$A$9:$S$186,'Table 16 data'!$D$174+'Table 17 data'!I$4,0)</f>
        <v>59.3</v>
      </c>
      <c r="J63" s="230">
        <f>VLOOKUP($A63,'Table 17 data'!$A$9:$S$186,'Table 16 data'!$D$174+'Table 17 data'!J$4,0)</f>
        <v>66.3</v>
      </c>
    </row>
    <row r="64" spans="1:10" s="3" customFormat="1" ht="11.25" customHeight="1" x14ac:dyDescent="0.2">
      <c r="A64" s="25" t="s">
        <v>117</v>
      </c>
      <c r="B64" s="126" t="s">
        <v>118</v>
      </c>
      <c r="C64" s="230">
        <f>VLOOKUP($A64,'Table 17 data'!$A$9:$S$186,'Table 16 data'!$D$174+'Table 17 data'!C$4,0)</f>
        <v>48.8</v>
      </c>
      <c r="D64" s="230">
        <f>VLOOKUP($A64,'Table 17 data'!$A$9:$S$186,'Table 16 data'!$D$174+'Table 17 data'!D$4,0)</f>
        <v>54.5</v>
      </c>
      <c r="E64" s="230">
        <f>VLOOKUP($A64,'Table 17 data'!$A$9:$S$186,'Table 16 data'!$D$174+'Table 17 data'!E$4,0)</f>
        <v>53.8</v>
      </c>
      <c r="F64" s="230">
        <f>VLOOKUP($A64,'Table 17 data'!$A$9:$S$186,'Table 16 data'!$D$174+'Table 17 data'!F$4,0)</f>
        <v>59.2</v>
      </c>
      <c r="G64" s="230">
        <f>VLOOKUP($A64,'Table 17 data'!$A$9:$S$186,'Table 16 data'!$D$174+'Table 17 data'!G$4,0)</f>
        <v>59.1</v>
      </c>
      <c r="H64" s="230">
        <f>VLOOKUP($A64,'Table 17 data'!$A$9:$S$186,'Table 16 data'!$D$174+'Table 17 data'!H$4,0)</f>
        <v>62.1</v>
      </c>
      <c r="I64" s="230">
        <f>VLOOKUP($A64,'Table 17 data'!$A$9:$S$186,'Table 16 data'!$D$174+'Table 17 data'!I$4,0)</f>
        <v>62.7</v>
      </c>
      <c r="J64" s="230">
        <f>VLOOKUP($A64,'Table 17 data'!$A$9:$S$186,'Table 16 data'!$D$174+'Table 17 data'!J$4,0)</f>
        <v>67.400000000000006</v>
      </c>
    </row>
    <row r="65" spans="1:10" s="51" customFormat="1" ht="11.25" customHeight="1" x14ac:dyDescent="0.2">
      <c r="A65" s="3"/>
      <c r="B65" s="17"/>
      <c r="C65" s="234"/>
      <c r="D65" s="234"/>
      <c r="E65" s="235"/>
      <c r="F65" s="236"/>
      <c r="G65" s="236"/>
      <c r="H65" s="236"/>
      <c r="I65" s="237"/>
      <c r="J65" s="236"/>
    </row>
    <row r="66" spans="1:10" ht="11.25" customHeight="1" x14ac:dyDescent="0.2">
      <c r="A66" s="16" t="s">
        <v>385</v>
      </c>
      <c r="B66" s="16" t="s">
        <v>119</v>
      </c>
      <c r="C66" s="229">
        <f>VLOOKUP($A66,'Table 17 data'!$A$9:$S$186,'Table 16 data'!$D$174+'Table 17 data'!C$4,0)</f>
        <v>42.9</v>
      </c>
      <c r="D66" s="229">
        <f>VLOOKUP($A66,'Table 17 data'!$A$9:$S$186,'Table 16 data'!$D$174+'Table 17 data'!D$4,0)</f>
        <v>44.4</v>
      </c>
      <c r="E66" s="229">
        <f>VLOOKUP($A66,'Table 17 data'!$A$9:$S$186,'Table 16 data'!$D$174+'Table 17 data'!E$4,0)</f>
        <v>47</v>
      </c>
      <c r="F66" s="229">
        <f>VLOOKUP($A66,'Table 17 data'!$A$9:$S$186,'Table 16 data'!$D$174+'Table 17 data'!F$4,0)</f>
        <v>49.9</v>
      </c>
      <c r="G66" s="229">
        <f>VLOOKUP($A66,'Table 17 data'!$A$9:$S$186,'Table 16 data'!$D$174+'Table 17 data'!G$4,0)</f>
        <v>53.7</v>
      </c>
      <c r="H66" s="229">
        <f>VLOOKUP($A66,'Table 17 data'!$A$9:$S$186,'Table 16 data'!$D$174+'Table 17 data'!H$4,0)</f>
        <v>57.1</v>
      </c>
      <c r="I66" s="229">
        <f>VLOOKUP($A66,'Table 17 data'!$A$9:$S$186,'Table 16 data'!$D$174+'Table 17 data'!I$4,0)</f>
        <v>57.6</v>
      </c>
      <c r="J66" s="229">
        <f>VLOOKUP($A66,'Table 17 data'!$A$9:$S$186,'Table 16 data'!$D$174+'Table 17 data'!J$4,0)</f>
        <v>59.3</v>
      </c>
    </row>
    <row r="67" spans="1:10" ht="11.25" customHeight="1" x14ac:dyDescent="0.2">
      <c r="A67" s="26" t="s">
        <v>120</v>
      </c>
      <c r="B67" s="126" t="s">
        <v>121</v>
      </c>
      <c r="C67" s="230">
        <f>VLOOKUP($A67,'Table 17 data'!$A$9:$S$186,'Table 16 data'!$D$174+'Table 17 data'!C$4,0)</f>
        <v>42.2</v>
      </c>
      <c r="D67" s="230">
        <f>VLOOKUP($A67,'Table 17 data'!$A$9:$S$186,'Table 16 data'!$D$174+'Table 17 data'!D$4,0)</f>
        <v>40</v>
      </c>
      <c r="E67" s="230">
        <f>VLOOKUP($A67,'Table 17 data'!$A$9:$S$186,'Table 16 data'!$D$174+'Table 17 data'!E$4,0)</f>
        <v>49.4</v>
      </c>
      <c r="F67" s="230">
        <f>VLOOKUP($A67,'Table 17 data'!$A$9:$S$186,'Table 16 data'!$D$174+'Table 17 data'!F$4,0)</f>
        <v>45.6</v>
      </c>
      <c r="G67" s="230">
        <f>VLOOKUP($A67,'Table 17 data'!$A$9:$S$186,'Table 16 data'!$D$174+'Table 17 data'!G$4,0)</f>
        <v>55.1</v>
      </c>
      <c r="H67" s="230">
        <f>VLOOKUP($A67,'Table 17 data'!$A$9:$S$186,'Table 16 data'!$D$174+'Table 17 data'!H$4,0)</f>
        <v>56.9</v>
      </c>
      <c r="I67" s="230">
        <f>VLOOKUP($A67,'Table 17 data'!$A$9:$S$186,'Table 16 data'!$D$174+'Table 17 data'!I$4,0)</f>
        <v>57.2</v>
      </c>
      <c r="J67" s="230">
        <f>VLOOKUP($A67,'Table 17 data'!$A$9:$S$186,'Table 16 data'!$D$174+'Table 17 data'!J$4,0)</f>
        <v>55.6</v>
      </c>
    </row>
    <row r="68" spans="1:10" ht="11.25" customHeight="1" x14ac:dyDescent="0.2">
      <c r="A68" s="26" t="s">
        <v>122</v>
      </c>
      <c r="B68" s="126" t="s">
        <v>123</v>
      </c>
      <c r="C68" s="230">
        <f>VLOOKUP($A68,'Table 17 data'!$A$9:$S$186,'Table 16 data'!$D$174+'Table 17 data'!C$4,0)</f>
        <v>45.5</v>
      </c>
      <c r="D68" s="230">
        <f>VLOOKUP($A68,'Table 17 data'!$A$9:$S$186,'Table 16 data'!$D$174+'Table 17 data'!D$4,0)</f>
        <v>47</v>
      </c>
      <c r="E68" s="230">
        <f>VLOOKUP($A68,'Table 17 data'!$A$9:$S$186,'Table 16 data'!$D$174+'Table 17 data'!E$4,0)</f>
        <v>48.5</v>
      </c>
      <c r="F68" s="230">
        <f>VLOOKUP($A68,'Table 17 data'!$A$9:$S$186,'Table 16 data'!$D$174+'Table 17 data'!F$4,0)</f>
        <v>51</v>
      </c>
      <c r="G68" s="230">
        <f>VLOOKUP($A68,'Table 17 data'!$A$9:$S$186,'Table 16 data'!$D$174+'Table 17 data'!G$4,0)</f>
        <v>55</v>
      </c>
      <c r="H68" s="230">
        <f>VLOOKUP($A68,'Table 17 data'!$A$9:$S$186,'Table 16 data'!$D$174+'Table 17 data'!H$4,0)</f>
        <v>58.4</v>
      </c>
      <c r="I68" s="230">
        <f>VLOOKUP($A68,'Table 17 data'!$A$9:$S$186,'Table 16 data'!$D$174+'Table 17 data'!I$4,0)</f>
        <v>57.2</v>
      </c>
      <c r="J68" s="230">
        <f>VLOOKUP($A68,'Table 17 data'!$A$9:$S$186,'Table 16 data'!$D$174+'Table 17 data'!J$4,0)</f>
        <v>59.1</v>
      </c>
    </row>
    <row r="69" spans="1:10" ht="11.25" customHeight="1" x14ac:dyDescent="0.2">
      <c r="A69" s="26" t="s">
        <v>124</v>
      </c>
      <c r="B69" s="126" t="s">
        <v>125</v>
      </c>
      <c r="C69" s="230">
        <f>VLOOKUP($A69,'Table 17 data'!$A$9:$S$186,'Table 16 data'!$D$174+'Table 17 data'!C$4,0)</f>
        <v>33.5</v>
      </c>
      <c r="D69" s="230">
        <f>VLOOKUP($A69,'Table 17 data'!$A$9:$S$186,'Table 16 data'!$D$174+'Table 17 data'!D$4,0)</f>
        <v>36.5</v>
      </c>
      <c r="E69" s="230">
        <f>VLOOKUP($A69,'Table 17 data'!$A$9:$S$186,'Table 16 data'!$D$174+'Table 17 data'!E$4,0)</f>
        <v>39.9</v>
      </c>
      <c r="F69" s="230">
        <f>VLOOKUP($A69,'Table 17 data'!$A$9:$S$186,'Table 16 data'!$D$174+'Table 17 data'!F$4,0)</f>
        <v>44.4</v>
      </c>
      <c r="G69" s="230">
        <f>VLOOKUP($A69,'Table 17 data'!$A$9:$S$186,'Table 16 data'!$D$174+'Table 17 data'!G$4,0)</f>
        <v>48.9</v>
      </c>
      <c r="H69" s="230">
        <f>VLOOKUP($A69,'Table 17 data'!$A$9:$S$186,'Table 16 data'!$D$174+'Table 17 data'!H$4,0)</f>
        <v>52.1</v>
      </c>
      <c r="I69" s="230">
        <f>VLOOKUP($A69,'Table 17 data'!$A$9:$S$186,'Table 16 data'!$D$174+'Table 17 data'!I$4,0)</f>
        <v>51.5</v>
      </c>
      <c r="J69" s="230">
        <f>VLOOKUP($A69,'Table 17 data'!$A$9:$S$186,'Table 16 data'!$D$174+'Table 17 data'!J$4,0)</f>
        <v>54.8</v>
      </c>
    </row>
    <row r="70" spans="1:10" ht="11.25" customHeight="1" x14ac:dyDescent="0.2">
      <c r="A70" s="26" t="s">
        <v>126</v>
      </c>
      <c r="B70" s="126" t="s">
        <v>127</v>
      </c>
      <c r="C70" s="230">
        <f>VLOOKUP($A70,'Table 17 data'!$A$9:$S$186,'Table 16 data'!$D$174+'Table 17 data'!C$4,0)</f>
        <v>46.7</v>
      </c>
      <c r="D70" s="230">
        <f>VLOOKUP($A70,'Table 17 data'!$A$9:$S$186,'Table 16 data'!$D$174+'Table 17 data'!D$4,0)</f>
        <v>48.8</v>
      </c>
      <c r="E70" s="230">
        <f>VLOOKUP($A70,'Table 17 data'!$A$9:$S$186,'Table 16 data'!$D$174+'Table 17 data'!E$4,0)</f>
        <v>51.9</v>
      </c>
      <c r="F70" s="230">
        <f>VLOOKUP($A70,'Table 17 data'!$A$9:$S$186,'Table 16 data'!$D$174+'Table 17 data'!F$4,0)</f>
        <v>52.6</v>
      </c>
      <c r="G70" s="230">
        <f>VLOOKUP($A70,'Table 17 data'!$A$9:$S$186,'Table 16 data'!$D$174+'Table 17 data'!G$4,0)</f>
        <v>55.3</v>
      </c>
      <c r="H70" s="230">
        <f>VLOOKUP($A70,'Table 17 data'!$A$9:$S$186,'Table 16 data'!$D$174+'Table 17 data'!H$4,0)</f>
        <v>56.9</v>
      </c>
      <c r="I70" s="230">
        <f>VLOOKUP($A70,'Table 17 data'!$A$9:$S$186,'Table 16 data'!$D$174+'Table 17 data'!I$4,0)</f>
        <v>56.9</v>
      </c>
      <c r="J70" s="230">
        <f>VLOOKUP($A70,'Table 17 data'!$A$9:$S$186,'Table 16 data'!$D$174+'Table 17 data'!J$4,0)</f>
        <v>59.5</v>
      </c>
    </row>
    <row r="71" spans="1:10" ht="11.25" customHeight="1" x14ac:dyDescent="0.2">
      <c r="A71" s="25" t="s">
        <v>128</v>
      </c>
      <c r="B71" s="126" t="s">
        <v>129</v>
      </c>
      <c r="C71" s="230">
        <f>VLOOKUP($A71,'Table 17 data'!$A$9:$S$186,'Table 16 data'!$D$174+'Table 17 data'!C$4,0)</f>
        <v>48.6</v>
      </c>
      <c r="D71" s="230">
        <f>VLOOKUP($A71,'Table 17 data'!$A$9:$S$186,'Table 16 data'!$D$174+'Table 17 data'!D$4,0)</f>
        <v>50.6</v>
      </c>
      <c r="E71" s="230">
        <f>VLOOKUP($A71,'Table 17 data'!$A$9:$S$186,'Table 16 data'!$D$174+'Table 17 data'!E$4,0)</f>
        <v>52.6</v>
      </c>
      <c r="F71" s="230">
        <f>VLOOKUP($A71,'Table 17 data'!$A$9:$S$186,'Table 16 data'!$D$174+'Table 17 data'!F$4,0)</f>
        <v>56.2</v>
      </c>
      <c r="G71" s="230">
        <f>VLOOKUP($A71,'Table 17 data'!$A$9:$S$186,'Table 16 data'!$D$174+'Table 17 data'!G$4,0)</f>
        <v>59.2</v>
      </c>
      <c r="H71" s="230">
        <f>VLOOKUP($A71,'Table 17 data'!$A$9:$S$186,'Table 16 data'!$D$174+'Table 17 data'!H$4,0)</f>
        <v>62.2</v>
      </c>
      <c r="I71" s="230">
        <f>VLOOKUP($A71,'Table 17 data'!$A$9:$S$186,'Table 16 data'!$D$174+'Table 17 data'!I$4,0)</f>
        <v>62.1</v>
      </c>
      <c r="J71" s="230">
        <f>VLOOKUP($A71,'Table 17 data'!$A$9:$S$186,'Table 16 data'!$D$174+'Table 17 data'!J$4,0)</f>
        <v>61.8</v>
      </c>
    </row>
    <row r="72" spans="1:10" ht="11.25" customHeight="1" x14ac:dyDescent="0.2">
      <c r="A72" s="25" t="s">
        <v>130</v>
      </c>
      <c r="B72" s="126" t="s">
        <v>131</v>
      </c>
      <c r="C72" s="230">
        <f>VLOOKUP($A72,'Table 17 data'!$A$9:$S$186,'Table 16 data'!$D$174+'Table 17 data'!C$4,0)</f>
        <v>42.1</v>
      </c>
      <c r="D72" s="230">
        <f>VLOOKUP($A72,'Table 17 data'!$A$9:$S$186,'Table 16 data'!$D$174+'Table 17 data'!D$4,0)</f>
        <v>42.3</v>
      </c>
      <c r="E72" s="230">
        <f>VLOOKUP($A72,'Table 17 data'!$A$9:$S$186,'Table 16 data'!$D$174+'Table 17 data'!E$4,0)</f>
        <v>45.4</v>
      </c>
      <c r="F72" s="230">
        <f>VLOOKUP($A72,'Table 17 data'!$A$9:$S$186,'Table 16 data'!$D$174+'Table 17 data'!F$4,0)</f>
        <v>48.9</v>
      </c>
      <c r="G72" s="230">
        <f>VLOOKUP($A72,'Table 17 data'!$A$9:$S$186,'Table 16 data'!$D$174+'Table 17 data'!G$4,0)</f>
        <v>51.9</v>
      </c>
      <c r="H72" s="230">
        <f>VLOOKUP($A72,'Table 17 data'!$A$9:$S$186,'Table 16 data'!$D$174+'Table 17 data'!H$4,0)</f>
        <v>55.3</v>
      </c>
      <c r="I72" s="230">
        <f>VLOOKUP($A72,'Table 17 data'!$A$9:$S$186,'Table 16 data'!$D$174+'Table 17 data'!I$4,0)</f>
        <v>56.2</v>
      </c>
      <c r="J72" s="230">
        <f>VLOOKUP($A72,'Table 17 data'!$A$9:$S$186,'Table 16 data'!$D$174+'Table 17 data'!J$4,0)</f>
        <v>58.1</v>
      </c>
    </row>
    <row r="73" spans="1:10" ht="11.25" customHeight="1" x14ac:dyDescent="0.2">
      <c r="A73" s="25" t="s">
        <v>132</v>
      </c>
      <c r="B73" s="126" t="s">
        <v>133</v>
      </c>
      <c r="C73" s="230">
        <f>VLOOKUP($A73,'Table 17 data'!$A$9:$S$186,'Table 16 data'!$D$174+'Table 17 data'!C$4,0)</f>
        <v>28.5</v>
      </c>
      <c r="D73" s="230">
        <f>VLOOKUP($A73,'Table 17 data'!$A$9:$S$186,'Table 16 data'!$D$174+'Table 17 data'!D$4,0)</f>
        <v>33.1</v>
      </c>
      <c r="E73" s="230">
        <f>VLOOKUP($A73,'Table 17 data'!$A$9:$S$186,'Table 16 data'!$D$174+'Table 17 data'!E$4,0)</f>
        <v>34.700000000000003</v>
      </c>
      <c r="F73" s="230">
        <f>VLOOKUP($A73,'Table 17 data'!$A$9:$S$186,'Table 16 data'!$D$174+'Table 17 data'!F$4,0)</f>
        <v>41.4</v>
      </c>
      <c r="G73" s="230">
        <f>VLOOKUP($A73,'Table 17 data'!$A$9:$S$186,'Table 16 data'!$D$174+'Table 17 data'!G$4,0)</f>
        <v>44.2</v>
      </c>
      <c r="H73" s="230">
        <f>VLOOKUP($A73,'Table 17 data'!$A$9:$S$186,'Table 16 data'!$D$174+'Table 17 data'!H$4,0)</f>
        <v>46.7</v>
      </c>
      <c r="I73" s="230">
        <f>VLOOKUP($A73,'Table 17 data'!$A$9:$S$186,'Table 16 data'!$D$174+'Table 17 data'!I$4,0)</f>
        <v>49.6</v>
      </c>
      <c r="J73" s="230">
        <f>VLOOKUP($A73,'Table 17 data'!$A$9:$S$186,'Table 16 data'!$D$174+'Table 17 data'!J$4,0)</f>
        <v>50.3</v>
      </c>
    </row>
    <row r="74" spans="1:10" ht="11.25" customHeight="1" x14ac:dyDescent="0.2">
      <c r="A74" s="25" t="s">
        <v>134</v>
      </c>
      <c r="B74" s="126" t="s">
        <v>135</v>
      </c>
      <c r="C74" s="230">
        <f>VLOOKUP($A74,'Table 17 data'!$A$9:$S$186,'Table 16 data'!$D$174+'Table 17 data'!C$4,0)</f>
        <v>40.1</v>
      </c>
      <c r="D74" s="230">
        <f>VLOOKUP($A74,'Table 17 data'!$A$9:$S$186,'Table 16 data'!$D$174+'Table 17 data'!D$4,0)</f>
        <v>41.7</v>
      </c>
      <c r="E74" s="230">
        <f>VLOOKUP($A74,'Table 17 data'!$A$9:$S$186,'Table 16 data'!$D$174+'Table 17 data'!E$4,0)</f>
        <v>43.3</v>
      </c>
      <c r="F74" s="230">
        <f>VLOOKUP($A74,'Table 17 data'!$A$9:$S$186,'Table 16 data'!$D$174+'Table 17 data'!F$4,0)</f>
        <v>47.2</v>
      </c>
      <c r="G74" s="230">
        <f>VLOOKUP($A74,'Table 17 data'!$A$9:$S$186,'Table 16 data'!$D$174+'Table 17 data'!G$4,0)</f>
        <v>51.4</v>
      </c>
      <c r="H74" s="230">
        <f>VLOOKUP($A74,'Table 17 data'!$A$9:$S$186,'Table 16 data'!$D$174+'Table 17 data'!H$4,0)</f>
        <v>57.6</v>
      </c>
      <c r="I74" s="230">
        <f>VLOOKUP($A74,'Table 17 data'!$A$9:$S$186,'Table 16 data'!$D$174+'Table 17 data'!I$4,0)</f>
        <v>60.6</v>
      </c>
      <c r="J74" s="230">
        <f>VLOOKUP($A74,'Table 17 data'!$A$9:$S$186,'Table 16 data'!$D$174+'Table 17 data'!J$4,0)</f>
        <v>63.4</v>
      </c>
    </row>
    <row r="75" spans="1:10" s="3" customFormat="1" ht="11.25" customHeight="1" x14ac:dyDescent="0.2">
      <c r="A75" s="26" t="s">
        <v>136</v>
      </c>
      <c r="B75" s="126" t="s">
        <v>137</v>
      </c>
      <c r="C75" s="230">
        <f>VLOOKUP($A75,'Table 17 data'!$A$9:$S$186,'Table 16 data'!$D$174+'Table 17 data'!C$4,0)</f>
        <v>56.1</v>
      </c>
      <c r="D75" s="230">
        <f>VLOOKUP($A75,'Table 17 data'!$A$9:$S$186,'Table 16 data'!$D$174+'Table 17 data'!D$4,0)</f>
        <v>58</v>
      </c>
      <c r="E75" s="230">
        <f>VLOOKUP($A75,'Table 17 data'!$A$9:$S$186,'Table 16 data'!$D$174+'Table 17 data'!E$4,0)</f>
        <v>58.6</v>
      </c>
      <c r="F75" s="230">
        <f>VLOOKUP($A75,'Table 17 data'!$A$9:$S$186,'Table 16 data'!$D$174+'Table 17 data'!F$4,0)</f>
        <v>58.2</v>
      </c>
      <c r="G75" s="230">
        <f>VLOOKUP($A75,'Table 17 data'!$A$9:$S$186,'Table 16 data'!$D$174+'Table 17 data'!G$4,0)</f>
        <v>61.4</v>
      </c>
      <c r="H75" s="230">
        <f>VLOOKUP($A75,'Table 17 data'!$A$9:$S$186,'Table 16 data'!$D$174+'Table 17 data'!H$4,0)</f>
        <v>60.8</v>
      </c>
      <c r="I75" s="230">
        <f>VLOOKUP($A75,'Table 17 data'!$A$9:$S$186,'Table 16 data'!$D$174+'Table 17 data'!I$4,0)</f>
        <v>55.5</v>
      </c>
      <c r="J75" s="230">
        <f>VLOOKUP($A75,'Table 17 data'!$A$9:$S$186,'Table 16 data'!$D$174+'Table 17 data'!J$4,0)</f>
        <v>67.2</v>
      </c>
    </row>
    <row r="76" spans="1:10" s="51" customFormat="1" ht="11.25" customHeight="1" x14ac:dyDescent="0.2">
      <c r="A76" s="3"/>
      <c r="B76" s="17"/>
      <c r="C76" s="234"/>
      <c r="D76" s="234"/>
      <c r="E76" s="235"/>
      <c r="F76" s="236"/>
      <c r="G76" s="236"/>
      <c r="H76" s="236"/>
      <c r="I76" s="238"/>
      <c r="J76" s="239"/>
    </row>
    <row r="77" spans="1:10" ht="11.25" customHeight="1" x14ac:dyDescent="0.2">
      <c r="A77" s="16" t="s">
        <v>386</v>
      </c>
      <c r="B77" s="16" t="s">
        <v>138</v>
      </c>
      <c r="C77" s="229">
        <f>VLOOKUP($A77,'Table 17 data'!$A$9:$S$186,'Table 16 data'!$D$174+'Table 17 data'!C$4,0)</f>
        <v>41.6</v>
      </c>
      <c r="D77" s="229">
        <f>VLOOKUP($A77,'Table 17 data'!$A$9:$S$186,'Table 16 data'!$D$174+'Table 17 data'!D$4,0)</f>
        <v>43.3</v>
      </c>
      <c r="E77" s="229">
        <f>VLOOKUP($A77,'Table 17 data'!$A$9:$S$186,'Table 16 data'!$D$174+'Table 17 data'!E$4,0)</f>
        <v>46.1</v>
      </c>
      <c r="F77" s="229">
        <f>VLOOKUP($A77,'Table 17 data'!$A$9:$S$186,'Table 16 data'!$D$174+'Table 17 data'!F$4,0)</f>
        <v>48.5</v>
      </c>
      <c r="G77" s="229">
        <f>VLOOKUP($A77,'Table 17 data'!$A$9:$S$186,'Table 16 data'!$D$174+'Table 17 data'!G$4,0)</f>
        <v>54.2</v>
      </c>
      <c r="H77" s="229">
        <f>VLOOKUP($A77,'Table 17 data'!$A$9:$S$186,'Table 16 data'!$D$174+'Table 17 data'!H$4,0)</f>
        <v>57.4</v>
      </c>
      <c r="I77" s="229">
        <f>VLOOKUP($A77,'Table 17 data'!$A$9:$S$186,'Table 16 data'!$D$174+'Table 17 data'!I$4,0)</f>
        <v>58.8</v>
      </c>
      <c r="J77" s="229">
        <f>VLOOKUP($A77,'Table 17 data'!$A$9:$S$186,'Table 16 data'!$D$174+'Table 17 data'!J$4,0)</f>
        <v>59.9</v>
      </c>
    </row>
    <row r="78" spans="1:10" ht="11.25" customHeight="1" x14ac:dyDescent="0.2">
      <c r="A78" s="26" t="s">
        <v>139</v>
      </c>
      <c r="B78" s="126" t="s">
        <v>140</v>
      </c>
      <c r="C78" s="230">
        <f>VLOOKUP($A78,'Table 17 data'!$A$9:$S$186,'Table 16 data'!$D$174+'Table 17 data'!C$4,0)</f>
        <v>40.799999999999997</v>
      </c>
      <c r="D78" s="230">
        <f>VLOOKUP($A78,'Table 17 data'!$A$9:$S$186,'Table 16 data'!$D$174+'Table 17 data'!D$4,0)</f>
        <v>41.7</v>
      </c>
      <c r="E78" s="230">
        <f>VLOOKUP($A78,'Table 17 data'!$A$9:$S$186,'Table 16 data'!$D$174+'Table 17 data'!E$4,0)</f>
        <v>45.5</v>
      </c>
      <c r="F78" s="230">
        <f>VLOOKUP($A78,'Table 17 data'!$A$9:$S$186,'Table 16 data'!$D$174+'Table 17 data'!F$4,0)</f>
        <v>47.7</v>
      </c>
      <c r="G78" s="230">
        <f>VLOOKUP($A78,'Table 17 data'!$A$9:$S$186,'Table 16 data'!$D$174+'Table 17 data'!G$4,0)</f>
        <v>54.9</v>
      </c>
      <c r="H78" s="230">
        <f>VLOOKUP($A78,'Table 17 data'!$A$9:$S$186,'Table 16 data'!$D$174+'Table 17 data'!H$4,0)</f>
        <v>58.2</v>
      </c>
      <c r="I78" s="230">
        <f>VLOOKUP($A78,'Table 17 data'!$A$9:$S$186,'Table 16 data'!$D$174+'Table 17 data'!I$4,0)</f>
        <v>60.1</v>
      </c>
      <c r="J78" s="230">
        <f>VLOOKUP($A78,'Table 17 data'!$A$9:$S$186,'Table 16 data'!$D$174+'Table 17 data'!J$4,0)</f>
        <v>59.8</v>
      </c>
    </row>
    <row r="79" spans="1:10" ht="11.25" customHeight="1" x14ac:dyDescent="0.2">
      <c r="A79" s="25" t="s">
        <v>141</v>
      </c>
      <c r="B79" s="126" t="s">
        <v>142</v>
      </c>
      <c r="C79" s="230">
        <f>VLOOKUP($A79,'Table 17 data'!$A$9:$S$186,'Table 16 data'!$D$174+'Table 17 data'!C$4,0)</f>
        <v>37.799999999999997</v>
      </c>
      <c r="D79" s="230">
        <f>VLOOKUP($A79,'Table 17 data'!$A$9:$S$186,'Table 16 data'!$D$174+'Table 17 data'!D$4,0)</f>
        <v>38.9</v>
      </c>
      <c r="E79" s="230">
        <f>VLOOKUP($A79,'Table 17 data'!$A$9:$S$186,'Table 16 data'!$D$174+'Table 17 data'!E$4,0)</f>
        <v>41.8</v>
      </c>
      <c r="F79" s="230">
        <f>VLOOKUP($A79,'Table 17 data'!$A$9:$S$186,'Table 16 data'!$D$174+'Table 17 data'!F$4,0)</f>
        <v>47.8</v>
      </c>
      <c r="G79" s="230">
        <f>VLOOKUP($A79,'Table 17 data'!$A$9:$S$186,'Table 16 data'!$D$174+'Table 17 data'!G$4,0)</f>
        <v>51.7</v>
      </c>
      <c r="H79" s="230">
        <f>VLOOKUP($A79,'Table 17 data'!$A$9:$S$186,'Table 16 data'!$D$174+'Table 17 data'!H$4,0)</f>
        <v>54.7</v>
      </c>
      <c r="I79" s="230">
        <f>VLOOKUP($A79,'Table 17 data'!$A$9:$S$186,'Table 16 data'!$D$174+'Table 17 data'!I$4,0)</f>
        <v>58.7</v>
      </c>
      <c r="J79" s="230">
        <f>VLOOKUP($A79,'Table 17 data'!$A$9:$S$186,'Table 16 data'!$D$174+'Table 17 data'!J$4,0)</f>
        <v>56.4</v>
      </c>
    </row>
    <row r="80" spans="1:10" ht="11.25" customHeight="1" x14ac:dyDescent="0.2">
      <c r="A80" s="26" t="s">
        <v>143</v>
      </c>
      <c r="B80" s="126" t="s">
        <v>144</v>
      </c>
      <c r="C80" s="230">
        <f>VLOOKUP($A80,'Table 17 data'!$A$9:$S$186,'Table 16 data'!$D$174+'Table 17 data'!C$4,0)</f>
        <v>43</v>
      </c>
      <c r="D80" s="230">
        <f>VLOOKUP($A80,'Table 17 data'!$A$9:$S$186,'Table 16 data'!$D$174+'Table 17 data'!D$4,0)</f>
        <v>43.6</v>
      </c>
      <c r="E80" s="230">
        <f>VLOOKUP($A80,'Table 17 data'!$A$9:$S$186,'Table 16 data'!$D$174+'Table 17 data'!E$4,0)</f>
        <v>46.9</v>
      </c>
      <c r="F80" s="230">
        <f>VLOOKUP($A80,'Table 17 data'!$A$9:$S$186,'Table 16 data'!$D$174+'Table 17 data'!F$4,0)</f>
        <v>48.9</v>
      </c>
      <c r="G80" s="230">
        <f>VLOOKUP($A80,'Table 17 data'!$A$9:$S$186,'Table 16 data'!$D$174+'Table 17 data'!G$4,0)</f>
        <v>56.4</v>
      </c>
      <c r="H80" s="230">
        <f>VLOOKUP($A80,'Table 17 data'!$A$9:$S$186,'Table 16 data'!$D$174+'Table 17 data'!H$4,0)</f>
        <v>58.5</v>
      </c>
      <c r="I80" s="230">
        <f>VLOOKUP($A80,'Table 17 data'!$A$9:$S$186,'Table 16 data'!$D$174+'Table 17 data'!I$4,0)</f>
        <v>56.1</v>
      </c>
      <c r="J80" s="230">
        <f>VLOOKUP($A80,'Table 17 data'!$A$9:$S$186,'Table 16 data'!$D$174+'Table 17 data'!J$4,0)</f>
        <v>59.7</v>
      </c>
    </row>
    <row r="81" spans="1:10" ht="11.25" customHeight="1" x14ac:dyDescent="0.2">
      <c r="A81" s="125" t="s">
        <v>355</v>
      </c>
      <c r="B81" s="126" t="s">
        <v>145</v>
      </c>
      <c r="C81" s="230">
        <f>VLOOKUP($A81,'Table 17 data'!$A$9:$S$186,'Table 16 data'!$D$174+'Table 17 data'!C$4,0)</f>
        <v>48.2</v>
      </c>
      <c r="D81" s="230">
        <f>VLOOKUP($A81,'Table 17 data'!$A$9:$S$186,'Table 16 data'!$D$174+'Table 17 data'!D$4,0)</f>
        <v>51.7</v>
      </c>
      <c r="E81" s="230">
        <f>VLOOKUP($A81,'Table 17 data'!$A$9:$S$186,'Table 16 data'!$D$174+'Table 17 data'!E$4,0)</f>
        <v>52.4</v>
      </c>
      <c r="F81" s="230">
        <f>VLOOKUP($A81,'Table 17 data'!$A$9:$S$186,'Table 16 data'!$D$174+'Table 17 data'!F$4,0)</f>
        <v>52.2</v>
      </c>
      <c r="G81" s="230">
        <f>VLOOKUP($A81,'Table 17 data'!$A$9:$S$186,'Table 16 data'!$D$174+'Table 17 data'!G$4,0)</f>
        <v>56</v>
      </c>
      <c r="H81" s="230">
        <f>VLOOKUP($A81,'Table 17 data'!$A$9:$S$186,'Table 16 data'!$D$174+'Table 17 data'!H$4,0)</f>
        <v>57.5</v>
      </c>
      <c r="I81" s="230">
        <f>VLOOKUP($A81,'Table 17 data'!$A$9:$S$186,'Table 16 data'!$D$174+'Table 17 data'!I$4,0)</f>
        <v>56.5</v>
      </c>
      <c r="J81" s="230">
        <f>VLOOKUP($A81,'Table 17 data'!$A$9:$S$186,'Table 16 data'!$D$174+'Table 17 data'!J$4,0)</f>
        <v>56.1</v>
      </c>
    </row>
    <row r="82" spans="1:10" ht="11.25" customHeight="1" x14ac:dyDescent="0.2">
      <c r="A82" s="25" t="s">
        <v>146</v>
      </c>
      <c r="B82" s="126" t="s">
        <v>147</v>
      </c>
      <c r="C82" s="230">
        <f>VLOOKUP($A82,'Table 17 data'!$A$9:$S$186,'Table 16 data'!$D$174+'Table 17 data'!C$4,0)</f>
        <v>29.7</v>
      </c>
      <c r="D82" s="230">
        <f>VLOOKUP($A82,'Table 17 data'!$A$9:$S$186,'Table 16 data'!$D$174+'Table 17 data'!D$4,0)</f>
        <v>30.2</v>
      </c>
      <c r="E82" s="230">
        <f>VLOOKUP($A82,'Table 17 data'!$A$9:$S$186,'Table 16 data'!$D$174+'Table 17 data'!E$4,0)</f>
        <v>31.5</v>
      </c>
      <c r="F82" s="230">
        <f>VLOOKUP($A82,'Table 17 data'!$A$9:$S$186,'Table 16 data'!$D$174+'Table 17 data'!F$4,0)</f>
        <v>37.5</v>
      </c>
      <c r="G82" s="230">
        <f>VLOOKUP($A82,'Table 17 data'!$A$9:$S$186,'Table 16 data'!$D$174+'Table 17 data'!G$4,0)</f>
        <v>43.6</v>
      </c>
      <c r="H82" s="230">
        <f>VLOOKUP($A82,'Table 17 data'!$A$9:$S$186,'Table 16 data'!$D$174+'Table 17 data'!H$4,0)</f>
        <v>50</v>
      </c>
      <c r="I82" s="230">
        <f>VLOOKUP($A82,'Table 17 data'!$A$9:$S$186,'Table 16 data'!$D$174+'Table 17 data'!I$4,0)</f>
        <v>53.8</v>
      </c>
      <c r="J82" s="230">
        <f>VLOOKUP($A82,'Table 17 data'!$A$9:$S$186,'Table 16 data'!$D$174+'Table 17 data'!J$4,0)</f>
        <v>54.1</v>
      </c>
    </row>
    <row r="83" spans="1:10" ht="11.25" customHeight="1" x14ac:dyDescent="0.2">
      <c r="A83" s="24" t="s">
        <v>148</v>
      </c>
      <c r="B83" s="126" t="s">
        <v>149</v>
      </c>
      <c r="C83" s="230">
        <f>VLOOKUP($A83,'Table 17 data'!$A$9:$S$186,'Table 16 data'!$D$174+'Table 17 data'!C$4,0)</f>
        <v>50.3</v>
      </c>
      <c r="D83" s="230">
        <f>VLOOKUP($A83,'Table 17 data'!$A$9:$S$186,'Table 16 data'!$D$174+'Table 17 data'!D$4,0)</f>
        <v>53.3</v>
      </c>
      <c r="E83" s="230">
        <f>VLOOKUP($A83,'Table 17 data'!$A$9:$S$186,'Table 16 data'!$D$174+'Table 17 data'!E$4,0)</f>
        <v>54.4</v>
      </c>
      <c r="F83" s="230">
        <f>VLOOKUP($A83,'Table 17 data'!$A$9:$S$186,'Table 16 data'!$D$174+'Table 17 data'!F$4,0)</f>
        <v>56.6</v>
      </c>
      <c r="G83" s="230">
        <f>VLOOKUP($A83,'Table 17 data'!$A$9:$S$186,'Table 16 data'!$D$174+'Table 17 data'!G$4,0)</f>
        <v>57.8</v>
      </c>
      <c r="H83" s="230">
        <f>VLOOKUP($A83,'Table 17 data'!$A$9:$S$186,'Table 16 data'!$D$174+'Table 17 data'!H$4,0)</f>
        <v>60</v>
      </c>
      <c r="I83" s="230">
        <f>VLOOKUP($A83,'Table 17 data'!$A$9:$S$186,'Table 16 data'!$D$174+'Table 17 data'!I$4,0)</f>
        <v>58.6</v>
      </c>
      <c r="J83" s="230">
        <f>VLOOKUP($A83,'Table 17 data'!$A$9:$S$186,'Table 16 data'!$D$174+'Table 17 data'!J$4,0)</f>
        <v>60.4</v>
      </c>
    </row>
    <row r="84" spans="1:10" ht="11.25" customHeight="1" x14ac:dyDescent="0.2">
      <c r="A84" s="25" t="s">
        <v>150</v>
      </c>
      <c r="B84" s="126" t="s">
        <v>151</v>
      </c>
      <c r="C84" s="230">
        <f>VLOOKUP($A84,'Table 17 data'!$A$9:$S$186,'Table 16 data'!$D$174+'Table 17 data'!C$4,0)</f>
        <v>50.5</v>
      </c>
      <c r="D84" s="230">
        <f>VLOOKUP($A84,'Table 17 data'!$A$9:$S$186,'Table 16 data'!$D$174+'Table 17 data'!D$4,0)</f>
        <v>53</v>
      </c>
      <c r="E84" s="230">
        <f>VLOOKUP($A84,'Table 17 data'!$A$9:$S$186,'Table 16 data'!$D$174+'Table 17 data'!E$4,0)</f>
        <v>54.6</v>
      </c>
      <c r="F84" s="230">
        <f>VLOOKUP($A84,'Table 17 data'!$A$9:$S$186,'Table 16 data'!$D$174+'Table 17 data'!F$4,0)</f>
        <v>54.4</v>
      </c>
      <c r="G84" s="230">
        <f>VLOOKUP($A84,'Table 17 data'!$A$9:$S$186,'Table 16 data'!$D$174+'Table 17 data'!G$4,0)</f>
        <v>60.1</v>
      </c>
      <c r="H84" s="230">
        <f>VLOOKUP($A84,'Table 17 data'!$A$9:$S$186,'Table 16 data'!$D$174+'Table 17 data'!H$4,0)</f>
        <v>61.7</v>
      </c>
      <c r="I84" s="230">
        <f>VLOOKUP($A84,'Table 17 data'!$A$9:$S$186,'Table 16 data'!$D$174+'Table 17 data'!I$4,0)</f>
        <v>62.7</v>
      </c>
      <c r="J84" s="230">
        <f>VLOOKUP($A84,'Table 17 data'!$A$9:$S$186,'Table 16 data'!$D$174+'Table 17 data'!J$4,0)</f>
        <v>67.099999999999994</v>
      </c>
    </row>
    <row r="85" spans="1:10" ht="11.25" customHeight="1" x14ac:dyDescent="0.2">
      <c r="A85" s="26" t="s">
        <v>152</v>
      </c>
      <c r="B85" s="126" t="s">
        <v>153</v>
      </c>
      <c r="C85" s="230">
        <f>VLOOKUP($A85,'Table 17 data'!$A$9:$S$186,'Table 16 data'!$D$174+'Table 17 data'!C$4,0)</f>
        <v>42.8</v>
      </c>
      <c r="D85" s="230">
        <f>VLOOKUP($A85,'Table 17 data'!$A$9:$S$186,'Table 16 data'!$D$174+'Table 17 data'!D$4,0)</f>
        <v>45.7</v>
      </c>
      <c r="E85" s="230">
        <f>VLOOKUP($A85,'Table 17 data'!$A$9:$S$186,'Table 16 data'!$D$174+'Table 17 data'!E$4,0)</f>
        <v>49.7</v>
      </c>
      <c r="F85" s="230">
        <f>VLOOKUP($A85,'Table 17 data'!$A$9:$S$186,'Table 16 data'!$D$174+'Table 17 data'!F$4,0)</f>
        <v>50.8</v>
      </c>
      <c r="G85" s="230">
        <f>VLOOKUP($A85,'Table 17 data'!$A$9:$S$186,'Table 16 data'!$D$174+'Table 17 data'!G$4,0)</f>
        <v>54</v>
      </c>
      <c r="H85" s="230">
        <f>VLOOKUP($A85,'Table 17 data'!$A$9:$S$186,'Table 16 data'!$D$174+'Table 17 data'!H$4,0)</f>
        <v>56.5</v>
      </c>
      <c r="I85" s="230">
        <f>VLOOKUP($A85,'Table 17 data'!$A$9:$S$186,'Table 16 data'!$D$174+'Table 17 data'!I$4,0)</f>
        <v>58.7</v>
      </c>
      <c r="J85" s="230">
        <f>VLOOKUP($A85,'Table 17 data'!$A$9:$S$186,'Table 16 data'!$D$174+'Table 17 data'!J$4,0)</f>
        <v>59.9</v>
      </c>
    </row>
    <row r="86" spans="1:10" ht="11.25" customHeight="1" x14ac:dyDescent="0.2">
      <c r="A86" s="26" t="s">
        <v>154</v>
      </c>
      <c r="B86" s="126" t="s">
        <v>155</v>
      </c>
      <c r="C86" s="230">
        <f>VLOOKUP($A86,'Table 17 data'!$A$9:$S$186,'Table 16 data'!$D$174+'Table 17 data'!C$4,0)</f>
        <v>33.299999999999997</v>
      </c>
      <c r="D86" s="230">
        <f>VLOOKUP($A86,'Table 17 data'!$A$9:$S$186,'Table 16 data'!$D$174+'Table 17 data'!D$4,0)</f>
        <v>34.799999999999997</v>
      </c>
      <c r="E86" s="230">
        <f>VLOOKUP($A86,'Table 17 data'!$A$9:$S$186,'Table 16 data'!$D$174+'Table 17 data'!E$4,0)</f>
        <v>36.9</v>
      </c>
      <c r="F86" s="230">
        <f>VLOOKUP($A86,'Table 17 data'!$A$9:$S$186,'Table 16 data'!$D$174+'Table 17 data'!F$4,0)</f>
        <v>39.4</v>
      </c>
      <c r="G86" s="230">
        <f>VLOOKUP($A86,'Table 17 data'!$A$9:$S$186,'Table 16 data'!$D$174+'Table 17 data'!G$4,0)</f>
        <v>48.4</v>
      </c>
      <c r="H86" s="230">
        <f>VLOOKUP($A86,'Table 17 data'!$A$9:$S$186,'Table 16 data'!$D$174+'Table 17 data'!H$4,0)</f>
        <v>48.2</v>
      </c>
      <c r="I86" s="230">
        <f>VLOOKUP($A86,'Table 17 data'!$A$9:$S$186,'Table 16 data'!$D$174+'Table 17 data'!I$4,0)</f>
        <v>51.8</v>
      </c>
      <c r="J86" s="230">
        <f>VLOOKUP($A86,'Table 17 data'!$A$9:$S$186,'Table 16 data'!$D$174+'Table 17 data'!J$4,0)</f>
        <v>49.9</v>
      </c>
    </row>
    <row r="87" spans="1:10" ht="11.25" customHeight="1" x14ac:dyDescent="0.2">
      <c r="A87" s="24" t="s">
        <v>156</v>
      </c>
      <c r="B87" s="126" t="s">
        <v>157</v>
      </c>
      <c r="C87" s="230">
        <f>VLOOKUP($A87,'Table 17 data'!$A$9:$S$186,'Table 16 data'!$D$174+'Table 17 data'!C$4,0)</f>
        <v>39.6</v>
      </c>
      <c r="D87" s="230">
        <f>VLOOKUP($A87,'Table 17 data'!$A$9:$S$186,'Table 16 data'!$D$174+'Table 17 data'!D$4,0)</f>
        <v>40.799999999999997</v>
      </c>
      <c r="E87" s="230">
        <f>VLOOKUP($A87,'Table 17 data'!$A$9:$S$186,'Table 16 data'!$D$174+'Table 17 data'!E$4,0)</f>
        <v>44.6</v>
      </c>
      <c r="F87" s="230">
        <f>VLOOKUP($A87,'Table 17 data'!$A$9:$S$186,'Table 16 data'!$D$174+'Table 17 data'!F$4,0)</f>
        <v>47.7</v>
      </c>
      <c r="G87" s="230">
        <f>VLOOKUP($A87,'Table 17 data'!$A$9:$S$186,'Table 16 data'!$D$174+'Table 17 data'!G$4,0)</f>
        <v>55.9</v>
      </c>
      <c r="H87" s="230">
        <f>VLOOKUP($A87,'Table 17 data'!$A$9:$S$186,'Table 16 data'!$D$174+'Table 17 data'!H$4,0)</f>
        <v>57.9</v>
      </c>
      <c r="I87" s="230">
        <f>VLOOKUP($A87,'Table 17 data'!$A$9:$S$186,'Table 16 data'!$D$174+'Table 17 data'!I$4,0)</f>
        <v>61.3</v>
      </c>
      <c r="J87" s="230">
        <f>VLOOKUP($A87,'Table 17 data'!$A$9:$S$186,'Table 16 data'!$D$174+'Table 17 data'!J$4,0)</f>
        <v>58.6</v>
      </c>
    </row>
    <row r="88" spans="1:10" ht="11.25" customHeight="1" x14ac:dyDescent="0.2">
      <c r="A88" s="25" t="s">
        <v>158</v>
      </c>
      <c r="B88" s="126" t="s">
        <v>159</v>
      </c>
      <c r="C88" s="230">
        <f>VLOOKUP($A88,'Table 17 data'!$A$9:$S$186,'Table 16 data'!$D$174+'Table 17 data'!C$4,0)</f>
        <v>34.9</v>
      </c>
      <c r="D88" s="230">
        <f>VLOOKUP($A88,'Table 17 data'!$A$9:$S$186,'Table 16 data'!$D$174+'Table 17 data'!D$4,0)</f>
        <v>35.5</v>
      </c>
      <c r="E88" s="230">
        <f>VLOOKUP($A88,'Table 17 data'!$A$9:$S$186,'Table 16 data'!$D$174+'Table 17 data'!E$4,0)</f>
        <v>40.6</v>
      </c>
      <c r="F88" s="230">
        <f>VLOOKUP($A88,'Table 17 data'!$A$9:$S$186,'Table 16 data'!$D$174+'Table 17 data'!F$4,0)</f>
        <v>44</v>
      </c>
      <c r="G88" s="230">
        <f>VLOOKUP($A88,'Table 17 data'!$A$9:$S$186,'Table 16 data'!$D$174+'Table 17 data'!G$4,0)</f>
        <v>49.5</v>
      </c>
      <c r="H88" s="230">
        <f>VLOOKUP($A88,'Table 17 data'!$A$9:$S$186,'Table 16 data'!$D$174+'Table 17 data'!H$4,0)</f>
        <v>56.3</v>
      </c>
      <c r="I88" s="230">
        <f>VLOOKUP($A88,'Table 17 data'!$A$9:$S$186,'Table 16 data'!$D$174+'Table 17 data'!I$4,0)</f>
        <v>55.9</v>
      </c>
      <c r="J88" s="230">
        <f>VLOOKUP($A88,'Table 17 data'!$A$9:$S$186,'Table 16 data'!$D$174+'Table 17 data'!J$4,0)</f>
        <v>58.7</v>
      </c>
    </row>
    <row r="89" spans="1:10" ht="11.25" customHeight="1" x14ac:dyDescent="0.2">
      <c r="A89" s="25" t="s">
        <v>160</v>
      </c>
      <c r="B89" s="126" t="s">
        <v>161</v>
      </c>
      <c r="C89" s="230">
        <f>VLOOKUP($A89,'Table 17 data'!$A$9:$S$186,'Table 16 data'!$D$174+'Table 17 data'!C$4,0)</f>
        <v>48</v>
      </c>
      <c r="D89" s="230">
        <f>VLOOKUP($A89,'Table 17 data'!$A$9:$S$186,'Table 16 data'!$D$174+'Table 17 data'!D$4,0)</f>
        <v>47.8</v>
      </c>
      <c r="E89" s="230">
        <f>VLOOKUP($A89,'Table 17 data'!$A$9:$S$186,'Table 16 data'!$D$174+'Table 17 data'!E$4,0)</f>
        <v>51.4</v>
      </c>
      <c r="F89" s="230">
        <f>VLOOKUP($A89,'Table 17 data'!$A$9:$S$186,'Table 16 data'!$D$174+'Table 17 data'!F$4,0)</f>
        <v>53.8</v>
      </c>
      <c r="G89" s="230">
        <f>VLOOKUP($A89,'Table 17 data'!$A$9:$S$186,'Table 16 data'!$D$174+'Table 17 data'!G$4,0)</f>
        <v>58.9</v>
      </c>
      <c r="H89" s="230">
        <f>VLOOKUP($A89,'Table 17 data'!$A$9:$S$186,'Table 16 data'!$D$174+'Table 17 data'!H$4,0)</f>
        <v>60.7</v>
      </c>
      <c r="I89" s="230">
        <f>VLOOKUP($A89,'Table 17 data'!$A$9:$S$186,'Table 16 data'!$D$174+'Table 17 data'!I$4,0)</f>
        <v>63.1</v>
      </c>
      <c r="J89" s="230">
        <f>VLOOKUP($A89,'Table 17 data'!$A$9:$S$186,'Table 16 data'!$D$174+'Table 17 data'!J$4,0)</f>
        <v>65.3</v>
      </c>
    </row>
    <row r="90" spans="1:10" ht="11.25" customHeight="1" x14ac:dyDescent="0.2">
      <c r="A90" s="25" t="s">
        <v>162</v>
      </c>
      <c r="B90" s="126" t="s">
        <v>163</v>
      </c>
      <c r="C90" s="230">
        <f>VLOOKUP($A90,'Table 17 data'!$A$9:$S$186,'Table 16 data'!$D$174+'Table 17 data'!C$4,0)</f>
        <v>34.700000000000003</v>
      </c>
      <c r="D90" s="230">
        <f>VLOOKUP($A90,'Table 17 data'!$A$9:$S$186,'Table 16 data'!$D$174+'Table 17 data'!D$4,0)</f>
        <v>36.799999999999997</v>
      </c>
      <c r="E90" s="230">
        <f>VLOOKUP($A90,'Table 17 data'!$A$9:$S$186,'Table 16 data'!$D$174+'Table 17 data'!E$4,0)</f>
        <v>39.799999999999997</v>
      </c>
      <c r="F90" s="230">
        <f>VLOOKUP($A90,'Table 17 data'!$A$9:$S$186,'Table 16 data'!$D$174+'Table 17 data'!F$4,0)</f>
        <v>43.4</v>
      </c>
      <c r="G90" s="230">
        <f>VLOOKUP($A90,'Table 17 data'!$A$9:$S$186,'Table 16 data'!$D$174+'Table 17 data'!G$4,0)</f>
        <v>52.1</v>
      </c>
      <c r="H90" s="230">
        <f>VLOOKUP($A90,'Table 17 data'!$A$9:$S$186,'Table 16 data'!$D$174+'Table 17 data'!H$4,0)</f>
        <v>57.7</v>
      </c>
      <c r="I90" s="230">
        <f>VLOOKUP($A90,'Table 17 data'!$A$9:$S$186,'Table 16 data'!$D$174+'Table 17 data'!I$4,0)</f>
        <v>56.7</v>
      </c>
      <c r="J90" s="230">
        <f>VLOOKUP($A90,'Table 17 data'!$A$9:$S$186,'Table 16 data'!$D$174+'Table 17 data'!J$4,0)</f>
        <v>61</v>
      </c>
    </row>
    <row r="91" spans="1:10" s="3" customFormat="1" ht="11.25" customHeight="1" x14ac:dyDescent="0.2">
      <c r="A91" s="24" t="s">
        <v>164</v>
      </c>
      <c r="B91" s="126" t="s">
        <v>165</v>
      </c>
      <c r="C91" s="230">
        <f>VLOOKUP($A91,'Table 17 data'!$A$9:$S$186,'Table 16 data'!$D$174+'Table 17 data'!C$4,0)</f>
        <v>43.1</v>
      </c>
      <c r="D91" s="230">
        <f>VLOOKUP($A91,'Table 17 data'!$A$9:$S$186,'Table 16 data'!$D$174+'Table 17 data'!D$4,0)</f>
        <v>47.7</v>
      </c>
      <c r="E91" s="230">
        <f>VLOOKUP($A91,'Table 17 data'!$A$9:$S$186,'Table 16 data'!$D$174+'Table 17 data'!E$4,0)</f>
        <v>47.5</v>
      </c>
      <c r="F91" s="230">
        <f>VLOOKUP($A91,'Table 17 data'!$A$9:$S$186,'Table 16 data'!$D$174+'Table 17 data'!F$4,0)</f>
        <v>48.8</v>
      </c>
      <c r="G91" s="230">
        <f>VLOOKUP($A91,'Table 17 data'!$A$9:$S$186,'Table 16 data'!$D$174+'Table 17 data'!G$4,0)</f>
        <v>54.9</v>
      </c>
      <c r="H91" s="230">
        <f>VLOOKUP($A91,'Table 17 data'!$A$9:$S$186,'Table 16 data'!$D$174+'Table 17 data'!H$4,0)</f>
        <v>60.1</v>
      </c>
      <c r="I91" s="230">
        <f>VLOOKUP($A91,'Table 17 data'!$A$9:$S$186,'Table 16 data'!$D$174+'Table 17 data'!I$4,0)</f>
        <v>60.7</v>
      </c>
      <c r="J91" s="230">
        <f>VLOOKUP($A91,'Table 17 data'!$A$9:$S$186,'Table 16 data'!$D$174+'Table 17 data'!J$4,0)</f>
        <v>62.9</v>
      </c>
    </row>
    <row r="92" spans="1:10" s="51" customFormat="1" ht="11.25" customHeight="1" x14ac:dyDescent="0.2">
      <c r="A92" s="3"/>
      <c r="B92" s="17"/>
      <c r="C92" s="234"/>
      <c r="D92" s="234"/>
      <c r="E92" s="235"/>
      <c r="F92" s="236"/>
      <c r="G92" s="236"/>
      <c r="H92" s="236"/>
      <c r="I92" s="238"/>
      <c r="J92" s="236"/>
    </row>
    <row r="93" spans="1:10" ht="11.25" customHeight="1" x14ac:dyDescent="0.2">
      <c r="A93" s="17" t="s">
        <v>383</v>
      </c>
      <c r="B93" s="16" t="s">
        <v>166</v>
      </c>
      <c r="C93" s="229">
        <f>VLOOKUP($A93,'Table 17 data'!$A$9:$S$186,'Table 16 data'!$D$174+'Table 17 data'!C$4,0)</f>
        <v>46.7</v>
      </c>
      <c r="D93" s="229">
        <f>VLOOKUP($A93,'Table 17 data'!$A$9:$S$186,'Table 16 data'!$D$174+'Table 17 data'!D$4,0)</f>
        <v>48.4</v>
      </c>
      <c r="E93" s="229">
        <f>VLOOKUP($A93,'Table 17 data'!$A$9:$S$186,'Table 16 data'!$D$174+'Table 17 data'!E$4,0)</f>
        <v>50.3</v>
      </c>
      <c r="F93" s="229">
        <f>VLOOKUP($A93,'Table 17 data'!$A$9:$S$186,'Table 16 data'!$D$174+'Table 17 data'!F$4,0)</f>
        <v>51.9</v>
      </c>
      <c r="G93" s="229">
        <f>VLOOKUP($A93,'Table 17 data'!$A$9:$S$186,'Table 16 data'!$D$174+'Table 17 data'!G$4,0)</f>
        <v>56</v>
      </c>
      <c r="H93" s="229">
        <f>VLOOKUP($A93,'Table 17 data'!$A$9:$S$186,'Table 16 data'!$D$174+'Table 17 data'!H$4,0)</f>
        <v>59.1</v>
      </c>
      <c r="I93" s="229">
        <f>VLOOKUP($A93,'Table 17 data'!$A$9:$S$186,'Table 16 data'!$D$174+'Table 17 data'!I$4,0)</f>
        <v>58.2</v>
      </c>
      <c r="J93" s="229">
        <f>VLOOKUP($A93,'Table 17 data'!$A$9:$S$186,'Table 16 data'!$D$174+'Table 17 data'!J$4,0)</f>
        <v>59.8</v>
      </c>
    </row>
    <row r="94" spans="1:10" ht="11.25" customHeight="1" x14ac:dyDescent="0.2">
      <c r="A94" s="126" t="s">
        <v>358</v>
      </c>
      <c r="B94" s="129" t="s">
        <v>196</v>
      </c>
      <c r="C94" s="230">
        <f>VLOOKUP($A94,'Table 17 data'!$A$9:$S$186,'Table 16 data'!$D$174+'Table 17 data'!C$4,0)</f>
        <v>44.1</v>
      </c>
      <c r="D94" s="230">
        <f>VLOOKUP($A94,'Table 17 data'!$A$9:$S$186,'Table 16 data'!$D$174+'Table 17 data'!D$4,0)</f>
        <v>47.1</v>
      </c>
      <c r="E94" s="230">
        <f>VLOOKUP($A94,'Table 17 data'!$A$9:$S$186,'Table 16 data'!$D$174+'Table 17 data'!E$4,0)</f>
        <v>49.3</v>
      </c>
      <c r="F94" s="230" t="str">
        <f>VLOOKUP($A94,'Table 17 data'!$A$9:$S$186,'Table 16 data'!$D$174+'Table 17 data'!F$4,0)</f>
        <v>.</v>
      </c>
      <c r="G94" s="230" t="str">
        <f>VLOOKUP($A94,'Table 17 data'!$A$9:$S$186,'Table 16 data'!$D$174+'Table 17 data'!G$4,0)</f>
        <v>.</v>
      </c>
      <c r="H94" s="230" t="str">
        <f>VLOOKUP($A94,'Table 17 data'!$A$9:$S$186,'Table 16 data'!$D$174+'Table 17 data'!H$4,0)</f>
        <v>.</v>
      </c>
      <c r="I94" s="230" t="str">
        <f>VLOOKUP($A94,'Table 17 data'!$A$9:$S$186,'Table 16 data'!$D$174+'Table 17 data'!I$4,0)</f>
        <v>.</v>
      </c>
      <c r="J94" s="230" t="str">
        <f>VLOOKUP($A94,'Table 17 data'!$A$9:$S$186,'Table 16 data'!$D$174+'Table 17 data'!J$4,0)</f>
        <v>.</v>
      </c>
    </row>
    <row r="95" spans="1:10" ht="11.25" customHeight="1" x14ac:dyDescent="0.2">
      <c r="A95" s="26" t="s">
        <v>167</v>
      </c>
      <c r="B95" s="126" t="s">
        <v>168</v>
      </c>
      <c r="C95" s="230" t="str">
        <f>VLOOKUP($A95,'Table 17 data'!$A$9:$S$186,'Table 16 data'!$D$174+'Table 17 data'!C$4,0)</f>
        <v>.</v>
      </c>
      <c r="D95" s="230" t="str">
        <f>VLOOKUP($A95,'Table 17 data'!$A$9:$S$186,'Table 16 data'!$D$174+'Table 17 data'!D$4,0)</f>
        <v>.</v>
      </c>
      <c r="E95" s="230" t="str">
        <f>VLOOKUP($A95,'Table 17 data'!$A$9:$S$186,'Table 16 data'!$D$174+'Table 17 data'!E$4,0)</f>
        <v>.</v>
      </c>
      <c r="F95" s="230">
        <f>VLOOKUP($A95,'Table 17 data'!$A$9:$S$186,'Table 16 data'!$D$174+'Table 17 data'!F$4,0)</f>
        <v>48.1</v>
      </c>
      <c r="G95" s="230">
        <f>VLOOKUP($A95,'Table 17 data'!$A$9:$S$186,'Table 16 data'!$D$174+'Table 17 data'!G$4,0)</f>
        <v>50.8</v>
      </c>
      <c r="H95" s="230">
        <f>VLOOKUP($A95,'Table 17 data'!$A$9:$S$186,'Table 16 data'!$D$174+'Table 17 data'!H$4,0)</f>
        <v>56.2</v>
      </c>
      <c r="I95" s="230">
        <f>VLOOKUP($A95,'Table 17 data'!$A$9:$S$186,'Table 16 data'!$D$174+'Table 17 data'!I$4,0)</f>
        <v>53.4</v>
      </c>
      <c r="J95" s="230">
        <f>VLOOKUP($A95,'Table 17 data'!$A$9:$S$186,'Table 16 data'!$D$174+'Table 17 data'!J$4,0)</f>
        <v>59.7</v>
      </c>
    </row>
    <row r="96" spans="1:10" ht="11.25" customHeight="1" x14ac:dyDescent="0.2">
      <c r="A96" s="24" t="s">
        <v>169</v>
      </c>
      <c r="B96" s="126" t="s">
        <v>170</v>
      </c>
      <c r="C96" s="230">
        <f>VLOOKUP($A96,'Table 17 data'!$A$9:$S$186,'Table 16 data'!$D$174+'Table 17 data'!C$4,0)</f>
        <v>50.1</v>
      </c>
      <c r="D96" s="230">
        <f>VLOOKUP($A96,'Table 17 data'!$A$9:$S$186,'Table 16 data'!$D$174+'Table 17 data'!D$4,0)</f>
        <v>49.6</v>
      </c>
      <c r="E96" s="230">
        <f>VLOOKUP($A96,'Table 17 data'!$A$9:$S$186,'Table 16 data'!$D$174+'Table 17 data'!E$4,0)</f>
        <v>53.6</v>
      </c>
      <c r="F96" s="230">
        <f>VLOOKUP($A96,'Table 17 data'!$A$9:$S$186,'Table 16 data'!$D$174+'Table 17 data'!F$4,0)</f>
        <v>56.2</v>
      </c>
      <c r="G96" s="230">
        <f>VLOOKUP($A96,'Table 17 data'!$A$9:$S$186,'Table 16 data'!$D$174+'Table 17 data'!G$4,0)</f>
        <v>58.9</v>
      </c>
      <c r="H96" s="230">
        <f>VLOOKUP($A96,'Table 17 data'!$A$9:$S$186,'Table 16 data'!$D$174+'Table 17 data'!H$4,0)</f>
        <v>59.3</v>
      </c>
      <c r="I96" s="230">
        <f>VLOOKUP($A96,'Table 17 data'!$A$9:$S$186,'Table 16 data'!$D$174+'Table 17 data'!I$4,0)</f>
        <v>57.5</v>
      </c>
      <c r="J96" s="230">
        <f>VLOOKUP($A96,'Table 17 data'!$A$9:$S$186,'Table 16 data'!$D$174+'Table 17 data'!J$4,0)</f>
        <v>61</v>
      </c>
    </row>
    <row r="97" spans="1:10" ht="11.25" customHeight="1" x14ac:dyDescent="0.2">
      <c r="A97" s="24" t="s">
        <v>171</v>
      </c>
      <c r="B97" s="126" t="s">
        <v>172</v>
      </c>
      <c r="C97" s="230" t="str">
        <f>VLOOKUP($A97,'Table 17 data'!$A$9:$S$186,'Table 16 data'!$D$174+'Table 17 data'!C$4,0)</f>
        <v>.</v>
      </c>
      <c r="D97" s="230" t="str">
        <f>VLOOKUP($A97,'Table 17 data'!$A$9:$S$186,'Table 16 data'!$D$174+'Table 17 data'!D$4,0)</f>
        <v>.</v>
      </c>
      <c r="E97" s="230" t="str">
        <f>VLOOKUP($A97,'Table 17 data'!$A$9:$S$186,'Table 16 data'!$D$174+'Table 17 data'!E$4,0)</f>
        <v>.</v>
      </c>
      <c r="F97" s="230">
        <f>VLOOKUP($A97,'Table 17 data'!$A$9:$S$186,'Table 16 data'!$D$174+'Table 17 data'!F$4,0)</f>
        <v>50</v>
      </c>
      <c r="G97" s="230">
        <f>VLOOKUP($A97,'Table 17 data'!$A$9:$S$186,'Table 16 data'!$D$174+'Table 17 data'!G$4,0)</f>
        <v>54.2</v>
      </c>
      <c r="H97" s="230">
        <f>VLOOKUP($A97,'Table 17 data'!$A$9:$S$186,'Table 16 data'!$D$174+'Table 17 data'!H$4,0)</f>
        <v>59.4</v>
      </c>
      <c r="I97" s="230">
        <f>VLOOKUP($A97,'Table 17 data'!$A$9:$S$186,'Table 16 data'!$D$174+'Table 17 data'!I$4,0)</f>
        <v>57.6</v>
      </c>
      <c r="J97" s="230">
        <f>VLOOKUP($A97,'Table 17 data'!$A$9:$S$186,'Table 16 data'!$D$174+'Table 17 data'!J$4,0)</f>
        <v>57.7</v>
      </c>
    </row>
    <row r="98" spans="1:10" ht="11.25" customHeight="1" x14ac:dyDescent="0.2">
      <c r="A98" s="24" t="s">
        <v>173</v>
      </c>
      <c r="B98" s="126" t="s">
        <v>174</v>
      </c>
      <c r="C98" s="230">
        <f>VLOOKUP($A98,'Table 17 data'!$A$9:$S$186,'Table 16 data'!$D$174+'Table 17 data'!C$4,0)</f>
        <v>45.2</v>
      </c>
      <c r="D98" s="230">
        <f>VLOOKUP($A98,'Table 17 data'!$A$9:$S$186,'Table 16 data'!$D$174+'Table 17 data'!D$4,0)</f>
        <v>47.2</v>
      </c>
      <c r="E98" s="230">
        <f>VLOOKUP($A98,'Table 17 data'!$A$9:$S$186,'Table 16 data'!$D$174+'Table 17 data'!E$4,0)</f>
        <v>49</v>
      </c>
      <c r="F98" s="230">
        <f>VLOOKUP($A98,'Table 17 data'!$A$9:$S$186,'Table 16 data'!$D$174+'Table 17 data'!F$4,0)</f>
        <v>50.2</v>
      </c>
      <c r="G98" s="230">
        <f>VLOOKUP($A98,'Table 17 data'!$A$9:$S$186,'Table 16 data'!$D$174+'Table 17 data'!G$4,0)</f>
        <v>54.6</v>
      </c>
      <c r="H98" s="230">
        <f>VLOOKUP($A98,'Table 17 data'!$A$9:$S$186,'Table 16 data'!$D$174+'Table 17 data'!H$4,0)</f>
        <v>58.2</v>
      </c>
      <c r="I98" s="230">
        <f>VLOOKUP($A98,'Table 17 data'!$A$9:$S$186,'Table 16 data'!$D$174+'Table 17 data'!I$4,0)</f>
        <v>59</v>
      </c>
      <c r="J98" s="230">
        <f>VLOOKUP($A98,'Table 17 data'!$A$9:$S$186,'Table 16 data'!$D$174+'Table 17 data'!J$4,0)</f>
        <v>60.5</v>
      </c>
    </row>
    <row r="99" spans="1:10" ht="11.25" customHeight="1" x14ac:dyDescent="0.2">
      <c r="A99" s="25" t="s">
        <v>175</v>
      </c>
      <c r="B99" s="126" t="s">
        <v>176</v>
      </c>
      <c r="C99" s="230">
        <f>VLOOKUP($A99,'Table 17 data'!$A$9:$S$186,'Table 16 data'!$D$174+'Table 17 data'!C$4,0)</f>
        <v>53.7</v>
      </c>
      <c r="D99" s="230">
        <f>VLOOKUP($A99,'Table 17 data'!$A$9:$S$186,'Table 16 data'!$D$174+'Table 17 data'!D$4,0)</f>
        <v>55.9</v>
      </c>
      <c r="E99" s="230">
        <f>VLOOKUP($A99,'Table 17 data'!$A$9:$S$186,'Table 16 data'!$D$174+'Table 17 data'!E$4,0)</f>
        <v>58.1</v>
      </c>
      <c r="F99" s="230">
        <f>VLOOKUP($A99,'Table 17 data'!$A$9:$S$186,'Table 16 data'!$D$174+'Table 17 data'!F$4,0)</f>
        <v>59.3</v>
      </c>
      <c r="G99" s="230">
        <f>VLOOKUP($A99,'Table 17 data'!$A$9:$S$186,'Table 16 data'!$D$174+'Table 17 data'!G$4,0)</f>
        <v>64.099999999999994</v>
      </c>
      <c r="H99" s="230">
        <f>VLOOKUP($A99,'Table 17 data'!$A$9:$S$186,'Table 16 data'!$D$174+'Table 17 data'!H$4,0)</f>
        <v>66.900000000000006</v>
      </c>
      <c r="I99" s="230">
        <f>VLOOKUP($A99,'Table 17 data'!$A$9:$S$186,'Table 16 data'!$D$174+'Table 17 data'!I$4,0)</f>
        <v>65.8</v>
      </c>
      <c r="J99" s="230">
        <f>VLOOKUP($A99,'Table 17 data'!$A$9:$S$186,'Table 16 data'!$D$174+'Table 17 data'!J$4,0)</f>
        <v>66.3</v>
      </c>
    </row>
    <row r="100" spans="1:10" ht="11.25" customHeight="1" x14ac:dyDescent="0.2">
      <c r="A100" s="26" t="s">
        <v>177</v>
      </c>
      <c r="B100" s="126" t="s">
        <v>178</v>
      </c>
      <c r="C100" s="230">
        <f>VLOOKUP($A100,'Table 17 data'!$A$9:$S$186,'Table 16 data'!$D$174+'Table 17 data'!C$4,0)</f>
        <v>36.5</v>
      </c>
      <c r="D100" s="230">
        <f>VLOOKUP($A100,'Table 17 data'!$A$9:$S$186,'Table 16 data'!$D$174+'Table 17 data'!D$4,0)</f>
        <v>40.700000000000003</v>
      </c>
      <c r="E100" s="230">
        <f>VLOOKUP($A100,'Table 17 data'!$A$9:$S$186,'Table 16 data'!$D$174+'Table 17 data'!E$4,0)</f>
        <v>45.3</v>
      </c>
      <c r="F100" s="230">
        <f>VLOOKUP($A100,'Table 17 data'!$A$9:$S$186,'Table 16 data'!$D$174+'Table 17 data'!F$4,0)</f>
        <v>46.2</v>
      </c>
      <c r="G100" s="230">
        <f>VLOOKUP($A100,'Table 17 data'!$A$9:$S$186,'Table 16 data'!$D$174+'Table 17 data'!G$4,0)</f>
        <v>52.2</v>
      </c>
      <c r="H100" s="230">
        <f>VLOOKUP($A100,'Table 17 data'!$A$9:$S$186,'Table 16 data'!$D$174+'Table 17 data'!H$4,0)</f>
        <v>56.7</v>
      </c>
      <c r="I100" s="230">
        <f>VLOOKUP($A100,'Table 17 data'!$A$9:$S$186,'Table 16 data'!$D$174+'Table 17 data'!I$4,0)</f>
        <v>57.7</v>
      </c>
      <c r="J100" s="230">
        <f>VLOOKUP($A100,'Table 17 data'!$A$9:$S$186,'Table 16 data'!$D$174+'Table 17 data'!J$4,0)</f>
        <v>58.7</v>
      </c>
    </row>
    <row r="101" spans="1:10" ht="11.25" customHeight="1" x14ac:dyDescent="0.2">
      <c r="A101" s="25" t="s">
        <v>179</v>
      </c>
      <c r="B101" s="126" t="s">
        <v>180</v>
      </c>
      <c r="C101" s="230">
        <f>VLOOKUP($A101,'Table 17 data'!$A$9:$S$186,'Table 16 data'!$D$174+'Table 17 data'!C$4,0)</f>
        <v>44.5</v>
      </c>
      <c r="D101" s="230">
        <f>VLOOKUP($A101,'Table 17 data'!$A$9:$S$186,'Table 16 data'!$D$174+'Table 17 data'!D$4,0)</f>
        <v>45.2</v>
      </c>
      <c r="E101" s="230">
        <f>VLOOKUP($A101,'Table 17 data'!$A$9:$S$186,'Table 16 data'!$D$174+'Table 17 data'!E$4,0)</f>
        <v>47.9</v>
      </c>
      <c r="F101" s="230">
        <f>VLOOKUP($A101,'Table 17 data'!$A$9:$S$186,'Table 16 data'!$D$174+'Table 17 data'!F$4,0)</f>
        <v>50</v>
      </c>
      <c r="G101" s="230">
        <f>VLOOKUP($A101,'Table 17 data'!$A$9:$S$186,'Table 16 data'!$D$174+'Table 17 data'!G$4,0)</f>
        <v>52.3</v>
      </c>
      <c r="H101" s="230">
        <f>VLOOKUP($A101,'Table 17 data'!$A$9:$S$186,'Table 16 data'!$D$174+'Table 17 data'!H$4,0)</f>
        <v>55.4</v>
      </c>
      <c r="I101" s="230">
        <f>VLOOKUP($A101,'Table 17 data'!$A$9:$S$186,'Table 16 data'!$D$174+'Table 17 data'!I$4,0)</f>
        <v>55.6</v>
      </c>
      <c r="J101" s="230">
        <f>VLOOKUP($A101,'Table 17 data'!$A$9:$S$186,'Table 16 data'!$D$174+'Table 17 data'!J$4,0)</f>
        <v>54.4</v>
      </c>
    </row>
    <row r="102" spans="1:10" ht="11.25" customHeight="1" x14ac:dyDescent="0.2">
      <c r="A102" s="24" t="s">
        <v>181</v>
      </c>
      <c r="B102" s="126" t="s">
        <v>182</v>
      </c>
      <c r="C102" s="230">
        <f>VLOOKUP($A102,'Table 17 data'!$A$9:$S$186,'Table 16 data'!$D$174+'Table 17 data'!C$4,0)</f>
        <v>39.4</v>
      </c>
      <c r="D102" s="230">
        <f>VLOOKUP($A102,'Table 17 data'!$A$9:$S$186,'Table 16 data'!$D$174+'Table 17 data'!D$4,0)</f>
        <v>37.6</v>
      </c>
      <c r="E102" s="230">
        <f>VLOOKUP($A102,'Table 17 data'!$A$9:$S$186,'Table 16 data'!$D$174+'Table 17 data'!E$4,0)</f>
        <v>37.200000000000003</v>
      </c>
      <c r="F102" s="230">
        <f>VLOOKUP($A102,'Table 17 data'!$A$9:$S$186,'Table 16 data'!$D$174+'Table 17 data'!F$4,0)</f>
        <v>40.6</v>
      </c>
      <c r="G102" s="230">
        <f>VLOOKUP($A102,'Table 17 data'!$A$9:$S$186,'Table 16 data'!$D$174+'Table 17 data'!G$4,0)</f>
        <v>45.5</v>
      </c>
      <c r="H102" s="230">
        <f>VLOOKUP($A102,'Table 17 data'!$A$9:$S$186,'Table 16 data'!$D$174+'Table 17 data'!H$4,0)</f>
        <v>49.4</v>
      </c>
      <c r="I102" s="230">
        <f>VLOOKUP($A102,'Table 17 data'!$A$9:$S$186,'Table 16 data'!$D$174+'Table 17 data'!I$4,0)</f>
        <v>49.3</v>
      </c>
      <c r="J102" s="230">
        <f>VLOOKUP($A102,'Table 17 data'!$A$9:$S$186,'Table 16 data'!$D$174+'Table 17 data'!J$4,0)</f>
        <v>56.2</v>
      </c>
    </row>
    <row r="103" spans="1:10" ht="11.25" customHeight="1" x14ac:dyDescent="0.2">
      <c r="A103" s="24" t="s">
        <v>183</v>
      </c>
      <c r="B103" s="126" t="s">
        <v>184</v>
      </c>
      <c r="C103" s="230">
        <f>VLOOKUP($A103,'Table 17 data'!$A$9:$S$186,'Table 16 data'!$D$174+'Table 17 data'!C$4,0)</f>
        <v>49.9</v>
      </c>
      <c r="D103" s="230">
        <f>VLOOKUP($A103,'Table 17 data'!$A$9:$S$186,'Table 16 data'!$D$174+'Table 17 data'!D$4,0)</f>
        <v>54.6</v>
      </c>
      <c r="E103" s="230">
        <f>VLOOKUP($A103,'Table 17 data'!$A$9:$S$186,'Table 16 data'!$D$174+'Table 17 data'!E$4,0)</f>
        <v>55</v>
      </c>
      <c r="F103" s="230">
        <f>VLOOKUP($A103,'Table 17 data'!$A$9:$S$186,'Table 16 data'!$D$174+'Table 17 data'!F$4,0)</f>
        <v>57.8</v>
      </c>
      <c r="G103" s="230">
        <f>VLOOKUP($A103,'Table 17 data'!$A$9:$S$186,'Table 16 data'!$D$174+'Table 17 data'!G$4,0)</f>
        <v>61.8</v>
      </c>
      <c r="H103" s="230">
        <f>VLOOKUP($A103,'Table 17 data'!$A$9:$S$186,'Table 16 data'!$D$174+'Table 17 data'!H$4,0)</f>
        <v>65</v>
      </c>
      <c r="I103" s="230">
        <f>VLOOKUP($A103,'Table 17 data'!$A$9:$S$186,'Table 16 data'!$D$174+'Table 17 data'!I$4,0)</f>
        <v>61.8</v>
      </c>
      <c r="J103" s="230">
        <f>VLOOKUP($A103,'Table 17 data'!$A$9:$S$186,'Table 16 data'!$D$174+'Table 17 data'!J$4,0)</f>
        <v>61.9</v>
      </c>
    </row>
    <row r="104" spans="1:10" s="3" customFormat="1" ht="11.25" customHeight="1" x14ac:dyDescent="0.2">
      <c r="A104" s="25" t="s">
        <v>185</v>
      </c>
      <c r="B104" s="126" t="s">
        <v>186</v>
      </c>
      <c r="C104" s="230">
        <f>VLOOKUP($A104,'Table 17 data'!$A$9:$S$186,'Table 16 data'!$D$174+'Table 17 data'!C$4,0)</f>
        <v>45.9</v>
      </c>
      <c r="D104" s="230">
        <f>VLOOKUP($A104,'Table 17 data'!$A$9:$S$186,'Table 16 data'!$D$174+'Table 17 data'!D$4,0)</f>
        <v>47.3</v>
      </c>
      <c r="E104" s="230">
        <f>VLOOKUP($A104,'Table 17 data'!$A$9:$S$186,'Table 16 data'!$D$174+'Table 17 data'!E$4,0)</f>
        <v>46.6</v>
      </c>
      <c r="F104" s="230">
        <f>VLOOKUP($A104,'Table 17 data'!$A$9:$S$186,'Table 16 data'!$D$174+'Table 17 data'!F$4,0)</f>
        <v>48.7</v>
      </c>
      <c r="G104" s="230">
        <f>VLOOKUP($A104,'Table 17 data'!$A$9:$S$186,'Table 16 data'!$D$174+'Table 17 data'!G$4,0)</f>
        <v>51.8</v>
      </c>
      <c r="H104" s="230">
        <f>VLOOKUP($A104,'Table 17 data'!$A$9:$S$186,'Table 16 data'!$D$174+'Table 17 data'!H$4,0)</f>
        <v>54.7</v>
      </c>
      <c r="I104" s="230">
        <f>VLOOKUP($A104,'Table 17 data'!$A$9:$S$186,'Table 16 data'!$D$174+'Table 17 data'!I$4,0)</f>
        <v>50.5</v>
      </c>
      <c r="J104" s="230">
        <f>VLOOKUP($A104,'Table 17 data'!$A$9:$S$186,'Table 16 data'!$D$174+'Table 17 data'!J$4,0)</f>
        <v>54.6</v>
      </c>
    </row>
    <row r="105" spans="1:10" s="51" customFormat="1" ht="11.25" customHeight="1" x14ac:dyDescent="0.2">
      <c r="A105" s="24" t="s">
        <v>187</v>
      </c>
      <c r="B105" s="126" t="s">
        <v>188</v>
      </c>
      <c r="C105" s="230">
        <f>VLOOKUP($A105,'Table 17 data'!$A$9:$S$186,'Table 16 data'!$D$174+'Table 17 data'!C$4,0)</f>
        <v>38.5</v>
      </c>
      <c r="D105" s="230">
        <f>VLOOKUP($A105,'Table 17 data'!$A$9:$S$186,'Table 16 data'!$D$174+'Table 17 data'!D$4,0)</f>
        <v>39.799999999999997</v>
      </c>
      <c r="E105" s="230">
        <f>VLOOKUP($A105,'Table 17 data'!$A$9:$S$186,'Table 16 data'!$D$174+'Table 17 data'!E$4,0)</f>
        <v>42.6</v>
      </c>
      <c r="F105" s="230">
        <f>VLOOKUP($A105,'Table 17 data'!$A$9:$S$186,'Table 16 data'!$D$174+'Table 17 data'!F$4,0)</f>
        <v>46.6</v>
      </c>
      <c r="G105" s="230">
        <f>VLOOKUP($A105,'Table 17 data'!$A$9:$S$186,'Table 16 data'!$D$174+'Table 17 data'!G$4,0)</f>
        <v>56.8</v>
      </c>
      <c r="H105" s="230">
        <f>VLOOKUP($A105,'Table 17 data'!$A$9:$S$186,'Table 16 data'!$D$174+'Table 17 data'!H$4,0)</f>
        <v>60.1</v>
      </c>
      <c r="I105" s="230">
        <f>VLOOKUP($A105,'Table 17 data'!$A$9:$S$186,'Table 16 data'!$D$174+'Table 17 data'!I$4,0)</f>
        <v>59.2</v>
      </c>
      <c r="J105" s="230">
        <f>VLOOKUP($A105,'Table 17 data'!$A$9:$S$186,'Table 16 data'!$D$174+'Table 17 data'!J$4,0)</f>
        <v>59.5</v>
      </c>
    </row>
    <row r="106" spans="1:10" s="51" customFormat="1" ht="11.25" customHeight="1" x14ac:dyDescent="0.2">
      <c r="A106" s="3"/>
      <c r="B106" s="27"/>
      <c r="C106" s="231"/>
      <c r="D106" s="231"/>
      <c r="E106" s="235"/>
      <c r="F106" s="236"/>
      <c r="G106" s="236"/>
      <c r="H106" s="236"/>
      <c r="I106" s="237"/>
      <c r="J106" s="239"/>
    </row>
    <row r="107" spans="1:10" s="51" customFormat="1" ht="11.25" customHeight="1" x14ac:dyDescent="0.2">
      <c r="A107" s="17" t="s">
        <v>384</v>
      </c>
      <c r="B107" s="16" t="s">
        <v>189</v>
      </c>
      <c r="C107" s="229">
        <f>VLOOKUP($A107,'Table 17 data'!$A$9:$S$186,'Table 16 data'!$D$174+'Table 17 data'!C$4,0)</f>
        <v>45.8</v>
      </c>
      <c r="D107" s="229">
        <f>VLOOKUP($A107,'Table 17 data'!$A$9:$S$186,'Table 16 data'!$D$174+'Table 17 data'!D$4,0)</f>
        <v>48</v>
      </c>
      <c r="E107" s="229">
        <f>VLOOKUP($A107,'Table 17 data'!$A$9:$S$186,'Table 16 data'!$D$174+'Table 17 data'!E$4,0)</f>
        <v>50.7</v>
      </c>
      <c r="F107" s="229">
        <f>VLOOKUP($A107,'Table 17 data'!$A$9:$S$186,'Table 16 data'!$D$174+'Table 17 data'!F$4,0)</f>
        <v>54</v>
      </c>
      <c r="G107" s="229">
        <f>VLOOKUP($A107,'Table 17 data'!$A$9:$S$186,'Table 16 data'!$D$174+'Table 17 data'!G$4,0)</f>
        <v>58</v>
      </c>
      <c r="H107" s="229">
        <f>VLOOKUP($A107,'Table 17 data'!$A$9:$S$186,'Table 16 data'!$D$174+'Table 17 data'!H$4,0)</f>
        <v>61.9</v>
      </c>
      <c r="I107" s="229">
        <f>VLOOKUP($A107,'Table 17 data'!$A$9:$S$186,'Table 16 data'!$D$174+'Table 17 data'!I$4,0)</f>
        <v>62.4</v>
      </c>
      <c r="J107" s="229">
        <f>VLOOKUP($A107,'Table 17 data'!$A$9:$S$186,'Table 16 data'!$D$174+'Table 17 data'!J$4,0)</f>
        <v>65.099999999999994</v>
      </c>
    </row>
    <row r="108" spans="1:10" ht="11.25" customHeight="1" x14ac:dyDescent="0.2">
      <c r="A108" s="16" t="s">
        <v>190</v>
      </c>
      <c r="B108" s="16" t="s">
        <v>191</v>
      </c>
      <c r="C108" s="229">
        <f>VLOOKUP($A108,'Table 17 data'!$A$9:$S$186,'Table 16 data'!$D$174+'Table 17 data'!C$4,0)</f>
        <v>39.299999999999997</v>
      </c>
      <c r="D108" s="229">
        <f>VLOOKUP($A108,'Table 17 data'!$A$9:$S$186,'Table 16 data'!$D$174+'Table 17 data'!D$4,0)</f>
        <v>42.4</v>
      </c>
      <c r="E108" s="229">
        <f>VLOOKUP($A108,'Table 17 data'!$A$9:$S$186,'Table 16 data'!$D$174+'Table 17 data'!E$4,0)</f>
        <v>45.5</v>
      </c>
      <c r="F108" s="229">
        <f>VLOOKUP($A108,'Table 17 data'!$A$9:$S$186,'Table 16 data'!$D$174+'Table 17 data'!F$4,0)</f>
        <v>49.6</v>
      </c>
      <c r="G108" s="229">
        <f>VLOOKUP($A108,'Table 17 data'!$A$9:$S$186,'Table 16 data'!$D$174+'Table 17 data'!G$4,0)</f>
        <v>54.2</v>
      </c>
      <c r="H108" s="229">
        <f>VLOOKUP($A108,'Table 17 data'!$A$9:$S$186,'Table 16 data'!$D$174+'Table 17 data'!H$4,0)</f>
        <v>59.6</v>
      </c>
      <c r="I108" s="229">
        <f>VLOOKUP($A108,'Table 17 data'!$A$9:$S$186,'Table 16 data'!$D$174+'Table 17 data'!I$4,0)</f>
        <v>60.8</v>
      </c>
      <c r="J108" s="229">
        <f>VLOOKUP($A108,'Table 17 data'!$A$9:$S$186,'Table 16 data'!$D$174+'Table 17 data'!J$4,0)</f>
        <v>63.1</v>
      </c>
    </row>
    <row r="109" spans="1:10" ht="11.25" customHeight="1" x14ac:dyDescent="0.2">
      <c r="A109" s="26" t="s">
        <v>192</v>
      </c>
      <c r="B109" s="126" t="s">
        <v>193</v>
      </c>
      <c r="C109" s="230">
        <f>VLOOKUP($A109,'Table 17 data'!$A$9:$S$186,'Table 16 data'!$D$174+'Table 17 data'!C$4,0)</f>
        <v>45.7</v>
      </c>
      <c r="D109" s="230">
        <f>VLOOKUP($A109,'Table 17 data'!$A$9:$S$186,'Table 16 data'!$D$174+'Table 17 data'!D$4,0)</f>
        <v>45.6</v>
      </c>
      <c r="E109" s="230">
        <f>VLOOKUP($A109,'Table 17 data'!$A$9:$S$186,'Table 16 data'!$D$174+'Table 17 data'!E$4,0)</f>
        <v>45.8</v>
      </c>
      <c r="F109" s="230">
        <f>VLOOKUP($A109,'Table 17 data'!$A$9:$S$186,'Table 16 data'!$D$174+'Table 17 data'!F$4,0)</f>
        <v>51.1</v>
      </c>
      <c r="G109" s="230">
        <f>VLOOKUP($A109,'Table 17 data'!$A$9:$S$186,'Table 16 data'!$D$174+'Table 17 data'!G$4,0)</f>
        <v>53.1</v>
      </c>
      <c r="H109" s="230">
        <f>VLOOKUP($A109,'Table 17 data'!$A$9:$S$186,'Table 16 data'!$D$174+'Table 17 data'!H$4,0)</f>
        <v>60.2</v>
      </c>
      <c r="I109" s="230">
        <f>VLOOKUP($A109,'Table 17 data'!$A$9:$S$186,'Table 16 data'!$D$174+'Table 17 data'!I$4,0)</f>
        <v>59</v>
      </c>
      <c r="J109" s="230">
        <f>VLOOKUP($A109,'Table 17 data'!$A$9:$S$186,'Table 16 data'!$D$174+'Table 17 data'!J$4,0)</f>
        <v>60.4</v>
      </c>
    </row>
    <row r="110" spans="1:10" ht="11.25" customHeight="1" x14ac:dyDescent="0.2">
      <c r="A110" s="26" t="s">
        <v>194</v>
      </c>
      <c r="B110" s="143" t="s">
        <v>195</v>
      </c>
      <c r="C110" s="230" t="str">
        <f>VLOOKUP($A110,'Table 17 data'!$A$9:$S$186,'Table 16 data'!$D$174+'Table 17 data'!C$4,0)</f>
        <v>.</v>
      </c>
      <c r="D110" s="230" t="str">
        <f>VLOOKUP($A110,'Table 17 data'!$A$9:$S$186,'Table 16 data'!$D$174+'Table 17 data'!D$4,0)</f>
        <v>.</v>
      </c>
      <c r="E110" s="230" t="str">
        <f>VLOOKUP($A110,'Table 17 data'!$A$9:$S$186,'Table 16 data'!$D$174+'Table 17 data'!E$4,0)</f>
        <v>.</v>
      </c>
      <c r="F110" s="230" t="str">
        <f>VLOOKUP($A110,'Table 17 data'!$A$9:$S$186,'Table 16 data'!$D$174+'Table 17 data'!F$4,0)</f>
        <v>.</v>
      </c>
      <c r="G110" s="230" t="str">
        <f>VLOOKUP($A110,'Table 17 data'!$A$9:$S$186,'Table 16 data'!$D$174+'Table 17 data'!G$4,0)</f>
        <v>.</v>
      </c>
      <c r="H110" s="230" t="str">
        <f>VLOOKUP($A110,'Table 17 data'!$A$9:$S$186,'Table 16 data'!$D$174+'Table 17 data'!H$4,0)</f>
        <v>.</v>
      </c>
      <c r="I110" s="230" t="str">
        <f>VLOOKUP($A110,'Table 17 data'!$A$9:$S$186,'Table 16 data'!$D$174+'Table 17 data'!I$4,0)</f>
        <v>.</v>
      </c>
      <c r="J110" s="230" t="str">
        <f>VLOOKUP($A110,'Table 17 data'!$A$9:$S$186,'Table 16 data'!$D$174+'Table 17 data'!J$4,0)</f>
        <v>.</v>
      </c>
    </row>
    <row r="111" spans="1:10" ht="11.25" customHeight="1" x14ac:dyDescent="0.2">
      <c r="A111" s="25" t="s">
        <v>197</v>
      </c>
      <c r="B111" s="126" t="s">
        <v>198</v>
      </c>
      <c r="C111" s="230">
        <f>VLOOKUP($A111,'Table 17 data'!$A$9:$S$186,'Table 16 data'!$D$174+'Table 17 data'!C$4,0)</f>
        <v>36.700000000000003</v>
      </c>
      <c r="D111" s="230">
        <f>VLOOKUP($A111,'Table 17 data'!$A$9:$S$186,'Table 16 data'!$D$174+'Table 17 data'!D$4,0)</f>
        <v>41.9</v>
      </c>
      <c r="E111" s="230">
        <f>VLOOKUP($A111,'Table 17 data'!$A$9:$S$186,'Table 16 data'!$D$174+'Table 17 data'!E$4,0)</f>
        <v>42.6</v>
      </c>
      <c r="F111" s="230">
        <f>VLOOKUP($A111,'Table 17 data'!$A$9:$S$186,'Table 16 data'!$D$174+'Table 17 data'!F$4,0)</f>
        <v>52.2</v>
      </c>
      <c r="G111" s="230">
        <f>VLOOKUP($A111,'Table 17 data'!$A$9:$S$186,'Table 16 data'!$D$174+'Table 17 data'!G$4,0)</f>
        <v>55.3</v>
      </c>
      <c r="H111" s="230">
        <f>VLOOKUP($A111,'Table 17 data'!$A$9:$S$186,'Table 16 data'!$D$174+'Table 17 data'!H$4,0)</f>
        <v>57</v>
      </c>
      <c r="I111" s="230">
        <f>VLOOKUP($A111,'Table 17 data'!$A$9:$S$186,'Table 16 data'!$D$174+'Table 17 data'!I$4,0)</f>
        <v>60.2</v>
      </c>
      <c r="J111" s="230">
        <f>VLOOKUP($A111,'Table 17 data'!$A$9:$S$186,'Table 16 data'!$D$174+'Table 17 data'!J$4,0)</f>
        <v>61.2</v>
      </c>
    </row>
    <row r="112" spans="1:10" ht="11.25" customHeight="1" x14ac:dyDescent="0.2">
      <c r="A112" s="26" t="s">
        <v>199</v>
      </c>
      <c r="B112" s="126" t="s">
        <v>200</v>
      </c>
      <c r="C112" s="230">
        <f>VLOOKUP($A112,'Table 17 data'!$A$9:$S$186,'Table 16 data'!$D$174+'Table 17 data'!C$4,0)</f>
        <v>49</v>
      </c>
      <c r="D112" s="230">
        <f>VLOOKUP($A112,'Table 17 data'!$A$9:$S$186,'Table 16 data'!$D$174+'Table 17 data'!D$4,0)</f>
        <v>58</v>
      </c>
      <c r="E112" s="230">
        <f>VLOOKUP($A112,'Table 17 data'!$A$9:$S$186,'Table 16 data'!$D$174+'Table 17 data'!E$4,0)</f>
        <v>55.6</v>
      </c>
      <c r="F112" s="230">
        <f>VLOOKUP($A112,'Table 17 data'!$A$9:$S$186,'Table 16 data'!$D$174+'Table 17 data'!F$4,0)</f>
        <v>64.099999999999994</v>
      </c>
      <c r="G112" s="230">
        <f>VLOOKUP($A112,'Table 17 data'!$A$9:$S$186,'Table 16 data'!$D$174+'Table 17 data'!G$4,0)</f>
        <v>68.2</v>
      </c>
      <c r="H112" s="230">
        <f>VLOOKUP($A112,'Table 17 data'!$A$9:$S$186,'Table 16 data'!$D$174+'Table 17 data'!H$4,0)</f>
        <v>71.3</v>
      </c>
      <c r="I112" s="230">
        <f>VLOOKUP($A112,'Table 17 data'!$A$9:$S$186,'Table 16 data'!$D$174+'Table 17 data'!I$4,0)</f>
        <v>65.599999999999994</v>
      </c>
      <c r="J112" s="230">
        <f>VLOOKUP($A112,'Table 17 data'!$A$9:$S$186,'Table 16 data'!$D$174+'Table 17 data'!J$4,0)</f>
        <v>66.5</v>
      </c>
    </row>
    <row r="113" spans="1:10" ht="11.25" customHeight="1" x14ac:dyDescent="0.2">
      <c r="A113" s="25" t="s">
        <v>201</v>
      </c>
      <c r="B113" s="126" t="s">
        <v>202</v>
      </c>
      <c r="C113" s="230">
        <f>VLOOKUP($A113,'Table 17 data'!$A$9:$S$186,'Table 16 data'!$D$174+'Table 17 data'!C$4,0)</f>
        <v>34.299999999999997</v>
      </c>
      <c r="D113" s="230">
        <f>VLOOKUP($A113,'Table 17 data'!$A$9:$S$186,'Table 16 data'!$D$174+'Table 17 data'!D$4,0)</f>
        <v>37.4</v>
      </c>
      <c r="E113" s="230">
        <f>VLOOKUP($A113,'Table 17 data'!$A$9:$S$186,'Table 16 data'!$D$174+'Table 17 data'!E$4,0)</f>
        <v>42.1</v>
      </c>
      <c r="F113" s="230">
        <f>VLOOKUP($A113,'Table 17 data'!$A$9:$S$186,'Table 16 data'!$D$174+'Table 17 data'!F$4,0)</f>
        <v>45.7</v>
      </c>
      <c r="G113" s="230">
        <f>VLOOKUP($A113,'Table 17 data'!$A$9:$S$186,'Table 16 data'!$D$174+'Table 17 data'!G$4,0)</f>
        <v>48</v>
      </c>
      <c r="H113" s="230">
        <f>VLOOKUP($A113,'Table 17 data'!$A$9:$S$186,'Table 16 data'!$D$174+'Table 17 data'!H$4,0)</f>
        <v>57.3</v>
      </c>
      <c r="I113" s="230">
        <f>VLOOKUP($A113,'Table 17 data'!$A$9:$S$186,'Table 16 data'!$D$174+'Table 17 data'!I$4,0)</f>
        <v>58.6</v>
      </c>
      <c r="J113" s="230">
        <f>VLOOKUP($A113,'Table 17 data'!$A$9:$S$186,'Table 16 data'!$D$174+'Table 17 data'!J$4,0)</f>
        <v>63.5</v>
      </c>
    </row>
    <row r="114" spans="1:10" ht="12.75" customHeight="1" x14ac:dyDescent="0.2">
      <c r="A114" s="25" t="s">
        <v>203</v>
      </c>
      <c r="B114" s="126" t="s">
        <v>204</v>
      </c>
      <c r="C114" s="230">
        <f>VLOOKUP($A114,'Table 17 data'!$A$9:$S$186,'Table 16 data'!$D$174+'Table 17 data'!C$4,0)</f>
        <v>32.799999999999997</v>
      </c>
      <c r="D114" s="230">
        <f>VLOOKUP($A114,'Table 17 data'!$A$9:$S$186,'Table 16 data'!$D$174+'Table 17 data'!D$4,0)</f>
        <v>37.4</v>
      </c>
      <c r="E114" s="230">
        <f>VLOOKUP($A114,'Table 17 data'!$A$9:$S$186,'Table 16 data'!$D$174+'Table 17 data'!E$4,0)</f>
        <v>38.9</v>
      </c>
      <c r="F114" s="230">
        <f>VLOOKUP($A114,'Table 17 data'!$A$9:$S$186,'Table 16 data'!$D$174+'Table 17 data'!F$4,0)</f>
        <v>45</v>
      </c>
      <c r="G114" s="230">
        <f>VLOOKUP($A114,'Table 17 data'!$A$9:$S$186,'Table 16 data'!$D$174+'Table 17 data'!G$4,0)</f>
        <v>50</v>
      </c>
      <c r="H114" s="230">
        <f>VLOOKUP($A114,'Table 17 data'!$A$9:$S$186,'Table 16 data'!$D$174+'Table 17 data'!H$4,0)</f>
        <v>49.4</v>
      </c>
      <c r="I114" s="230">
        <f>VLOOKUP($A114,'Table 17 data'!$A$9:$S$186,'Table 16 data'!$D$174+'Table 17 data'!I$4,0)</f>
        <v>53.7</v>
      </c>
      <c r="J114" s="230">
        <f>VLOOKUP($A114,'Table 17 data'!$A$9:$S$186,'Table 16 data'!$D$174+'Table 17 data'!J$4,0)</f>
        <v>63.5</v>
      </c>
    </row>
    <row r="115" spans="1:10" ht="11.25" customHeight="1" x14ac:dyDescent="0.2">
      <c r="A115" s="25" t="s">
        <v>205</v>
      </c>
      <c r="B115" s="126" t="s">
        <v>206</v>
      </c>
      <c r="C115" s="230">
        <f>VLOOKUP($A115,'Table 17 data'!$A$9:$S$186,'Table 16 data'!$D$174+'Table 17 data'!C$4,0)</f>
        <v>54.3</v>
      </c>
      <c r="D115" s="230">
        <f>VLOOKUP($A115,'Table 17 data'!$A$9:$S$186,'Table 16 data'!$D$174+'Table 17 data'!D$4,0)</f>
        <v>56.6</v>
      </c>
      <c r="E115" s="230">
        <f>VLOOKUP($A115,'Table 17 data'!$A$9:$S$186,'Table 16 data'!$D$174+'Table 17 data'!E$4,0)</f>
        <v>59.9</v>
      </c>
      <c r="F115" s="230">
        <f>VLOOKUP($A115,'Table 17 data'!$A$9:$S$186,'Table 16 data'!$D$174+'Table 17 data'!F$4,0)</f>
        <v>66.099999999999994</v>
      </c>
      <c r="G115" s="230">
        <f>VLOOKUP($A115,'Table 17 data'!$A$9:$S$186,'Table 16 data'!$D$174+'Table 17 data'!G$4,0)</f>
        <v>71.3</v>
      </c>
      <c r="H115" s="230">
        <f>VLOOKUP($A115,'Table 17 data'!$A$9:$S$186,'Table 16 data'!$D$174+'Table 17 data'!H$4,0)</f>
        <v>73.099999999999994</v>
      </c>
      <c r="I115" s="230">
        <f>VLOOKUP($A115,'Table 17 data'!$A$9:$S$186,'Table 16 data'!$D$174+'Table 17 data'!I$4,0)</f>
        <v>79.599999999999994</v>
      </c>
      <c r="J115" s="230">
        <f>VLOOKUP($A115,'Table 17 data'!$A$9:$S$186,'Table 16 data'!$D$174+'Table 17 data'!J$4,0)</f>
        <v>80.2</v>
      </c>
    </row>
    <row r="116" spans="1:10" ht="11.25" customHeight="1" x14ac:dyDescent="0.2">
      <c r="A116" s="25" t="s">
        <v>207</v>
      </c>
      <c r="B116" s="126" t="s">
        <v>208</v>
      </c>
      <c r="C116" s="230">
        <f>VLOOKUP($A116,'Table 17 data'!$A$9:$S$186,'Table 16 data'!$D$174+'Table 17 data'!C$4,0)</f>
        <v>41.7</v>
      </c>
      <c r="D116" s="230">
        <f>VLOOKUP($A116,'Table 17 data'!$A$9:$S$186,'Table 16 data'!$D$174+'Table 17 data'!D$4,0)</f>
        <v>41.4</v>
      </c>
      <c r="E116" s="230">
        <f>VLOOKUP($A116,'Table 17 data'!$A$9:$S$186,'Table 16 data'!$D$174+'Table 17 data'!E$4,0)</f>
        <v>47.1</v>
      </c>
      <c r="F116" s="230">
        <f>VLOOKUP($A116,'Table 17 data'!$A$9:$S$186,'Table 16 data'!$D$174+'Table 17 data'!F$4,0)</f>
        <v>53.5</v>
      </c>
      <c r="G116" s="230">
        <f>VLOOKUP($A116,'Table 17 data'!$A$9:$S$186,'Table 16 data'!$D$174+'Table 17 data'!G$4,0)</f>
        <v>53</v>
      </c>
      <c r="H116" s="230">
        <f>VLOOKUP($A116,'Table 17 data'!$A$9:$S$186,'Table 16 data'!$D$174+'Table 17 data'!H$4,0)</f>
        <v>61.1</v>
      </c>
      <c r="I116" s="230">
        <f>VLOOKUP($A116,'Table 17 data'!$A$9:$S$186,'Table 16 data'!$D$174+'Table 17 data'!I$4,0)</f>
        <v>62.8</v>
      </c>
      <c r="J116" s="230">
        <f>VLOOKUP($A116,'Table 17 data'!$A$9:$S$186,'Table 16 data'!$D$174+'Table 17 data'!J$4,0)</f>
        <v>65.900000000000006</v>
      </c>
    </row>
    <row r="117" spans="1:10" ht="11.25" customHeight="1" x14ac:dyDescent="0.2">
      <c r="A117" s="25" t="s">
        <v>209</v>
      </c>
      <c r="B117" s="126" t="s">
        <v>210</v>
      </c>
      <c r="C117" s="230">
        <f>VLOOKUP($A117,'Table 17 data'!$A$9:$S$186,'Table 16 data'!$D$174+'Table 17 data'!C$4,0)</f>
        <v>40.799999999999997</v>
      </c>
      <c r="D117" s="230">
        <f>VLOOKUP($A117,'Table 17 data'!$A$9:$S$186,'Table 16 data'!$D$174+'Table 17 data'!D$4,0)</f>
        <v>40.4</v>
      </c>
      <c r="E117" s="230">
        <f>VLOOKUP($A117,'Table 17 data'!$A$9:$S$186,'Table 16 data'!$D$174+'Table 17 data'!E$4,0)</f>
        <v>45.9</v>
      </c>
      <c r="F117" s="230">
        <f>VLOOKUP($A117,'Table 17 data'!$A$9:$S$186,'Table 16 data'!$D$174+'Table 17 data'!F$4,0)</f>
        <v>47</v>
      </c>
      <c r="G117" s="230">
        <f>VLOOKUP($A117,'Table 17 data'!$A$9:$S$186,'Table 16 data'!$D$174+'Table 17 data'!G$4,0)</f>
        <v>48</v>
      </c>
      <c r="H117" s="230">
        <f>VLOOKUP($A117,'Table 17 data'!$A$9:$S$186,'Table 16 data'!$D$174+'Table 17 data'!H$4,0)</f>
        <v>56.1</v>
      </c>
      <c r="I117" s="230">
        <f>VLOOKUP($A117,'Table 17 data'!$A$9:$S$186,'Table 16 data'!$D$174+'Table 17 data'!I$4,0)</f>
        <v>56</v>
      </c>
      <c r="J117" s="230">
        <f>VLOOKUP($A117,'Table 17 data'!$A$9:$S$186,'Table 16 data'!$D$174+'Table 17 data'!J$4,0)</f>
        <v>58</v>
      </c>
    </row>
    <row r="118" spans="1:10" ht="11.25" customHeight="1" x14ac:dyDescent="0.2">
      <c r="A118" s="25" t="s">
        <v>211</v>
      </c>
      <c r="B118" s="126" t="s">
        <v>212</v>
      </c>
      <c r="C118" s="230">
        <f>VLOOKUP($A118,'Table 17 data'!$A$9:$S$186,'Table 16 data'!$D$174+'Table 17 data'!C$4,0)</f>
        <v>41.1</v>
      </c>
      <c r="D118" s="230">
        <f>VLOOKUP($A118,'Table 17 data'!$A$9:$S$186,'Table 16 data'!$D$174+'Table 17 data'!D$4,0)</f>
        <v>44</v>
      </c>
      <c r="E118" s="230">
        <f>VLOOKUP($A118,'Table 17 data'!$A$9:$S$186,'Table 16 data'!$D$174+'Table 17 data'!E$4,0)</f>
        <v>45.3</v>
      </c>
      <c r="F118" s="230">
        <f>VLOOKUP($A118,'Table 17 data'!$A$9:$S$186,'Table 16 data'!$D$174+'Table 17 data'!F$4,0)</f>
        <v>47.1</v>
      </c>
      <c r="G118" s="230">
        <f>VLOOKUP($A118,'Table 17 data'!$A$9:$S$186,'Table 16 data'!$D$174+'Table 17 data'!G$4,0)</f>
        <v>52.1</v>
      </c>
      <c r="H118" s="230">
        <f>VLOOKUP($A118,'Table 17 data'!$A$9:$S$186,'Table 16 data'!$D$174+'Table 17 data'!H$4,0)</f>
        <v>58.5</v>
      </c>
      <c r="I118" s="230">
        <f>VLOOKUP($A118,'Table 17 data'!$A$9:$S$186,'Table 16 data'!$D$174+'Table 17 data'!I$4,0)</f>
        <v>61.9</v>
      </c>
      <c r="J118" s="230">
        <f>VLOOKUP($A118,'Table 17 data'!$A$9:$S$186,'Table 16 data'!$D$174+'Table 17 data'!J$4,0)</f>
        <v>58.4</v>
      </c>
    </row>
    <row r="119" spans="1:10" ht="11.25" customHeight="1" x14ac:dyDescent="0.2">
      <c r="A119" s="25" t="s">
        <v>213</v>
      </c>
      <c r="B119" s="126" t="s">
        <v>214</v>
      </c>
      <c r="C119" s="230">
        <f>VLOOKUP($A119,'Table 17 data'!$A$9:$S$186,'Table 16 data'!$D$174+'Table 17 data'!C$4,0)</f>
        <v>34.4</v>
      </c>
      <c r="D119" s="230">
        <f>VLOOKUP($A119,'Table 17 data'!$A$9:$S$186,'Table 16 data'!$D$174+'Table 17 data'!D$4,0)</f>
        <v>38.4</v>
      </c>
      <c r="E119" s="230">
        <f>VLOOKUP($A119,'Table 17 data'!$A$9:$S$186,'Table 16 data'!$D$174+'Table 17 data'!E$4,0)</f>
        <v>42.7</v>
      </c>
      <c r="F119" s="230">
        <f>VLOOKUP($A119,'Table 17 data'!$A$9:$S$186,'Table 16 data'!$D$174+'Table 17 data'!F$4,0)</f>
        <v>46</v>
      </c>
      <c r="G119" s="230">
        <f>VLOOKUP($A119,'Table 17 data'!$A$9:$S$186,'Table 16 data'!$D$174+'Table 17 data'!G$4,0)</f>
        <v>56.1</v>
      </c>
      <c r="H119" s="230">
        <f>VLOOKUP($A119,'Table 17 data'!$A$9:$S$186,'Table 16 data'!$D$174+'Table 17 data'!H$4,0)</f>
        <v>58</v>
      </c>
      <c r="I119" s="230">
        <f>VLOOKUP($A119,'Table 17 data'!$A$9:$S$186,'Table 16 data'!$D$174+'Table 17 data'!I$4,0)</f>
        <v>58.8</v>
      </c>
      <c r="J119" s="230">
        <f>VLOOKUP($A119,'Table 17 data'!$A$9:$S$186,'Table 16 data'!$D$174+'Table 17 data'!J$4,0)</f>
        <v>65.2</v>
      </c>
    </row>
    <row r="120" spans="1:10" ht="11.25" customHeight="1" x14ac:dyDescent="0.2">
      <c r="A120" s="25" t="s">
        <v>215</v>
      </c>
      <c r="B120" s="126" t="s">
        <v>216</v>
      </c>
      <c r="C120" s="230">
        <f>VLOOKUP($A120,'Table 17 data'!$A$9:$S$186,'Table 16 data'!$D$174+'Table 17 data'!C$4,0)</f>
        <v>34</v>
      </c>
      <c r="D120" s="230">
        <f>VLOOKUP($A120,'Table 17 data'!$A$9:$S$186,'Table 16 data'!$D$174+'Table 17 data'!D$4,0)</f>
        <v>36.5</v>
      </c>
      <c r="E120" s="230">
        <f>VLOOKUP($A120,'Table 17 data'!$A$9:$S$186,'Table 16 data'!$D$174+'Table 17 data'!E$4,0)</f>
        <v>41.2</v>
      </c>
      <c r="F120" s="230">
        <f>VLOOKUP($A120,'Table 17 data'!$A$9:$S$186,'Table 16 data'!$D$174+'Table 17 data'!F$4,0)</f>
        <v>45.9</v>
      </c>
      <c r="G120" s="230">
        <f>VLOOKUP($A120,'Table 17 data'!$A$9:$S$186,'Table 16 data'!$D$174+'Table 17 data'!G$4,0)</f>
        <v>51.8</v>
      </c>
      <c r="H120" s="230">
        <f>VLOOKUP($A120,'Table 17 data'!$A$9:$S$186,'Table 16 data'!$D$174+'Table 17 data'!H$4,0)</f>
        <v>61.5</v>
      </c>
      <c r="I120" s="230">
        <f>VLOOKUP($A120,'Table 17 data'!$A$9:$S$186,'Table 16 data'!$D$174+'Table 17 data'!I$4,0)</f>
        <v>61.9</v>
      </c>
      <c r="J120" s="230">
        <f>VLOOKUP($A120,'Table 17 data'!$A$9:$S$186,'Table 16 data'!$D$174+'Table 17 data'!J$4,0)</f>
        <v>64.7</v>
      </c>
    </row>
    <row r="121" spans="1:10" ht="11.25" customHeight="1" x14ac:dyDescent="0.2">
      <c r="A121" s="25" t="s">
        <v>217</v>
      </c>
      <c r="B121" s="126" t="s">
        <v>218</v>
      </c>
      <c r="C121" s="230">
        <f>VLOOKUP($A121,'Table 17 data'!$A$9:$S$186,'Table 16 data'!$D$174+'Table 17 data'!C$4,0)</f>
        <v>41.8</v>
      </c>
      <c r="D121" s="230">
        <f>VLOOKUP($A121,'Table 17 data'!$A$9:$S$186,'Table 16 data'!$D$174+'Table 17 data'!D$4,0)</f>
        <v>46.9</v>
      </c>
      <c r="E121" s="230">
        <f>VLOOKUP($A121,'Table 17 data'!$A$9:$S$186,'Table 16 data'!$D$174+'Table 17 data'!E$4,0)</f>
        <v>50.1</v>
      </c>
      <c r="F121" s="230">
        <f>VLOOKUP($A121,'Table 17 data'!$A$9:$S$186,'Table 16 data'!$D$174+'Table 17 data'!F$4,0)</f>
        <v>52.1</v>
      </c>
      <c r="G121" s="230">
        <f>VLOOKUP($A121,'Table 17 data'!$A$9:$S$186,'Table 16 data'!$D$174+'Table 17 data'!G$4,0)</f>
        <v>58.1</v>
      </c>
      <c r="H121" s="230">
        <f>VLOOKUP($A121,'Table 17 data'!$A$9:$S$186,'Table 16 data'!$D$174+'Table 17 data'!H$4,0)</f>
        <v>61.7</v>
      </c>
      <c r="I121" s="230">
        <f>VLOOKUP($A121,'Table 17 data'!$A$9:$S$186,'Table 16 data'!$D$174+'Table 17 data'!I$4,0)</f>
        <v>58.3</v>
      </c>
      <c r="J121" s="230">
        <f>VLOOKUP($A121,'Table 17 data'!$A$9:$S$186,'Table 16 data'!$D$174+'Table 17 data'!J$4,0)</f>
        <v>61.3</v>
      </c>
    </row>
    <row r="122" spans="1:10" s="3" customFormat="1" ht="11.25" customHeight="1" x14ac:dyDescent="0.2">
      <c r="A122" s="25" t="s">
        <v>219</v>
      </c>
      <c r="B122" s="126" t="s">
        <v>220</v>
      </c>
      <c r="C122" s="230">
        <f>VLOOKUP($A122,'Table 17 data'!$A$9:$S$186,'Table 16 data'!$D$174+'Table 17 data'!C$4,0)</f>
        <v>40.6</v>
      </c>
      <c r="D122" s="230">
        <f>VLOOKUP($A122,'Table 17 data'!$A$9:$S$186,'Table 16 data'!$D$174+'Table 17 data'!D$4,0)</f>
        <v>46</v>
      </c>
      <c r="E122" s="230">
        <f>VLOOKUP($A122,'Table 17 data'!$A$9:$S$186,'Table 16 data'!$D$174+'Table 17 data'!E$4,0)</f>
        <v>49.7</v>
      </c>
      <c r="F122" s="230">
        <f>VLOOKUP($A122,'Table 17 data'!$A$9:$S$186,'Table 16 data'!$D$174+'Table 17 data'!F$4,0)</f>
        <v>52.8</v>
      </c>
      <c r="G122" s="230">
        <f>VLOOKUP($A122,'Table 17 data'!$A$9:$S$186,'Table 16 data'!$D$174+'Table 17 data'!G$4,0)</f>
        <v>62.5</v>
      </c>
      <c r="H122" s="230">
        <f>VLOOKUP($A122,'Table 17 data'!$A$9:$S$186,'Table 16 data'!$D$174+'Table 17 data'!H$4,0)</f>
        <v>63.1</v>
      </c>
      <c r="I122" s="230">
        <f>VLOOKUP($A122,'Table 17 data'!$A$9:$S$186,'Table 16 data'!$D$174+'Table 17 data'!I$4,0)</f>
        <v>70</v>
      </c>
      <c r="J122" s="230">
        <f>VLOOKUP($A122,'Table 17 data'!$A$9:$S$186,'Table 16 data'!$D$174+'Table 17 data'!J$4,0)</f>
        <v>69.599999999999994</v>
      </c>
    </row>
    <row r="123" spans="1:10" s="51" customFormat="1" ht="11.25" customHeight="1" x14ac:dyDescent="0.2">
      <c r="A123" s="3"/>
      <c r="B123" s="126"/>
      <c r="C123" s="234"/>
      <c r="D123" s="234"/>
      <c r="E123" s="235"/>
      <c r="F123" s="236"/>
      <c r="G123" s="236"/>
      <c r="H123" s="236"/>
      <c r="I123" s="238"/>
      <c r="J123" s="239"/>
    </row>
    <row r="124" spans="1:10" ht="11.25" customHeight="1" x14ac:dyDescent="0.2">
      <c r="A124" s="17" t="s">
        <v>221</v>
      </c>
      <c r="B124" s="16" t="s">
        <v>222</v>
      </c>
      <c r="C124" s="229">
        <f>VLOOKUP($A124,'Table 17 data'!$A$9:$S$186,'Table 16 data'!$D$174+'Table 17 data'!C$4,0)</f>
        <v>48.8</v>
      </c>
      <c r="D124" s="229">
        <f>VLOOKUP($A124,'Table 17 data'!$A$9:$S$186,'Table 16 data'!$D$174+'Table 17 data'!D$4,0)</f>
        <v>50.4</v>
      </c>
      <c r="E124" s="229">
        <f>VLOOKUP($A124,'Table 17 data'!$A$9:$S$186,'Table 16 data'!$D$174+'Table 17 data'!E$4,0)</f>
        <v>53</v>
      </c>
      <c r="F124" s="229">
        <f>VLOOKUP($A124,'Table 17 data'!$A$9:$S$186,'Table 16 data'!$D$174+'Table 17 data'!F$4,0)</f>
        <v>56</v>
      </c>
      <c r="G124" s="229">
        <f>VLOOKUP($A124,'Table 17 data'!$A$9:$S$186,'Table 16 data'!$D$174+'Table 17 data'!G$4,0)</f>
        <v>59.8</v>
      </c>
      <c r="H124" s="229">
        <f>VLOOKUP($A124,'Table 17 data'!$A$9:$S$186,'Table 16 data'!$D$174+'Table 17 data'!H$4,0)</f>
        <v>62.9</v>
      </c>
      <c r="I124" s="229">
        <f>VLOOKUP($A124,'Table 17 data'!$A$9:$S$186,'Table 16 data'!$D$174+'Table 17 data'!I$4,0)</f>
        <v>63.1</v>
      </c>
      <c r="J124" s="229">
        <f>VLOOKUP($A124,'Table 17 data'!$A$9:$S$186,'Table 16 data'!$D$174+'Table 17 data'!J$4,0)</f>
        <v>66</v>
      </c>
    </row>
    <row r="125" spans="1:10" ht="11.25" customHeight="1" x14ac:dyDescent="0.2">
      <c r="A125" s="25" t="s">
        <v>223</v>
      </c>
      <c r="B125" s="126" t="s">
        <v>224</v>
      </c>
      <c r="C125" s="230">
        <f>VLOOKUP($A125,'Table 17 data'!$A$9:$S$186,'Table 16 data'!$D$174+'Table 17 data'!C$4,0)</f>
        <v>37.700000000000003</v>
      </c>
      <c r="D125" s="230">
        <f>VLOOKUP($A125,'Table 17 data'!$A$9:$S$186,'Table 16 data'!$D$174+'Table 17 data'!D$4,0)</f>
        <v>39.700000000000003</v>
      </c>
      <c r="E125" s="230">
        <f>VLOOKUP($A125,'Table 17 data'!$A$9:$S$186,'Table 16 data'!$D$174+'Table 17 data'!E$4,0)</f>
        <v>39.200000000000003</v>
      </c>
      <c r="F125" s="230">
        <f>VLOOKUP($A125,'Table 17 data'!$A$9:$S$186,'Table 16 data'!$D$174+'Table 17 data'!F$4,0)</f>
        <v>45.1</v>
      </c>
      <c r="G125" s="230">
        <f>VLOOKUP($A125,'Table 17 data'!$A$9:$S$186,'Table 16 data'!$D$174+'Table 17 data'!G$4,0)</f>
        <v>51.6</v>
      </c>
      <c r="H125" s="230">
        <f>VLOOKUP($A125,'Table 17 data'!$A$9:$S$186,'Table 16 data'!$D$174+'Table 17 data'!H$4,0)</f>
        <v>57.2</v>
      </c>
      <c r="I125" s="230">
        <f>VLOOKUP($A125,'Table 17 data'!$A$9:$S$186,'Table 16 data'!$D$174+'Table 17 data'!I$4,0)</f>
        <v>58.6</v>
      </c>
      <c r="J125" s="230">
        <f>VLOOKUP($A125,'Table 17 data'!$A$9:$S$186,'Table 16 data'!$D$174+'Table 17 data'!J$4,0)</f>
        <v>60.2</v>
      </c>
    </row>
    <row r="126" spans="1:10" ht="11.25" customHeight="1" x14ac:dyDescent="0.2">
      <c r="A126" s="25" t="s">
        <v>225</v>
      </c>
      <c r="B126" s="126" t="s">
        <v>226</v>
      </c>
      <c r="C126" s="230">
        <f>VLOOKUP($A126,'Table 17 data'!$A$9:$S$186,'Table 16 data'!$D$174+'Table 17 data'!C$4,0)</f>
        <v>55.9</v>
      </c>
      <c r="D126" s="230">
        <f>VLOOKUP($A126,'Table 17 data'!$A$9:$S$186,'Table 16 data'!$D$174+'Table 17 data'!D$4,0)</f>
        <v>59.7</v>
      </c>
      <c r="E126" s="230">
        <f>VLOOKUP($A126,'Table 17 data'!$A$9:$S$186,'Table 16 data'!$D$174+'Table 17 data'!E$4,0)</f>
        <v>61.1</v>
      </c>
      <c r="F126" s="230">
        <f>VLOOKUP($A126,'Table 17 data'!$A$9:$S$186,'Table 16 data'!$D$174+'Table 17 data'!F$4,0)</f>
        <v>61.4</v>
      </c>
      <c r="G126" s="230">
        <f>VLOOKUP($A126,'Table 17 data'!$A$9:$S$186,'Table 16 data'!$D$174+'Table 17 data'!G$4,0)</f>
        <v>67.3</v>
      </c>
      <c r="H126" s="230">
        <f>VLOOKUP($A126,'Table 17 data'!$A$9:$S$186,'Table 16 data'!$D$174+'Table 17 data'!H$4,0)</f>
        <v>68.8</v>
      </c>
      <c r="I126" s="230">
        <f>VLOOKUP($A126,'Table 17 data'!$A$9:$S$186,'Table 16 data'!$D$174+'Table 17 data'!I$4,0)</f>
        <v>69.2</v>
      </c>
      <c r="J126" s="230">
        <f>VLOOKUP($A126,'Table 17 data'!$A$9:$S$186,'Table 16 data'!$D$174+'Table 17 data'!J$4,0)</f>
        <v>71.5</v>
      </c>
    </row>
    <row r="127" spans="1:10" ht="11.25" customHeight="1" x14ac:dyDescent="0.2">
      <c r="A127" s="25" t="s">
        <v>227</v>
      </c>
      <c r="B127" s="126" t="s">
        <v>228</v>
      </c>
      <c r="C127" s="230">
        <f>VLOOKUP($A127,'Table 17 data'!$A$9:$S$186,'Table 16 data'!$D$174+'Table 17 data'!C$4,0)</f>
        <v>50.3</v>
      </c>
      <c r="D127" s="230">
        <f>VLOOKUP($A127,'Table 17 data'!$A$9:$S$186,'Table 16 data'!$D$174+'Table 17 data'!D$4,0)</f>
        <v>49.7</v>
      </c>
      <c r="E127" s="230">
        <f>VLOOKUP($A127,'Table 17 data'!$A$9:$S$186,'Table 16 data'!$D$174+'Table 17 data'!E$4,0)</f>
        <v>51.4</v>
      </c>
      <c r="F127" s="230">
        <f>VLOOKUP($A127,'Table 17 data'!$A$9:$S$186,'Table 16 data'!$D$174+'Table 17 data'!F$4,0)</f>
        <v>57.3</v>
      </c>
      <c r="G127" s="230">
        <f>VLOOKUP($A127,'Table 17 data'!$A$9:$S$186,'Table 16 data'!$D$174+'Table 17 data'!G$4,0)</f>
        <v>59.8</v>
      </c>
      <c r="H127" s="230">
        <f>VLOOKUP($A127,'Table 17 data'!$A$9:$S$186,'Table 16 data'!$D$174+'Table 17 data'!H$4,0)</f>
        <v>63.3</v>
      </c>
      <c r="I127" s="230">
        <f>VLOOKUP($A127,'Table 17 data'!$A$9:$S$186,'Table 16 data'!$D$174+'Table 17 data'!I$4,0)</f>
        <v>65</v>
      </c>
      <c r="J127" s="230">
        <f>VLOOKUP($A127,'Table 17 data'!$A$9:$S$186,'Table 16 data'!$D$174+'Table 17 data'!J$4,0)</f>
        <v>66</v>
      </c>
    </row>
    <row r="128" spans="1:10" ht="11.25" customHeight="1" x14ac:dyDescent="0.2">
      <c r="A128" s="25" t="s">
        <v>229</v>
      </c>
      <c r="B128" s="126" t="s">
        <v>230</v>
      </c>
      <c r="C128" s="230">
        <f>VLOOKUP($A128,'Table 17 data'!$A$9:$S$186,'Table 16 data'!$D$174+'Table 17 data'!C$4,0)</f>
        <v>48.9</v>
      </c>
      <c r="D128" s="230">
        <f>VLOOKUP($A128,'Table 17 data'!$A$9:$S$186,'Table 16 data'!$D$174+'Table 17 data'!D$4,0)</f>
        <v>51</v>
      </c>
      <c r="E128" s="230">
        <f>VLOOKUP($A128,'Table 17 data'!$A$9:$S$186,'Table 16 data'!$D$174+'Table 17 data'!E$4,0)</f>
        <v>55.8</v>
      </c>
      <c r="F128" s="230">
        <f>VLOOKUP($A128,'Table 17 data'!$A$9:$S$186,'Table 16 data'!$D$174+'Table 17 data'!F$4,0)</f>
        <v>57.1</v>
      </c>
      <c r="G128" s="230">
        <f>VLOOKUP($A128,'Table 17 data'!$A$9:$S$186,'Table 16 data'!$D$174+'Table 17 data'!G$4,0)</f>
        <v>60.1</v>
      </c>
      <c r="H128" s="230">
        <f>VLOOKUP($A128,'Table 17 data'!$A$9:$S$186,'Table 16 data'!$D$174+'Table 17 data'!H$4,0)</f>
        <v>62.1</v>
      </c>
      <c r="I128" s="230">
        <f>VLOOKUP($A128,'Table 17 data'!$A$9:$S$186,'Table 16 data'!$D$174+'Table 17 data'!I$4,0)</f>
        <v>58.7</v>
      </c>
      <c r="J128" s="230">
        <f>VLOOKUP($A128,'Table 17 data'!$A$9:$S$186,'Table 16 data'!$D$174+'Table 17 data'!J$4,0)</f>
        <v>62.9</v>
      </c>
    </row>
    <row r="129" spans="1:10" ht="11.25" customHeight="1" x14ac:dyDescent="0.2">
      <c r="A129" s="25" t="s">
        <v>231</v>
      </c>
      <c r="B129" s="126" t="s">
        <v>232</v>
      </c>
      <c r="C129" s="230">
        <f>VLOOKUP($A129,'Table 17 data'!$A$9:$S$186,'Table 16 data'!$D$174+'Table 17 data'!C$4,0)</f>
        <v>54.2</v>
      </c>
      <c r="D129" s="230">
        <f>VLOOKUP($A129,'Table 17 data'!$A$9:$S$186,'Table 16 data'!$D$174+'Table 17 data'!D$4,0)</f>
        <v>55.3</v>
      </c>
      <c r="E129" s="230">
        <f>VLOOKUP($A129,'Table 17 data'!$A$9:$S$186,'Table 16 data'!$D$174+'Table 17 data'!E$4,0)</f>
        <v>59.5</v>
      </c>
      <c r="F129" s="230">
        <f>VLOOKUP($A129,'Table 17 data'!$A$9:$S$186,'Table 16 data'!$D$174+'Table 17 data'!F$4,0)</f>
        <v>62.6</v>
      </c>
      <c r="G129" s="230">
        <f>VLOOKUP($A129,'Table 17 data'!$A$9:$S$186,'Table 16 data'!$D$174+'Table 17 data'!G$4,0)</f>
        <v>65.099999999999994</v>
      </c>
      <c r="H129" s="230">
        <f>VLOOKUP($A129,'Table 17 data'!$A$9:$S$186,'Table 16 data'!$D$174+'Table 17 data'!H$4,0)</f>
        <v>67.2</v>
      </c>
      <c r="I129" s="230">
        <f>VLOOKUP($A129,'Table 17 data'!$A$9:$S$186,'Table 16 data'!$D$174+'Table 17 data'!I$4,0)</f>
        <v>68.900000000000006</v>
      </c>
      <c r="J129" s="230">
        <f>VLOOKUP($A129,'Table 17 data'!$A$9:$S$186,'Table 16 data'!$D$174+'Table 17 data'!J$4,0)</f>
        <v>73.900000000000006</v>
      </c>
    </row>
    <row r="130" spans="1:10" ht="11.25" customHeight="1" x14ac:dyDescent="0.2">
      <c r="A130" s="25" t="s">
        <v>233</v>
      </c>
      <c r="B130" s="126" t="s">
        <v>234</v>
      </c>
      <c r="C130" s="230">
        <f>VLOOKUP($A130,'Table 17 data'!$A$9:$S$186,'Table 16 data'!$D$174+'Table 17 data'!C$4,0)</f>
        <v>42.7</v>
      </c>
      <c r="D130" s="230">
        <f>VLOOKUP($A130,'Table 17 data'!$A$9:$S$186,'Table 16 data'!$D$174+'Table 17 data'!D$4,0)</f>
        <v>44.4</v>
      </c>
      <c r="E130" s="230">
        <f>VLOOKUP($A130,'Table 17 data'!$A$9:$S$186,'Table 16 data'!$D$174+'Table 17 data'!E$4,0)</f>
        <v>47.6</v>
      </c>
      <c r="F130" s="230">
        <f>VLOOKUP($A130,'Table 17 data'!$A$9:$S$186,'Table 16 data'!$D$174+'Table 17 data'!F$4,0)</f>
        <v>51.9</v>
      </c>
      <c r="G130" s="230">
        <f>VLOOKUP($A130,'Table 17 data'!$A$9:$S$186,'Table 16 data'!$D$174+'Table 17 data'!G$4,0)</f>
        <v>54.4</v>
      </c>
      <c r="H130" s="230">
        <f>VLOOKUP($A130,'Table 17 data'!$A$9:$S$186,'Table 16 data'!$D$174+'Table 17 data'!H$4,0)</f>
        <v>61</v>
      </c>
      <c r="I130" s="230">
        <f>VLOOKUP($A130,'Table 17 data'!$A$9:$S$186,'Table 16 data'!$D$174+'Table 17 data'!I$4,0)</f>
        <v>62.2</v>
      </c>
      <c r="J130" s="230">
        <f>VLOOKUP($A130,'Table 17 data'!$A$9:$S$186,'Table 16 data'!$D$174+'Table 17 data'!J$4,0)</f>
        <v>64.400000000000006</v>
      </c>
    </row>
    <row r="131" spans="1:10" ht="11.25" customHeight="1" x14ac:dyDescent="0.2">
      <c r="A131" s="25" t="s">
        <v>235</v>
      </c>
      <c r="B131" s="126" t="s">
        <v>236</v>
      </c>
      <c r="C131" s="230">
        <f>VLOOKUP($A131,'Table 17 data'!$A$9:$S$186,'Table 16 data'!$D$174+'Table 17 data'!C$4,0)</f>
        <v>48.8</v>
      </c>
      <c r="D131" s="230">
        <f>VLOOKUP($A131,'Table 17 data'!$A$9:$S$186,'Table 16 data'!$D$174+'Table 17 data'!D$4,0)</f>
        <v>49.1</v>
      </c>
      <c r="E131" s="230">
        <f>VLOOKUP($A131,'Table 17 data'!$A$9:$S$186,'Table 16 data'!$D$174+'Table 17 data'!E$4,0)</f>
        <v>52.1</v>
      </c>
      <c r="F131" s="230">
        <f>VLOOKUP($A131,'Table 17 data'!$A$9:$S$186,'Table 16 data'!$D$174+'Table 17 data'!F$4,0)</f>
        <v>54</v>
      </c>
      <c r="G131" s="230">
        <f>VLOOKUP($A131,'Table 17 data'!$A$9:$S$186,'Table 16 data'!$D$174+'Table 17 data'!G$4,0)</f>
        <v>58.7</v>
      </c>
      <c r="H131" s="230">
        <f>VLOOKUP($A131,'Table 17 data'!$A$9:$S$186,'Table 16 data'!$D$174+'Table 17 data'!H$4,0)</f>
        <v>57.3</v>
      </c>
      <c r="I131" s="230">
        <f>VLOOKUP($A131,'Table 17 data'!$A$9:$S$186,'Table 16 data'!$D$174+'Table 17 data'!I$4,0)</f>
        <v>57.7</v>
      </c>
      <c r="J131" s="230">
        <f>VLOOKUP($A131,'Table 17 data'!$A$9:$S$186,'Table 16 data'!$D$174+'Table 17 data'!J$4,0)</f>
        <v>60.9</v>
      </c>
    </row>
    <row r="132" spans="1:10" ht="11.25" customHeight="1" x14ac:dyDescent="0.2">
      <c r="A132" s="25" t="s">
        <v>237</v>
      </c>
      <c r="B132" s="126" t="s">
        <v>238</v>
      </c>
      <c r="C132" s="230">
        <f>VLOOKUP($A132,'Table 17 data'!$A$9:$S$186,'Table 16 data'!$D$174+'Table 17 data'!C$4,0)</f>
        <v>43</v>
      </c>
      <c r="D132" s="230">
        <f>VLOOKUP($A132,'Table 17 data'!$A$9:$S$186,'Table 16 data'!$D$174+'Table 17 data'!D$4,0)</f>
        <v>47.5</v>
      </c>
      <c r="E132" s="230">
        <f>VLOOKUP($A132,'Table 17 data'!$A$9:$S$186,'Table 16 data'!$D$174+'Table 17 data'!E$4,0)</f>
        <v>48</v>
      </c>
      <c r="F132" s="230">
        <f>VLOOKUP($A132,'Table 17 data'!$A$9:$S$186,'Table 16 data'!$D$174+'Table 17 data'!F$4,0)</f>
        <v>50.4</v>
      </c>
      <c r="G132" s="230">
        <f>VLOOKUP($A132,'Table 17 data'!$A$9:$S$186,'Table 16 data'!$D$174+'Table 17 data'!G$4,0)</f>
        <v>55.3</v>
      </c>
      <c r="H132" s="230">
        <f>VLOOKUP($A132,'Table 17 data'!$A$9:$S$186,'Table 16 data'!$D$174+'Table 17 data'!H$4,0)</f>
        <v>59.5</v>
      </c>
      <c r="I132" s="230">
        <f>VLOOKUP($A132,'Table 17 data'!$A$9:$S$186,'Table 16 data'!$D$174+'Table 17 data'!I$4,0)</f>
        <v>55.5</v>
      </c>
      <c r="J132" s="230">
        <f>VLOOKUP($A132,'Table 17 data'!$A$9:$S$186,'Table 16 data'!$D$174+'Table 17 data'!J$4,0)</f>
        <v>63.2</v>
      </c>
    </row>
    <row r="133" spans="1:10" ht="11.25" customHeight="1" x14ac:dyDescent="0.2">
      <c r="A133" s="25" t="s">
        <v>239</v>
      </c>
      <c r="B133" s="126" t="s">
        <v>240</v>
      </c>
      <c r="C133" s="230">
        <f>VLOOKUP($A133,'Table 17 data'!$A$9:$S$186,'Table 16 data'!$D$174+'Table 17 data'!C$4,0)</f>
        <v>31.4</v>
      </c>
      <c r="D133" s="230">
        <f>VLOOKUP($A133,'Table 17 data'!$A$9:$S$186,'Table 16 data'!$D$174+'Table 17 data'!D$4,0)</f>
        <v>34</v>
      </c>
      <c r="E133" s="230">
        <f>VLOOKUP($A133,'Table 17 data'!$A$9:$S$186,'Table 16 data'!$D$174+'Table 17 data'!E$4,0)</f>
        <v>40.4</v>
      </c>
      <c r="F133" s="230">
        <f>VLOOKUP($A133,'Table 17 data'!$A$9:$S$186,'Table 16 data'!$D$174+'Table 17 data'!F$4,0)</f>
        <v>43.4</v>
      </c>
      <c r="G133" s="230">
        <f>VLOOKUP($A133,'Table 17 data'!$A$9:$S$186,'Table 16 data'!$D$174+'Table 17 data'!G$4,0)</f>
        <v>50.1</v>
      </c>
      <c r="H133" s="230">
        <f>VLOOKUP($A133,'Table 17 data'!$A$9:$S$186,'Table 16 data'!$D$174+'Table 17 data'!H$4,0)</f>
        <v>54.5</v>
      </c>
      <c r="I133" s="230">
        <f>VLOOKUP($A133,'Table 17 data'!$A$9:$S$186,'Table 16 data'!$D$174+'Table 17 data'!I$4,0)</f>
        <v>63.1</v>
      </c>
      <c r="J133" s="230">
        <f>VLOOKUP($A133,'Table 17 data'!$A$9:$S$186,'Table 16 data'!$D$174+'Table 17 data'!J$4,0)</f>
        <v>65.400000000000006</v>
      </c>
    </row>
    <row r="134" spans="1:10" ht="11.25" customHeight="1" x14ac:dyDescent="0.2">
      <c r="A134" s="26" t="s">
        <v>241</v>
      </c>
      <c r="B134" s="126" t="s">
        <v>242</v>
      </c>
      <c r="C134" s="230">
        <f>VLOOKUP($A134,'Table 17 data'!$A$9:$S$186,'Table 16 data'!$D$174+'Table 17 data'!C$4,0)</f>
        <v>53.4</v>
      </c>
      <c r="D134" s="230">
        <f>VLOOKUP($A134,'Table 17 data'!$A$9:$S$186,'Table 16 data'!$D$174+'Table 17 data'!D$4,0)</f>
        <v>56.1</v>
      </c>
      <c r="E134" s="230">
        <f>VLOOKUP($A134,'Table 17 data'!$A$9:$S$186,'Table 16 data'!$D$174+'Table 17 data'!E$4,0)</f>
        <v>57.7</v>
      </c>
      <c r="F134" s="230">
        <f>VLOOKUP($A134,'Table 17 data'!$A$9:$S$186,'Table 16 data'!$D$174+'Table 17 data'!F$4,0)</f>
        <v>60.8</v>
      </c>
      <c r="G134" s="230">
        <f>VLOOKUP($A134,'Table 17 data'!$A$9:$S$186,'Table 16 data'!$D$174+'Table 17 data'!G$4,0)</f>
        <v>60.7</v>
      </c>
      <c r="H134" s="230">
        <f>VLOOKUP($A134,'Table 17 data'!$A$9:$S$186,'Table 16 data'!$D$174+'Table 17 data'!H$4,0)</f>
        <v>64.599999999999994</v>
      </c>
      <c r="I134" s="230">
        <f>VLOOKUP($A134,'Table 17 data'!$A$9:$S$186,'Table 16 data'!$D$174+'Table 17 data'!I$4,0)</f>
        <v>63.6</v>
      </c>
      <c r="J134" s="230">
        <f>VLOOKUP($A134,'Table 17 data'!$A$9:$S$186,'Table 16 data'!$D$174+'Table 17 data'!J$4,0)</f>
        <v>65.400000000000006</v>
      </c>
    </row>
    <row r="135" spans="1:10" ht="11.25" customHeight="1" x14ac:dyDescent="0.2">
      <c r="A135" s="25" t="s">
        <v>243</v>
      </c>
      <c r="B135" s="126" t="s">
        <v>244</v>
      </c>
      <c r="C135" s="230">
        <f>VLOOKUP($A135,'Table 17 data'!$A$9:$S$186,'Table 16 data'!$D$174+'Table 17 data'!C$4,0)</f>
        <v>54.6</v>
      </c>
      <c r="D135" s="230">
        <f>VLOOKUP($A135,'Table 17 data'!$A$9:$S$186,'Table 16 data'!$D$174+'Table 17 data'!D$4,0)</f>
        <v>53.7</v>
      </c>
      <c r="E135" s="230">
        <f>VLOOKUP($A135,'Table 17 data'!$A$9:$S$186,'Table 16 data'!$D$174+'Table 17 data'!E$4,0)</f>
        <v>55.6</v>
      </c>
      <c r="F135" s="230">
        <f>VLOOKUP($A135,'Table 17 data'!$A$9:$S$186,'Table 16 data'!$D$174+'Table 17 data'!F$4,0)</f>
        <v>58.1</v>
      </c>
      <c r="G135" s="230">
        <f>VLOOKUP($A135,'Table 17 data'!$A$9:$S$186,'Table 16 data'!$D$174+'Table 17 data'!G$4,0)</f>
        <v>62.3</v>
      </c>
      <c r="H135" s="230">
        <f>VLOOKUP($A135,'Table 17 data'!$A$9:$S$186,'Table 16 data'!$D$174+'Table 17 data'!H$4,0)</f>
        <v>63.9</v>
      </c>
      <c r="I135" s="230">
        <f>VLOOKUP($A135,'Table 17 data'!$A$9:$S$186,'Table 16 data'!$D$174+'Table 17 data'!I$4,0)</f>
        <v>61.5</v>
      </c>
      <c r="J135" s="230">
        <f>VLOOKUP($A135,'Table 17 data'!$A$9:$S$186,'Table 16 data'!$D$174+'Table 17 data'!J$4,0)</f>
        <v>63.7</v>
      </c>
    </row>
    <row r="136" spans="1:10" ht="11.25" customHeight="1" x14ac:dyDescent="0.2">
      <c r="A136" s="28" t="s">
        <v>245</v>
      </c>
      <c r="B136" s="126" t="s">
        <v>246</v>
      </c>
      <c r="C136" s="230">
        <f>VLOOKUP($A136,'Table 17 data'!$A$9:$S$186,'Table 16 data'!$D$174+'Table 17 data'!C$4,0)</f>
        <v>43.5</v>
      </c>
      <c r="D136" s="230">
        <f>VLOOKUP($A136,'Table 17 data'!$A$9:$S$186,'Table 16 data'!$D$174+'Table 17 data'!D$4,0)</f>
        <v>44.9</v>
      </c>
      <c r="E136" s="230">
        <f>VLOOKUP($A136,'Table 17 data'!$A$9:$S$186,'Table 16 data'!$D$174+'Table 17 data'!E$4,0)</f>
        <v>46.4</v>
      </c>
      <c r="F136" s="230">
        <f>VLOOKUP($A136,'Table 17 data'!$A$9:$S$186,'Table 16 data'!$D$174+'Table 17 data'!F$4,0)</f>
        <v>52</v>
      </c>
      <c r="G136" s="230">
        <f>VLOOKUP($A136,'Table 17 data'!$A$9:$S$186,'Table 16 data'!$D$174+'Table 17 data'!G$4,0)</f>
        <v>55.8</v>
      </c>
      <c r="H136" s="230">
        <f>VLOOKUP($A136,'Table 17 data'!$A$9:$S$186,'Table 16 data'!$D$174+'Table 17 data'!H$4,0)</f>
        <v>59.5</v>
      </c>
      <c r="I136" s="230">
        <f>VLOOKUP($A136,'Table 17 data'!$A$9:$S$186,'Table 16 data'!$D$174+'Table 17 data'!I$4,0)</f>
        <v>61</v>
      </c>
      <c r="J136" s="230">
        <f>VLOOKUP($A136,'Table 17 data'!$A$9:$S$186,'Table 16 data'!$D$174+'Table 17 data'!J$4,0)</f>
        <v>61.6</v>
      </c>
    </row>
    <row r="137" spans="1:10" ht="11.25" customHeight="1" x14ac:dyDescent="0.2">
      <c r="A137" s="25" t="s">
        <v>247</v>
      </c>
      <c r="B137" s="126" t="s">
        <v>248</v>
      </c>
      <c r="C137" s="230">
        <f>VLOOKUP($A137,'Table 17 data'!$A$9:$S$186,'Table 16 data'!$D$174+'Table 17 data'!C$4,0)</f>
        <v>50.9</v>
      </c>
      <c r="D137" s="230">
        <f>VLOOKUP($A137,'Table 17 data'!$A$9:$S$186,'Table 16 data'!$D$174+'Table 17 data'!D$4,0)</f>
        <v>50.5</v>
      </c>
      <c r="E137" s="230">
        <f>VLOOKUP($A137,'Table 17 data'!$A$9:$S$186,'Table 16 data'!$D$174+'Table 17 data'!E$4,0)</f>
        <v>51.8</v>
      </c>
      <c r="F137" s="230">
        <f>VLOOKUP($A137,'Table 17 data'!$A$9:$S$186,'Table 16 data'!$D$174+'Table 17 data'!F$4,0)</f>
        <v>56.6</v>
      </c>
      <c r="G137" s="230">
        <f>VLOOKUP($A137,'Table 17 data'!$A$9:$S$186,'Table 16 data'!$D$174+'Table 17 data'!G$4,0)</f>
        <v>58.7</v>
      </c>
      <c r="H137" s="230">
        <f>VLOOKUP($A137,'Table 17 data'!$A$9:$S$186,'Table 16 data'!$D$174+'Table 17 data'!H$4,0)</f>
        <v>62.5</v>
      </c>
      <c r="I137" s="230">
        <f>VLOOKUP($A137,'Table 17 data'!$A$9:$S$186,'Table 16 data'!$D$174+'Table 17 data'!I$4,0)</f>
        <v>61.8</v>
      </c>
      <c r="J137" s="230">
        <f>VLOOKUP($A137,'Table 17 data'!$A$9:$S$186,'Table 16 data'!$D$174+'Table 17 data'!J$4,0)</f>
        <v>66.7</v>
      </c>
    </row>
    <row r="138" spans="1:10" ht="11.25" customHeight="1" x14ac:dyDescent="0.2">
      <c r="A138" s="25" t="s">
        <v>249</v>
      </c>
      <c r="B138" s="126" t="s">
        <v>250</v>
      </c>
      <c r="C138" s="230">
        <f>VLOOKUP($A138,'Table 17 data'!$A$9:$S$186,'Table 16 data'!$D$174+'Table 17 data'!C$4,0)</f>
        <v>58.6</v>
      </c>
      <c r="D138" s="230">
        <f>VLOOKUP($A138,'Table 17 data'!$A$9:$S$186,'Table 16 data'!$D$174+'Table 17 data'!D$4,0)</f>
        <v>61.7</v>
      </c>
      <c r="E138" s="230">
        <f>VLOOKUP($A138,'Table 17 data'!$A$9:$S$186,'Table 16 data'!$D$174+'Table 17 data'!E$4,0)</f>
        <v>62.5</v>
      </c>
      <c r="F138" s="230">
        <f>VLOOKUP($A138,'Table 17 data'!$A$9:$S$186,'Table 16 data'!$D$174+'Table 17 data'!F$4,0)</f>
        <v>68.2</v>
      </c>
      <c r="G138" s="230">
        <f>VLOOKUP($A138,'Table 17 data'!$A$9:$S$186,'Table 16 data'!$D$174+'Table 17 data'!G$4,0)</f>
        <v>68.7</v>
      </c>
      <c r="H138" s="230">
        <f>VLOOKUP($A138,'Table 17 data'!$A$9:$S$186,'Table 16 data'!$D$174+'Table 17 data'!H$4,0)</f>
        <v>71.099999999999994</v>
      </c>
      <c r="I138" s="230">
        <f>VLOOKUP($A138,'Table 17 data'!$A$9:$S$186,'Table 16 data'!$D$174+'Table 17 data'!I$4,0)</f>
        <v>70.099999999999994</v>
      </c>
      <c r="J138" s="230">
        <f>VLOOKUP($A138,'Table 17 data'!$A$9:$S$186,'Table 16 data'!$D$174+'Table 17 data'!J$4,0)</f>
        <v>71.599999999999994</v>
      </c>
    </row>
    <row r="139" spans="1:10" ht="11.25" customHeight="1" x14ac:dyDescent="0.2">
      <c r="A139" s="25" t="s">
        <v>251</v>
      </c>
      <c r="B139" s="126" t="s">
        <v>252</v>
      </c>
      <c r="C139" s="230">
        <f>VLOOKUP($A139,'Table 17 data'!$A$9:$S$186,'Table 16 data'!$D$174+'Table 17 data'!C$4,0)</f>
        <v>39.5</v>
      </c>
      <c r="D139" s="230">
        <f>VLOOKUP($A139,'Table 17 data'!$A$9:$S$186,'Table 16 data'!$D$174+'Table 17 data'!D$4,0)</f>
        <v>39.700000000000003</v>
      </c>
      <c r="E139" s="230">
        <f>VLOOKUP($A139,'Table 17 data'!$A$9:$S$186,'Table 16 data'!$D$174+'Table 17 data'!E$4,0)</f>
        <v>46.2</v>
      </c>
      <c r="F139" s="230">
        <f>VLOOKUP($A139,'Table 17 data'!$A$9:$S$186,'Table 16 data'!$D$174+'Table 17 data'!F$4,0)</f>
        <v>48</v>
      </c>
      <c r="G139" s="230">
        <f>VLOOKUP($A139,'Table 17 data'!$A$9:$S$186,'Table 16 data'!$D$174+'Table 17 data'!G$4,0)</f>
        <v>52.4</v>
      </c>
      <c r="H139" s="230">
        <f>VLOOKUP($A139,'Table 17 data'!$A$9:$S$186,'Table 16 data'!$D$174+'Table 17 data'!H$4,0)</f>
        <v>59.8</v>
      </c>
      <c r="I139" s="230">
        <f>VLOOKUP($A139,'Table 17 data'!$A$9:$S$186,'Table 16 data'!$D$174+'Table 17 data'!I$4,0)</f>
        <v>59.1</v>
      </c>
      <c r="J139" s="230">
        <f>VLOOKUP($A139,'Table 17 data'!$A$9:$S$186,'Table 16 data'!$D$174+'Table 17 data'!J$4,0)</f>
        <v>62.6</v>
      </c>
    </row>
    <row r="140" spans="1:10" ht="11.25" customHeight="1" x14ac:dyDescent="0.2">
      <c r="A140" s="25" t="s">
        <v>253</v>
      </c>
      <c r="B140" s="126" t="s">
        <v>254</v>
      </c>
      <c r="C140" s="230">
        <f>VLOOKUP($A140,'Table 17 data'!$A$9:$S$186,'Table 16 data'!$D$174+'Table 17 data'!C$4,0)</f>
        <v>59.1</v>
      </c>
      <c r="D140" s="230">
        <f>VLOOKUP($A140,'Table 17 data'!$A$9:$S$186,'Table 16 data'!$D$174+'Table 17 data'!D$4,0)</f>
        <v>61.5</v>
      </c>
      <c r="E140" s="230">
        <f>VLOOKUP($A140,'Table 17 data'!$A$9:$S$186,'Table 16 data'!$D$174+'Table 17 data'!E$4,0)</f>
        <v>63.9</v>
      </c>
      <c r="F140" s="230">
        <f>VLOOKUP($A140,'Table 17 data'!$A$9:$S$186,'Table 16 data'!$D$174+'Table 17 data'!F$4,0)</f>
        <v>64.5</v>
      </c>
      <c r="G140" s="230">
        <f>VLOOKUP($A140,'Table 17 data'!$A$9:$S$186,'Table 16 data'!$D$174+'Table 17 data'!G$4,0)</f>
        <v>69.3</v>
      </c>
      <c r="H140" s="230">
        <f>VLOOKUP($A140,'Table 17 data'!$A$9:$S$186,'Table 16 data'!$D$174+'Table 17 data'!H$4,0)</f>
        <v>68.5</v>
      </c>
      <c r="I140" s="230">
        <f>VLOOKUP($A140,'Table 17 data'!$A$9:$S$186,'Table 16 data'!$D$174+'Table 17 data'!I$4,0)</f>
        <v>70.599999999999994</v>
      </c>
      <c r="J140" s="230">
        <f>VLOOKUP($A140,'Table 17 data'!$A$9:$S$186,'Table 16 data'!$D$174+'Table 17 data'!J$4,0)</f>
        <v>70.2</v>
      </c>
    </row>
    <row r="141" spans="1:10" ht="11.25" customHeight="1" x14ac:dyDescent="0.2">
      <c r="A141" s="25" t="s">
        <v>255</v>
      </c>
      <c r="B141" s="126" t="s">
        <v>256</v>
      </c>
      <c r="C141" s="230">
        <f>VLOOKUP($A141,'Table 17 data'!$A$9:$S$186,'Table 16 data'!$D$174+'Table 17 data'!C$4,0)</f>
        <v>49.7</v>
      </c>
      <c r="D141" s="230">
        <f>VLOOKUP($A141,'Table 17 data'!$A$9:$S$186,'Table 16 data'!$D$174+'Table 17 data'!D$4,0)</f>
        <v>48.5</v>
      </c>
      <c r="E141" s="230">
        <f>VLOOKUP($A141,'Table 17 data'!$A$9:$S$186,'Table 16 data'!$D$174+'Table 17 data'!E$4,0)</f>
        <v>54</v>
      </c>
      <c r="F141" s="230">
        <f>VLOOKUP($A141,'Table 17 data'!$A$9:$S$186,'Table 16 data'!$D$174+'Table 17 data'!F$4,0)</f>
        <v>55.7</v>
      </c>
      <c r="G141" s="230">
        <f>VLOOKUP($A141,'Table 17 data'!$A$9:$S$186,'Table 16 data'!$D$174+'Table 17 data'!G$4,0)</f>
        <v>61.4</v>
      </c>
      <c r="H141" s="230">
        <f>VLOOKUP($A141,'Table 17 data'!$A$9:$S$186,'Table 16 data'!$D$174+'Table 17 data'!H$4,0)</f>
        <v>63.2</v>
      </c>
      <c r="I141" s="230">
        <f>VLOOKUP($A141,'Table 17 data'!$A$9:$S$186,'Table 16 data'!$D$174+'Table 17 data'!I$4,0)</f>
        <v>62.6</v>
      </c>
      <c r="J141" s="230">
        <f>VLOOKUP($A141,'Table 17 data'!$A$9:$S$186,'Table 16 data'!$D$174+'Table 17 data'!J$4,0)</f>
        <v>68.3</v>
      </c>
    </row>
    <row r="142" spans="1:10" ht="11.25" customHeight="1" x14ac:dyDescent="0.2">
      <c r="A142" s="25" t="s">
        <v>257</v>
      </c>
      <c r="B142" s="126" t="s">
        <v>258</v>
      </c>
      <c r="C142" s="230">
        <f>VLOOKUP($A142,'Table 17 data'!$A$9:$S$186,'Table 16 data'!$D$174+'Table 17 data'!C$4,0)</f>
        <v>63.1</v>
      </c>
      <c r="D142" s="230">
        <f>VLOOKUP($A142,'Table 17 data'!$A$9:$S$186,'Table 16 data'!$D$174+'Table 17 data'!D$4,0)</f>
        <v>65</v>
      </c>
      <c r="E142" s="230">
        <f>VLOOKUP($A142,'Table 17 data'!$A$9:$S$186,'Table 16 data'!$D$174+'Table 17 data'!E$4,0)</f>
        <v>67.2</v>
      </c>
      <c r="F142" s="230">
        <f>VLOOKUP($A142,'Table 17 data'!$A$9:$S$186,'Table 16 data'!$D$174+'Table 17 data'!F$4,0)</f>
        <v>67.900000000000006</v>
      </c>
      <c r="G142" s="230">
        <f>VLOOKUP($A142,'Table 17 data'!$A$9:$S$186,'Table 16 data'!$D$174+'Table 17 data'!G$4,0)</f>
        <v>70.599999999999994</v>
      </c>
      <c r="H142" s="230">
        <f>VLOOKUP($A142,'Table 17 data'!$A$9:$S$186,'Table 16 data'!$D$174+'Table 17 data'!H$4,0)</f>
        <v>74.7</v>
      </c>
      <c r="I142" s="230">
        <f>VLOOKUP($A142,'Table 17 data'!$A$9:$S$186,'Table 16 data'!$D$174+'Table 17 data'!I$4,0)</f>
        <v>75.900000000000006</v>
      </c>
      <c r="J142" s="230">
        <f>VLOOKUP($A142,'Table 17 data'!$A$9:$S$186,'Table 16 data'!$D$174+'Table 17 data'!J$4,0)</f>
        <v>77</v>
      </c>
    </row>
    <row r="143" spans="1:10" s="3" customFormat="1" ht="11.25" customHeight="1" x14ac:dyDescent="0.2">
      <c r="A143" s="25" t="s">
        <v>259</v>
      </c>
      <c r="B143" s="126" t="s">
        <v>260</v>
      </c>
      <c r="C143" s="230">
        <f>VLOOKUP($A143,'Table 17 data'!$A$9:$S$186,'Table 16 data'!$D$174+'Table 17 data'!C$4,0)</f>
        <v>38.6</v>
      </c>
      <c r="D143" s="230">
        <f>VLOOKUP($A143,'Table 17 data'!$A$9:$S$186,'Table 16 data'!$D$174+'Table 17 data'!D$4,0)</f>
        <v>42.1</v>
      </c>
      <c r="E143" s="230">
        <f>VLOOKUP($A143,'Table 17 data'!$A$9:$S$186,'Table 16 data'!$D$174+'Table 17 data'!E$4,0)</f>
        <v>44.2</v>
      </c>
      <c r="F143" s="230">
        <f>VLOOKUP($A143,'Table 17 data'!$A$9:$S$186,'Table 16 data'!$D$174+'Table 17 data'!F$4,0)</f>
        <v>46</v>
      </c>
      <c r="G143" s="230">
        <f>VLOOKUP($A143,'Table 17 data'!$A$9:$S$186,'Table 16 data'!$D$174+'Table 17 data'!G$4,0)</f>
        <v>50.9</v>
      </c>
      <c r="H143" s="230">
        <f>VLOOKUP($A143,'Table 17 data'!$A$9:$S$186,'Table 16 data'!$D$174+'Table 17 data'!H$4,0)</f>
        <v>54.3</v>
      </c>
      <c r="I143" s="230">
        <f>VLOOKUP($A143,'Table 17 data'!$A$9:$S$186,'Table 16 data'!$D$174+'Table 17 data'!I$4,0)</f>
        <v>52.6</v>
      </c>
      <c r="J143" s="230">
        <f>VLOOKUP($A143,'Table 17 data'!$A$9:$S$186,'Table 16 data'!$D$174+'Table 17 data'!J$4,0)</f>
        <v>56.7</v>
      </c>
    </row>
    <row r="144" spans="1:10" s="51" customFormat="1" ht="11.25" customHeight="1" x14ac:dyDescent="0.2">
      <c r="A144" s="3"/>
      <c r="B144" s="126"/>
      <c r="C144" s="234"/>
      <c r="D144" s="234"/>
      <c r="E144" s="235"/>
      <c r="F144" s="236"/>
      <c r="G144" s="236"/>
      <c r="H144" s="236"/>
      <c r="I144" s="238"/>
      <c r="J144" s="239"/>
    </row>
    <row r="145" spans="1:10" ht="11.25" customHeight="1" x14ac:dyDescent="0.2">
      <c r="A145" s="16" t="s">
        <v>387</v>
      </c>
      <c r="B145" s="16" t="s">
        <v>261</v>
      </c>
      <c r="C145" s="229">
        <f>VLOOKUP($A145,'Table 17 data'!$A$9:$S$186,'Table 16 data'!$D$174+'Table 17 data'!C$4,0)</f>
        <v>47.9</v>
      </c>
      <c r="D145" s="229">
        <f>VLOOKUP($A145,'Table 17 data'!$A$9:$S$186,'Table 16 data'!$D$174+'Table 17 data'!D$4,0)</f>
        <v>49.4</v>
      </c>
      <c r="E145" s="229">
        <f>VLOOKUP($A145,'Table 17 data'!$A$9:$S$186,'Table 16 data'!$D$174+'Table 17 data'!E$4,0)</f>
        <v>51.7</v>
      </c>
      <c r="F145" s="229">
        <f>VLOOKUP($A145,'Table 17 data'!$A$9:$S$186,'Table 16 data'!$D$174+'Table 17 data'!F$4,0)</f>
        <v>53.7</v>
      </c>
      <c r="G145" s="229">
        <f>VLOOKUP($A145,'Table 17 data'!$A$9:$S$186,'Table 16 data'!$D$174+'Table 17 data'!G$4,0)</f>
        <v>57.5</v>
      </c>
      <c r="H145" s="229">
        <f>VLOOKUP($A145,'Table 17 data'!$A$9:$S$186,'Table 16 data'!$D$174+'Table 17 data'!H$4,0)</f>
        <v>59.6</v>
      </c>
      <c r="I145" s="229">
        <f>VLOOKUP($A145,'Table 17 data'!$A$9:$S$186,'Table 16 data'!$D$174+'Table 17 data'!I$4,0)</f>
        <v>60.2</v>
      </c>
      <c r="J145" s="229">
        <f>VLOOKUP($A145,'Table 17 data'!$A$9:$S$186,'Table 16 data'!$D$174+'Table 17 data'!J$4,0)</f>
        <v>62.5</v>
      </c>
    </row>
    <row r="146" spans="1:10" ht="11.25" customHeight="1" x14ac:dyDescent="0.2">
      <c r="A146" s="24" t="s">
        <v>460</v>
      </c>
      <c r="B146" s="126" t="s">
        <v>262</v>
      </c>
      <c r="C146" s="230">
        <f>VLOOKUP($A146,'Table 17 data'!$A$9:$S$186,'Table 16 data'!$D$174+'Table 17 data'!C$4,0)</f>
        <v>47.2</v>
      </c>
      <c r="D146" s="230">
        <f>VLOOKUP($A146,'Table 17 data'!$A$9:$S$186,'Table 16 data'!$D$174+'Table 17 data'!D$4,0)</f>
        <v>48.4</v>
      </c>
      <c r="E146" s="230">
        <f>VLOOKUP($A146,'Table 17 data'!$A$9:$S$186,'Table 16 data'!$D$174+'Table 17 data'!E$4,0)</f>
        <v>51.5</v>
      </c>
      <c r="F146" s="230">
        <f>VLOOKUP($A146,'Table 17 data'!$A$9:$S$186,'Table 16 data'!$D$174+'Table 17 data'!F$4,0)</f>
        <v>51.3</v>
      </c>
      <c r="G146" s="230">
        <f>VLOOKUP($A146,'Table 17 data'!$A$9:$S$186,'Table 16 data'!$D$174+'Table 17 data'!G$4,0)</f>
        <v>56.9</v>
      </c>
      <c r="H146" s="230">
        <f>VLOOKUP($A146,'Table 17 data'!$A$9:$S$186,'Table 16 data'!$D$174+'Table 17 data'!H$4,0)</f>
        <v>59.7</v>
      </c>
      <c r="I146" s="230">
        <f>VLOOKUP($A146,'Table 17 data'!$A$9:$S$186,'Table 16 data'!$D$174+'Table 17 data'!I$4,0)</f>
        <v>61.4</v>
      </c>
      <c r="J146" s="230">
        <f>VLOOKUP($A146,'Table 17 data'!$A$9:$S$186,'Table 16 data'!$D$174+'Table 17 data'!J$4,0)</f>
        <v>63.4</v>
      </c>
    </row>
    <row r="147" spans="1:10" ht="11.25" customHeight="1" x14ac:dyDescent="0.2">
      <c r="A147" s="26" t="s">
        <v>263</v>
      </c>
      <c r="B147" s="126" t="s">
        <v>264</v>
      </c>
      <c r="C147" s="230">
        <f>VLOOKUP($A147,'Table 17 data'!$A$9:$S$186,'Table 16 data'!$D$174+'Table 17 data'!C$4,0)</f>
        <v>41.8</v>
      </c>
      <c r="D147" s="230">
        <f>VLOOKUP($A147,'Table 17 data'!$A$9:$S$186,'Table 16 data'!$D$174+'Table 17 data'!D$4,0)</f>
        <v>43.5</v>
      </c>
      <c r="E147" s="230">
        <f>VLOOKUP($A147,'Table 17 data'!$A$9:$S$186,'Table 16 data'!$D$174+'Table 17 data'!E$4,0)</f>
        <v>44.5</v>
      </c>
      <c r="F147" s="230">
        <f>VLOOKUP($A147,'Table 17 data'!$A$9:$S$186,'Table 16 data'!$D$174+'Table 17 data'!F$4,0)</f>
        <v>44.5</v>
      </c>
      <c r="G147" s="230">
        <f>VLOOKUP($A147,'Table 17 data'!$A$9:$S$186,'Table 16 data'!$D$174+'Table 17 data'!G$4,0)</f>
        <v>49.1</v>
      </c>
      <c r="H147" s="230">
        <f>VLOOKUP($A147,'Table 17 data'!$A$9:$S$186,'Table 16 data'!$D$174+'Table 17 data'!H$4,0)</f>
        <v>52.8</v>
      </c>
      <c r="I147" s="230">
        <f>VLOOKUP($A147,'Table 17 data'!$A$9:$S$186,'Table 16 data'!$D$174+'Table 17 data'!I$4,0)</f>
        <v>56.4</v>
      </c>
      <c r="J147" s="230">
        <f>VLOOKUP($A147,'Table 17 data'!$A$9:$S$186,'Table 16 data'!$D$174+'Table 17 data'!J$4,0)</f>
        <v>62.2</v>
      </c>
    </row>
    <row r="148" spans="1:10" ht="11.25" customHeight="1" x14ac:dyDescent="0.2">
      <c r="A148" s="26" t="s">
        <v>265</v>
      </c>
      <c r="B148" s="126" t="s">
        <v>266</v>
      </c>
      <c r="C148" s="230">
        <f>VLOOKUP($A148,'Table 17 data'!$A$9:$S$186,'Table 16 data'!$D$174+'Table 17 data'!C$4,0)</f>
        <v>59.1</v>
      </c>
      <c r="D148" s="230">
        <f>VLOOKUP($A148,'Table 17 data'!$A$9:$S$186,'Table 16 data'!$D$174+'Table 17 data'!D$4,0)</f>
        <v>60.5</v>
      </c>
      <c r="E148" s="230">
        <f>VLOOKUP($A148,'Table 17 data'!$A$9:$S$186,'Table 16 data'!$D$174+'Table 17 data'!E$4,0)</f>
        <v>63.4</v>
      </c>
      <c r="F148" s="230">
        <f>VLOOKUP($A148,'Table 17 data'!$A$9:$S$186,'Table 16 data'!$D$174+'Table 17 data'!F$4,0)</f>
        <v>65.400000000000006</v>
      </c>
      <c r="G148" s="230">
        <f>VLOOKUP($A148,'Table 17 data'!$A$9:$S$186,'Table 16 data'!$D$174+'Table 17 data'!G$4,0)</f>
        <v>66.900000000000006</v>
      </c>
      <c r="H148" s="230">
        <f>VLOOKUP($A148,'Table 17 data'!$A$9:$S$186,'Table 16 data'!$D$174+'Table 17 data'!H$4,0)</f>
        <v>69.7</v>
      </c>
      <c r="I148" s="230">
        <f>VLOOKUP($A148,'Table 17 data'!$A$9:$S$186,'Table 16 data'!$D$174+'Table 17 data'!I$4,0)</f>
        <v>69.7</v>
      </c>
      <c r="J148" s="230">
        <f>VLOOKUP($A148,'Table 17 data'!$A$9:$S$186,'Table 16 data'!$D$174+'Table 17 data'!J$4,0)</f>
        <v>71.3</v>
      </c>
    </row>
    <row r="149" spans="1:10" ht="11.25" customHeight="1" x14ac:dyDescent="0.2">
      <c r="A149" s="26" t="s">
        <v>267</v>
      </c>
      <c r="B149" s="126" t="s">
        <v>268</v>
      </c>
      <c r="C149" s="230">
        <f>VLOOKUP($A149,'Table 17 data'!$A$9:$S$186,'Table 16 data'!$D$174+'Table 17 data'!C$4,0)</f>
        <v>41.2</v>
      </c>
      <c r="D149" s="230">
        <f>VLOOKUP($A149,'Table 17 data'!$A$9:$S$186,'Table 16 data'!$D$174+'Table 17 data'!D$4,0)</f>
        <v>43.2</v>
      </c>
      <c r="E149" s="230">
        <f>VLOOKUP($A149,'Table 17 data'!$A$9:$S$186,'Table 16 data'!$D$174+'Table 17 data'!E$4,0)</f>
        <v>46.1</v>
      </c>
      <c r="F149" s="230">
        <f>VLOOKUP($A149,'Table 17 data'!$A$9:$S$186,'Table 16 data'!$D$174+'Table 17 data'!F$4,0)</f>
        <v>50.8</v>
      </c>
      <c r="G149" s="230">
        <f>VLOOKUP($A149,'Table 17 data'!$A$9:$S$186,'Table 16 data'!$D$174+'Table 17 data'!G$4,0)</f>
        <v>55.4</v>
      </c>
      <c r="H149" s="230">
        <f>VLOOKUP($A149,'Table 17 data'!$A$9:$S$186,'Table 16 data'!$D$174+'Table 17 data'!H$4,0)</f>
        <v>58.4</v>
      </c>
      <c r="I149" s="230">
        <f>VLOOKUP($A149,'Table 17 data'!$A$9:$S$186,'Table 16 data'!$D$174+'Table 17 data'!I$4,0)</f>
        <v>58.2</v>
      </c>
      <c r="J149" s="230">
        <f>VLOOKUP($A149,'Table 17 data'!$A$9:$S$186,'Table 16 data'!$D$174+'Table 17 data'!J$4,0)</f>
        <v>59.9</v>
      </c>
    </row>
    <row r="150" spans="1:10" ht="11.25" customHeight="1" x14ac:dyDescent="0.2">
      <c r="A150" s="26" t="s">
        <v>269</v>
      </c>
      <c r="B150" s="126" t="s">
        <v>270</v>
      </c>
      <c r="C150" s="230">
        <f>VLOOKUP($A150,'Table 17 data'!$A$9:$S$186,'Table 16 data'!$D$174+'Table 17 data'!C$4,0)</f>
        <v>50.2</v>
      </c>
      <c r="D150" s="230">
        <f>VLOOKUP($A150,'Table 17 data'!$A$9:$S$186,'Table 16 data'!$D$174+'Table 17 data'!D$4,0)</f>
        <v>51.3</v>
      </c>
      <c r="E150" s="230">
        <f>VLOOKUP($A150,'Table 17 data'!$A$9:$S$186,'Table 16 data'!$D$174+'Table 17 data'!E$4,0)</f>
        <v>53.8</v>
      </c>
      <c r="F150" s="230">
        <f>VLOOKUP($A150,'Table 17 data'!$A$9:$S$186,'Table 16 data'!$D$174+'Table 17 data'!F$4,0)</f>
        <v>55.4</v>
      </c>
      <c r="G150" s="230">
        <f>VLOOKUP($A150,'Table 17 data'!$A$9:$S$186,'Table 16 data'!$D$174+'Table 17 data'!G$4,0)</f>
        <v>58.9</v>
      </c>
      <c r="H150" s="230">
        <f>VLOOKUP($A150,'Table 17 data'!$A$9:$S$186,'Table 16 data'!$D$174+'Table 17 data'!H$4,0)</f>
        <v>60.8</v>
      </c>
      <c r="I150" s="230">
        <f>VLOOKUP($A150,'Table 17 data'!$A$9:$S$186,'Table 16 data'!$D$174+'Table 17 data'!I$4,0)</f>
        <v>58.5</v>
      </c>
      <c r="J150" s="230">
        <f>VLOOKUP($A150,'Table 17 data'!$A$9:$S$186,'Table 16 data'!$D$174+'Table 17 data'!J$4,0)</f>
        <v>60</v>
      </c>
    </row>
    <row r="151" spans="1:10" ht="11.25" customHeight="1" x14ac:dyDescent="0.2">
      <c r="A151" s="24" t="s">
        <v>271</v>
      </c>
      <c r="B151" s="126" t="s">
        <v>272</v>
      </c>
      <c r="C151" s="230">
        <f>VLOOKUP($A151,'Table 17 data'!$A$9:$S$186,'Table 16 data'!$D$174+'Table 17 data'!C$4,0)</f>
        <v>36.799999999999997</v>
      </c>
      <c r="D151" s="230">
        <f>VLOOKUP($A151,'Table 17 data'!$A$9:$S$186,'Table 16 data'!$D$174+'Table 17 data'!D$4,0)</f>
        <v>42.2</v>
      </c>
      <c r="E151" s="230">
        <f>VLOOKUP($A151,'Table 17 data'!$A$9:$S$186,'Table 16 data'!$D$174+'Table 17 data'!E$4,0)</f>
        <v>41.3</v>
      </c>
      <c r="F151" s="230">
        <f>VLOOKUP($A151,'Table 17 data'!$A$9:$S$186,'Table 16 data'!$D$174+'Table 17 data'!F$4,0)</f>
        <v>41.6</v>
      </c>
      <c r="G151" s="230">
        <f>VLOOKUP($A151,'Table 17 data'!$A$9:$S$186,'Table 16 data'!$D$174+'Table 17 data'!G$4,0)</f>
        <v>45.5</v>
      </c>
      <c r="H151" s="230">
        <f>VLOOKUP($A151,'Table 17 data'!$A$9:$S$186,'Table 16 data'!$D$174+'Table 17 data'!H$4,0)</f>
        <v>49.1</v>
      </c>
      <c r="I151" s="230">
        <f>VLOOKUP($A151,'Table 17 data'!$A$9:$S$186,'Table 16 data'!$D$174+'Table 17 data'!I$4,0)</f>
        <v>44.5</v>
      </c>
      <c r="J151" s="230">
        <f>VLOOKUP($A151,'Table 17 data'!$A$9:$S$186,'Table 16 data'!$D$174+'Table 17 data'!J$4,0)</f>
        <v>48.7</v>
      </c>
    </row>
    <row r="152" spans="1:10" ht="11.25" customHeight="1" x14ac:dyDescent="0.2">
      <c r="A152" s="24" t="s">
        <v>273</v>
      </c>
      <c r="B152" s="126" t="s">
        <v>274</v>
      </c>
      <c r="C152" s="230">
        <f>VLOOKUP($A152,'Table 17 data'!$A$9:$S$186,'Table 16 data'!$D$174+'Table 17 data'!C$4,0)</f>
        <v>46.8</v>
      </c>
      <c r="D152" s="230">
        <f>VLOOKUP($A152,'Table 17 data'!$A$9:$S$186,'Table 16 data'!$D$174+'Table 17 data'!D$4,0)</f>
        <v>48.5</v>
      </c>
      <c r="E152" s="230">
        <f>VLOOKUP($A152,'Table 17 data'!$A$9:$S$186,'Table 16 data'!$D$174+'Table 17 data'!E$4,0)</f>
        <v>50</v>
      </c>
      <c r="F152" s="230">
        <f>VLOOKUP($A152,'Table 17 data'!$A$9:$S$186,'Table 16 data'!$D$174+'Table 17 data'!F$4,0)</f>
        <v>52</v>
      </c>
      <c r="G152" s="230">
        <f>VLOOKUP($A152,'Table 17 data'!$A$9:$S$186,'Table 16 data'!$D$174+'Table 17 data'!G$4,0)</f>
        <v>56.8</v>
      </c>
      <c r="H152" s="230">
        <f>VLOOKUP($A152,'Table 17 data'!$A$9:$S$186,'Table 16 data'!$D$174+'Table 17 data'!H$4,0)</f>
        <v>59.4</v>
      </c>
      <c r="I152" s="230">
        <f>VLOOKUP($A152,'Table 17 data'!$A$9:$S$186,'Table 16 data'!$D$174+'Table 17 data'!I$4,0)</f>
        <v>61.3</v>
      </c>
      <c r="J152" s="230">
        <f>VLOOKUP($A152,'Table 17 data'!$A$9:$S$186,'Table 16 data'!$D$174+'Table 17 data'!J$4,0)</f>
        <v>63.1</v>
      </c>
    </row>
    <row r="153" spans="1:10" ht="11.25" customHeight="1" x14ac:dyDescent="0.2">
      <c r="A153" s="24" t="s">
        <v>275</v>
      </c>
      <c r="B153" s="126" t="s">
        <v>276</v>
      </c>
      <c r="C153" s="230">
        <f>VLOOKUP($A153,'Table 17 data'!$A$9:$S$186,'Table 16 data'!$D$174+'Table 17 data'!C$4,0)</f>
        <v>44</v>
      </c>
      <c r="D153" s="230">
        <f>VLOOKUP($A153,'Table 17 data'!$A$9:$S$186,'Table 16 data'!$D$174+'Table 17 data'!D$4,0)</f>
        <v>46.9</v>
      </c>
      <c r="E153" s="230">
        <f>VLOOKUP($A153,'Table 17 data'!$A$9:$S$186,'Table 16 data'!$D$174+'Table 17 data'!E$4,0)</f>
        <v>47.6</v>
      </c>
      <c r="F153" s="230">
        <f>VLOOKUP($A153,'Table 17 data'!$A$9:$S$186,'Table 16 data'!$D$174+'Table 17 data'!F$4,0)</f>
        <v>51.7</v>
      </c>
      <c r="G153" s="230">
        <f>VLOOKUP($A153,'Table 17 data'!$A$9:$S$186,'Table 16 data'!$D$174+'Table 17 data'!G$4,0)</f>
        <v>53.6</v>
      </c>
      <c r="H153" s="230">
        <f>VLOOKUP($A153,'Table 17 data'!$A$9:$S$186,'Table 16 data'!$D$174+'Table 17 data'!H$4,0)</f>
        <v>55.7</v>
      </c>
      <c r="I153" s="230">
        <f>VLOOKUP($A153,'Table 17 data'!$A$9:$S$186,'Table 16 data'!$D$174+'Table 17 data'!I$4,0)</f>
        <v>61.2</v>
      </c>
      <c r="J153" s="230">
        <f>VLOOKUP($A153,'Table 17 data'!$A$9:$S$186,'Table 16 data'!$D$174+'Table 17 data'!J$4,0)</f>
        <v>60.9</v>
      </c>
    </row>
    <row r="154" spans="1:10" ht="11.25" customHeight="1" x14ac:dyDescent="0.2">
      <c r="A154" s="26" t="s">
        <v>277</v>
      </c>
      <c r="B154" s="126" t="s">
        <v>278</v>
      </c>
      <c r="C154" s="230">
        <f>VLOOKUP($A154,'Table 17 data'!$A$9:$S$186,'Table 16 data'!$D$174+'Table 17 data'!C$4,0)</f>
        <v>38.700000000000003</v>
      </c>
      <c r="D154" s="230">
        <f>VLOOKUP($A154,'Table 17 data'!$A$9:$S$186,'Table 16 data'!$D$174+'Table 17 data'!D$4,0)</f>
        <v>39.6</v>
      </c>
      <c r="E154" s="230">
        <f>VLOOKUP($A154,'Table 17 data'!$A$9:$S$186,'Table 16 data'!$D$174+'Table 17 data'!E$4,0)</f>
        <v>42.1</v>
      </c>
      <c r="F154" s="230">
        <f>VLOOKUP($A154,'Table 17 data'!$A$9:$S$186,'Table 16 data'!$D$174+'Table 17 data'!F$4,0)</f>
        <v>48</v>
      </c>
      <c r="G154" s="230">
        <f>VLOOKUP($A154,'Table 17 data'!$A$9:$S$186,'Table 16 data'!$D$174+'Table 17 data'!G$4,0)</f>
        <v>51.5</v>
      </c>
      <c r="H154" s="230">
        <f>VLOOKUP($A154,'Table 17 data'!$A$9:$S$186,'Table 16 data'!$D$174+'Table 17 data'!H$4,0)</f>
        <v>52.1</v>
      </c>
      <c r="I154" s="230">
        <f>VLOOKUP($A154,'Table 17 data'!$A$9:$S$186,'Table 16 data'!$D$174+'Table 17 data'!I$4,0)</f>
        <v>58.5</v>
      </c>
      <c r="J154" s="230">
        <f>VLOOKUP($A154,'Table 17 data'!$A$9:$S$186,'Table 16 data'!$D$174+'Table 17 data'!J$4,0)</f>
        <v>61.3</v>
      </c>
    </row>
    <row r="155" spans="1:10" ht="11.25" customHeight="1" x14ac:dyDescent="0.2">
      <c r="A155" s="24" t="s">
        <v>279</v>
      </c>
      <c r="B155" s="126" t="s">
        <v>280</v>
      </c>
      <c r="C155" s="230">
        <f>VLOOKUP($A155,'Table 17 data'!$A$9:$S$186,'Table 16 data'!$D$174+'Table 17 data'!C$4,0)</f>
        <v>47.5</v>
      </c>
      <c r="D155" s="230">
        <f>VLOOKUP($A155,'Table 17 data'!$A$9:$S$186,'Table 16 data'!$D$174+'Table 17 data'!D$4,0)</f>
        <v>48.1</v>
      </c>
      <c r="E155" s="230">
        <f>VLOOKUP($A155,'Table 17 data'!$A$9:$S$186,'Table 16 data'!$D$174+'Table 17 data'!E$4,0)</f>
        <v>50.5</v>
      </c>
      <c r="F155" s="230">
        <f>VLOOKUP($A155,'Table 17 data'!$A$9:$S$186,'Table 16 data'!$D$174+'Table 17 data'!F$4,0)</f>
        <v>52.9</v>
      </c>
      <c r="G155" s="230">
        <f>VLOOKUP($A155,'Table 17 data'!$A$9:$S$186,'Table 16 data'!$D$174+'Table 17 data'!G$4,0)</f>
        <v>57.3</v>
      </c>
      <c r="H155" s="230">
        <f>VLOOKUP($A155,'Table 17 data'!$A$9:$S$186,'Table 16 data'!$D$174+'Table 17 data'!H$4,0)</f>
        <v>57.4</v>
      </c>
      <c r="I155" s="230">
        <f>VLOOKUP($A155,'Table 17 data'!$A$9:$S$186,'Table 16 data'!$D$174+'Table 17 data'!I$4,0)</f>
        <v>57.9</v>
      </c>
      <c r="J155" s="230">
        <f>VLOOKUP($A155,'Table 17 data'!$A$9:$S$186,'Table 16 data'!$D$174+'Table 17 data'!J$4,0)</f>
        <v>60.6</v>
      </c>
    </row>
    <row r="156" spans="1:10" ht="11.25" customHeight="1" x14ac:dyDescent="0.2">
      <c r="A156" s="26" t="s">
        <v>281</v>
      </c>
      <c r="B156" s="126" t="s">
        <v>282</v>
      </c>
      <c r="C156" s="230">
        <f>VLOOKUP($A156,'Table 17 data'!$A$9:$S$186,'Table 16 data'!$D$174+'Table 17 data'!C$4,0)</f>
        <v>29.2</v>
      </c>
      <c r="D156" s="230">
        <f>VLOOKUP($A156,'Table 17 data'!$A$9:$S$186,'Table 16 data'!$D$174+'Table 17 data'!D$4,0)</f>
        <v>33.1</v>
      </c>
      <c r="E156" s="230">
        <f>VLOOKUP($A156,'Table 17 data'!$A$9:$S$186,'Table 16 data'!$D$174+'Table 17 data'!E$4,0)</f>
        <v>38.5</v>
      </c>
      <c r="F156" s="230">
        <f>VLOOKUP($A156,'Table 17 data'!$A$9:$S$186,'Table 16 data'!$D$174+'Table 17 data'!F$4,0)</f>
        <v>39.5</v>
      </c>
      <c r="G156" s="230">
        <f>VLOOKUP($A156,'Table 17 data'!$A$9:$S$186,'Table 16 data'!$D$174+'Table 17 data'!G$4,0)</f>
        <v>42.8</v>
      </c>
      <c r="H156" s="230">
        <f>VLOOKUP($A156,'Table 17 data'!$A$9:$S$186,'Table 16 data'!$D$174+'Table 17 data'!H$4,0)</f>
        <v>45.5</v>
      </c>
      <c r="I156" s="230">
        <f>VLOOKUP($A156,'Table 17 data'!$A$9:$S$186,'Table 16 data'!$D$174+'Table 17 data'!I$4,0)</f>
        <v>52.4</v>
      </c>
      <c r="J156" s="230">
        <f>VLOOKUP($A156,'Table 17 data'!$A$9:$S$186,'Table 16 data'!$D$174+'Table 17 data'!J$4,0)</f>
        <v>47.6</v>
      </c>
    </row>
    <row r="157" spans="1:10" ht="11.25" customHeight="1" x14ac:dyDescent="0.2">
      <c r="A157" s="24" t="s">
        <v>283</v>
      </c>
      <c r="B157" s="126" t="s">
        <v>284</v>
      </c>
      <c r="C157" s="230">
        <f>VLOOKUP($A157,'Table 17 data'!$A$9:$S$186,'Table 16 data'!$D$174+'Table 17 data'!C$4,0)</f>
        <v>46.5</v>
      </c>
      <c r="D157" s="230">
        <f>VLOOKUP($A157,'Table 17 data'!$A$9:$S$186,'Table 16 data'!$D$174+'Table 17 data'!D$4,0)</f>
        <v>47.4</v>
      </c>
      <c r="E157" s="230">
        <f>VLOOKUP($A157,'Table 17 data'!$A$9:$S$186,'Table 16 data'!$D$174+'Table 17 data'!E$4,0)</f>
        <v>52.7</v>
      </c>
      <c r="F157" s="230">
        <f>VLOOKUP($A157,'Table 17 data'!$A$9:$S$186,'Table 16 data'!$D$174+'Table 17 data'!F$4,0)</f>
        <v>52.9</v>
      </c>
      <c r="G157" s="230">
        <f>VLOOKUP($A157,'Table 17 data'!$A$9:$S$186,'Table 16 data'!$D$174+'Table 17 data'!G$4,0)</f>
        <v>54.7</v>
      </c>
      <c r="H157" s="230">
        <f>VLOOKUP($A157,'Table 17 data'!$A$9:$S$186,'Table 16 data'!$D$174+'Table 17 data'!H$4,0)</f>
        <v>55.9</v>
      </c>
      <c r="I157" s="230">
        <f>VLOOKUP($A157,'Table 17 data'!$A$9:$S$186,'Table 16 data'!$D$174+'Table 17 data'!I$4,0)</f>
        <v>60.7</v>
      </c>
      <c r="J157" s="230">
        <f>VLOOKUP($A157,'Table 17 data'!$A$9:$S$186,'Table 16 data'!$D$174+'Table 17 data'!J$4,0)</f>
        <v>63.6</v>
      </c>
    </row>
    <row r="158" spans="1:10" ht="11.25" customHeight="1" x14ac:dyDescent="0.2">
      <c r="A158" s="24" t="s">
        <v>285</v>
      </c>
      <c r="B158" s="126" t="s">
        <v>286</v>
      </c>
      <c r="C158" s="230">
        <f>VLOOKUP($A158,'Table 17 data'!$A$9:$S$186,'Table 16 data'!$D$174+'Table 17 data'!C$4,0)</f>
        <v>55.1</v>
      </c>
      <c r="D158" s="230">
        <f>VLOOKUP($A158,'Table 17 data'!$A$9:$S$186,'Table 16 data'!$D$174+'Table 17 data'!D$4,0)</f>
        <v>57.4</v>
      </c>
      <c r="E158" s="230">
        <f>VLOOKUP($A158,'Table 17 data'!$A$9:$S$186,'Table 16 data'!$D$174+'Table 17 data'!E$4,0)</f>
        <v>59.7</v>
      </c>
      <c r="F158" s="230">
        <f>VLOOKUP($A158,'Table 17 data'!$A$9:$S$186,'Table 16 data'!$D$174+'Table 17 data'!F$4,0)</f>
        <v>59.3</v>
      </c>
      <c r="G158" s="230">
        <f>VLOOKUP($A158,'Table 17 data'!$A$9:$S$186,'Table 16 data'!$D$174+'Table 17 data'!G$4,0)</f>
        <v>63.1</v>
      </c>
      <c r="H158" s="230">
        <f>VLOOKUP($A158,'Table 17 data'!$A$9:$S$186,'Table 16 data'!$D$174+'Table 17 data'!H$4,0)</f>
        <v>68.099999999999994</v>
      </c>
      <c r="I158" s="230">
        <f>VLOOKUP($A158,'Table 17 data'!$A$9:$S$186,'Table 16 data'!$D$174+'Table 17 data'!I$4,0)</f>
        <v>66.099999999999994</v>
      </c>
      <c r="J158" s="230">
        <f>VLOOKUP($A158,'Table 17 data'!$A$9:$S$186,'Table 16 data'!$D$174+'Table 17 data'!J$4,0)</f>
        <v>71.400000000000006</v>
      </c>
    </row>
    <row r="159" spans="1:10" ht="11.25" customHeight="1" x14ac:dyDescent="0.2">
      <c r="A159" s="26" t="s">
        <v>287</v>
      </c>
      <c r="B159" s="126" t="s">
        <v>288</v>
      </c>
      <c r="C159" s="230">
        <f>VLOOKUP($A159,'Table 17 data'!$A$9:$S$186,'Table 16 data'!$D$174+'Table 17 data'!C$4,0)</f>
        <v>36.200000000000003</v>
      </c>
      <c r="D159" s="230">
        <f>VLOOKUP($A159,'Table 17 data'!$A$9:$S$186,'Table 16 data'!$D$174+'Table 17 data'!D$4,0)</f>
        <v>38.799999999999997</v>
      </c>
      <c r="E159" s="230">
        <f>VLOOKUP($A159,'Table 17 data'!$A$9:$S$186,'Table 16 data'!$D$174+'Table 17 data'!E$4,0)</f>
        <v>42.3</v>
      </c>
      <c r="F159" s="230">
        <f>VLOOKUP($A159,'Table 17 data'!$A$9:$S$186,'Table 16 data'!$D$174+'Table 17 data'!F$4,0)</f>
        <v>43.1</v>
      </c>
      <c r="G159" s="230">
        <f>VLOOKUP($A159,'Table 17 data'!$A$9:$S$186,'Table 16 data'!$D$174+'Table 17 data'!G$4,0)</f>
        <v>47.5</v>
      </c>
      <c r="H159" s="230">
        <f>VLOOKUP($A159,'Table 17 data'!$A$9:$S$186,'Table 16 data'!$D$174+'Table 17 data'!H$4,0)</f>
        <v>51.7</v>
      </c>
      <c r="I159" s="230">
        <f>VLOOKUP($A159,'Table 17 data'!$A$9:$S$186,'Table 16 data'!$D$174+'Table 17 data'!I$4,0)</f>
        <v>54.4</v>
      </c>
      <c r="J159" s="230">
        <f>VLOOKUP($A159,'Table 17 data'!$A$9:$S$186,'Table 16 data'!$D$174+'Table 17 data'!J$4,0)</f>
        <v>58.1</v>
      </c>
    </row>
    <row r="160" spans="1:10" ht="11.25" customHeight="1" x14ac:dyDescent="0.2">
      <c r="A160" s="24" t="s">
        <v>289</v>
      </c>
      <c r="B160" s="126" t="s">
        <v>290</v>
      </c>
      <c r="C160" s="230">
        <f>VLOOKUP($A160,'Table 17 data'!$A$9:$S$186,'Table 16 data'!$D$174+'Table 17 data'!C$4,0)</f>
        <v>52.7</v>
      </c>
      <c r="D160" s="230">
        <f>VLOOKUP($A160,'Table 17 data'!$A$9:$S$186,'Table 16 data'!$D$174+'Table 17 data'!D$4,0)</f>
        <v>54</v>
      </c>
      <c r="E160" s="230">
        <f>VLOOKUP($A160,'Table 17 data'!$A$9:$S$186,'Table 16 data'!$D$174+'Table 17 data'!E$4,0)</f>
        <v>56.8</v>
      </c>
      <c r="F160" s="230">
        <f>VLOOKUP($A160,'Table 17 data'!$A$9:$S$186,'Table 16 data'!$D$174+'Table 17 data'!F$4,0)</f>
        <v>58.8</v>
      </c>
      <c r="G160" s="230">
        <f>VLOOKUP($A160,'Table 17 data'!$A$9:$S$186,'Table 16 data'!$D$174+'Table 17 data'!G$4,0)</f>
        <v>62</v>
      </c>
      <c r="H160" s="230">
        <f>VLOOKUP($A160,'Table 17 data'!$A$9:$S$186,'Table 16 data'!$D$174+'Table 17 data'!H$4,0)</f>
        <v>63.5</v>
      </c>
      <c r="I160" s="230">
        <f>VLOOKUP($A160,'Table 17 data'!$A$9:$S$186,'Table 16 data'!$D$174+'Table 17 data'!I$4,0)</f>
        <v>64.2</v>
      </c>
      <c r="J160" s="230">
        <f>VLOOKUP($A160,'Table 17 data'!$A$9:$S$186,'Table 16 data'!$D$174+'Table 17 data'!J$4,0)</f>
        <v>67.5</v>
      </c>
    </row>
    <row r="161" spans="1:10" ht="11.25" customHeight="1" x14ac:dyDescent="0.2">
      <c r="A161" s="24" t="s">
        <v>291</v>
      </c>
      <c r="B161" s="126" t="s">
        <v>292</v>
      </c>
      <c r="C161" s="230">
        <f>VLOOKUP($A161,'Table 17 data'!$A$9:$S$186,'Table 16 data'!$D$174+'Table 17 data'!C$4,0)</f>
        <v>51.6</v>
      </c>
      <c r="D161" s="230">
        <f>VLOOKUP($A161,'Table 17 data'!$A$9:$S$186,'Table 16 data'!$D$174+'Table 17 data'!D$4,0)</f>
        <v>53.4</v>
      </c>
      <c r="E161" s="230">
        <f>VLOOKUP($A161,'Table 17 data'!$A$9:$S$186,'Table 16 data'!$D$174+'Table 17 data'!E$4,0)</f>
        <v>52.9</v>
      </c>
      <c r="F161" s="230">
        <f>VLOOKUP($A161,'Table 17 data'!$A$9:$S$186,'Table 16 data'!$D$174+'Table 17 data'!F$4,0)</f>
        <v>54.9</v>
      </c>
      <c r="G161" s="230">
        <f>VLOOKUP($A161,'Table 17 data'!$A$9:$S$186,'Table 16 data'!$D$174+'Table 17 data'!G$4,0)</f>
        <v>60.7</v>
      </c>
      <c r="H161" s="230">
        <f>VLOOKUP($A161,'Table 17 data'!$A$9:$S$186,'Table 16 data'!$D$174+'Table 17 data'!H$4,0)</f>
        <v>60.1</v>
      </c>
      <c r="I161" s="230">
        <f>VLOOKUP($A161,'Table 17 data'!$A$9:$S$186,'Table 16 data'!$D$174+'Table 17 data'!I$4,0)</f>
        <v>57.2</v>
      </c>
      <c r="J161" s="230">
        <f>VLOOKUP($A161,'Table 17 data'!$A$9:$S$186,'Table 16 data'!$D$174+'Table 17 data'!J$4,0)</f>
        <v>61.3</v>
      </c>
    </row>
    <row r="162" spans="1:10" ht="11.25" customHeight="1" x14ac:dyDescent="0.2">
      <c r="A162" s="24" t="s">
        <v>293</v>
      </c>
      <c r="B162" s="126" t="s">
        <v>294</v>
      </c>
      <c r="C162" s="230">
        <f>VLOOKUP($A162,'Table 17 data'!$A$9:$S$186,'Table 16 data'!$D$174+'Table 17 data'!C$4,0)</f>
        <v>47.7</v>
      </c>
      <c r="D162" s="230">
        <f>VLOOKUP($A162,'Table 17 data'!$A$9:$S$186,'Table 16 data'!$D$174+'Table 17 data'!D$4,0)</f>
        <v>49</v>
      </c>
      <c r="E162" s="230">
        <f>VLOOKUP($A162,'Table 17 data'!$A$9:$S$186,'Table 16 data'!$D$174+'Table 17 data'!E$4,0)</f>
        <v>51.5</v>
      </c>
      <c r="F162" s="230">
        <f>VLOOKUP($A162,'Table 17 data'!$A$9:$S$186,'Table 16 data'!$D$174+'Table 17 data'!F$4,0)</f>
        <v>52.2</v>
      </c>
      <c r="G162" s="230">
        <f>VLOOKUP($A162,'Table 17 data'!$A$9:$S$186,'Table 16 data'!$D$174+'Table 17 data'!G$4,0)</f>
        <v>55.3</v>
      </c>
      <c r="H162" s="230">
        <f>VLOOKUP($A162,'Table 17 data'!$A$9:$S$186,'Table 16 data'!$D$174+'Table 17 data'!H$4,0)</f>
        <v>58.6</v>
      </c>
      <c r="I162" s="230">
        <f>VLOOKUP($A162,'Table 17 data'!$A$9:$S$186,'Table 16 data'!$D$174+'Table 17 data'!I$4,0)</f>
        <v>57.5</v>
      </c>
      <c r="J162" s="230">
        <f>VLOOKUP($A162,'Table 17 data'!$A$9:$S$186,'Table 16 data'!$D$174+'Table 17 data'!J$4,0)</f>
        <v>59.9</v>
      </c>
    </row>
    <row r="163" spans="1:10" ht="11.25" customHeight="1" x14ac:dyDescent="0.2">
      <c r="A163" s="24" t="s">
        <v>295</v>
      </c>
      <c r="B163" s="126" t="s">
        <v>296</v>
      </c>
      <c r="C163" s="230">
        <f>VLOOKUP($A163,'Table 17 data'!$A$9:$S$186,'Table 16 data'!$D$174+'Table 17 data'!C$4,0)</f>
        <v>52.8</v>
      </c>
      <c r="D163" s="230">
        <f>VLOOKUP($A163,'Table 17 data'!$A$9:$S$186,'Table 16 data'!$D$174+'Table 17 data'!D$4,0)</f>
        <v>54.9</v>
      </c>
      <c r="E163" s="230">
        <f>VLOOKUP($A163,'Table 17 data'!$A$9:$S$186,'Table 16 data'!$D$174+'Table 17 data'!E$4,0)</f>
        <v>57.9</v>
      </c>
      <c r="F163" s="230">
        <f>VLOOKUP($A163,'Table 17 data'!$A$9:$S$186,'Table 16 data'!$D$174+'Table 17 data'!F$4,0)</f>
        <v>59.7</v>
      </c>
      <c r="G163" s="230">
        <f>VLOOKUP($A163,'Table 17 data'!$A$9:$S$186,'Table 16 data'!$D$174+'Table 17 data'!G$4,0)</f>
        <v>63.6</v>
      </c>
      <c r="H163" s="230">
        <f>VLOOKUP($A163,'Table 17 data'!$A$9:$S$186,'Table 16 data'!$D$174+'Table 17 data'!H$4,0)</f>
        <v>63.3</v>
      </c>
      <c r="I163" s="230">
        <f>VLOOKUP($A163,'Table 17 data'!$A$9:$S$186,'Table 16 data'!$D$174+'Table 17 data'!I$4,0)</f>
        <v>63.5</v>
      </c>
      <c r="J163" s="230">
        <f>VLOOKUP($A163,'Table 17 data'!$A$9:$S$186,'Table 16 data'!$D$174+'Table 17 data'!J$4,0)</f>
        <v>68.3</v>
      </c>
    </row>
    <row r="164" spans="1:10" s="3" customFormat="1" ht="11.25" customHeight="1" x14ac:dyDescent="0.2">
      <c r="A164" s="24" t="s">
        <v>297</v>
      </c>
      <c r="B164" s="126" t="s">
        <v>298</v>
      </c>
      <c r="C164" s="230">
        <f>VLOOKUP($A164,'Table 17 data'!$A$9:$S$186,'Table 16 data'!$D$174+'Table 17 data'!C$4,0)</f>
        <v>57.7</v>
      </c>
      <c r="D164" s="230">
        <f>VLOOKUP($A164,'Table 17 data'!$A$9:$S$186,'Table 16 data'!$D$174+'Table 17 data'!D$4,0)</f>
        <v>57.6</v>
      </c>
      <c r="E164" s="230">
        <f>VLOOKUP($A164,'Table 17 data'!$A$9:$S$186,'Table 16 data'!$D$174+'Table 17 data'!E$4,0)</f>
        <v>61</v>
      </c>
      <c r="F164" s="230">
        <f>VLOOKUP($A164,'Table 17 data'!$A$9:$S$186,'Table 16 data'!$D$174+'Table 17 data'!F$4,0)</f>
        <v>63.2</v>
      </c>
      <c r="G164" s="230">
        <f>VLOOKUP($A164,'Table 17 data'!$A$9:$S$186,'Table 16 data'!$D$174+'Table 17 data'!G$4,0)</f>
        <v>65.599999999999994</v>
      </c>
      <c r="H164" s="230">
        <f>VLOOKUP($A164,'Table 17 data'!$A$9:$S$186,'Table 16 data'!$D$174+'Table 17 data'!H$4,0)</f>
        <v>67.599999999999994</v>
      </c>
      <c r="I164" s="230">
        <f>VLOOKUP($A164,'Table 17 data'!$A$9:$S$186,'Table 16 data'!$D$174+'Table 17 data'!I$4,0)</f>
        <v>65.7</v>
      </c>
      <c r="J164" s="230">
        <f>VLOOKUP($A164,'Table 17 data'!$A$9:$S$186,'Table 16 data'!$D$174+'Table 17 data'!J$4,0)</f>
        <v>70.599999999999994</v>
      </c>
    </row>
    <row r="165" spans="1:10" s="51" customFormat="1" ht="11.25" customHeight="1" x14ac:dyDescent="0.2">
      <c r="A165" s="3"/>
      <c r="B165" s="126"/>
      <c r="C165" s="234"/>
      <c r="D165" s="234"/>
      <c r="E165" s="235"/>
      <c r="F165" s="236"/>
      <c r="G165" s="236"/>
      <c r="H165" s="236"/>
      <c r="I165" s="238"/>
      <c r="J165" s="236"/>
    </row>
    <row r="166" spans="1:10" ht="11.25" customHeight="1" x14ac:dyDescent="0.2">
      <c r="A166" s="16" t="s">
        <v>388</v>
      </c>
      <c r="B166" s="16" t="s">
        <v>299</v>
      </c>
      <c r="C166" s="229">
        <f>VLOOKUP($A166,'Table 17 data'!$A$9:$S$186,'Table 16 data'!$D$174+'Table 17 data'!C$4,0)</f>
        <v>46.2</v>
      </c>
      <c r="D166" s="229">
        <f>VLOOKUP($A166,'Table 17 data'!$A$9:$S$186,'Table 16 data'!$D$174+'Table 17 data'!D$4,0)</f>
        <v>47.2</v>
      </c>
      <c r="E166" s="229">
        <f>VLOOKUP($A166,'Table 17 data'!$A$9:$S$186,'Table 16 data'!$D$174+'Table 17 data'!E$4,0)</f>
        <v>49.3</v>
      </c>
      <c r="F166" s="229">
        <f>VLOOKUP($A166,'Table 17 data'!$A$9:$S$186,'Table 16 data'!$D$174+'Table 17 data'!F$4,0)</f>
        <v>51.8</v>
      </c>
      <c r="G166" s="229">
        <f>VLOOKUP($A166,'Table 17 data'!$A$9:$S$186,'Table 16 data'!$D$174+'Table 17 data'!G$4,0)</f>
        <v>55.4</v>
      </c>
      <c r="H166" s="229">
        <f>VLOOKUP($A166,'Table 17 data'!$A$9:$S$186,'Table 16 data'!$D$174+'Table 17 data'!H$4,0)</f>
        <v>57.9</v>
      </c>
      <c r="I166" s="229">
        <f>VLOOKUP($A166,'Table 17 data'!$A$9:$S$186,'Table 16 data'!$D$174+'Table 17 data'!I$4,0)</f>
        <v>57.5</v>
      </c>
      <c r="J166" s="229">
        <f>VLOOKUP($A166,'Table 17 data'!$A$9:$S$186,'Table 16 data'!$D$174+'Table 17 data'!J$4,0)</f>
        <v>59.5</v>
      </c>
    </row>
    <row r="167" spans="1:10" ht="11.25" customHeight="1" x14ac:dyDescent="0.2">
      <c r="A167" s="30" t="s">
        <v>302</v>
      </c>
      <c r="B167" s="126" t="s">
        <v>303</v>
      </c>
      <c r="C167" s="230">
        <f>VLOOKUP($A167,'Table 17 data'!$A$9:$S$186,'Table 16 data'!$D$174+'Table 17 data'!C$4,0)</f>
        <v>52</v>
      </c>
      <c r="D167" s="230">
        <f>VLOOKUP($A167,'Table 17 data'!$A$9:$S$186,'Table 16 data'!$D$174+'Table 17 data'!D$4,0)</f>
        <v>50.6</v>
      </c>
      <c r="E167" s="230">
        <f>VLOOKUP($A167,'Table 17 data'!$A$9:$S$186,'Table 16 data'!$D$174+'Table 17 data'!E$4,0)</f>
        <v>57.2</v>
      </c>
      <c r="F167" s="230">
        <f>VLOOKUP($A167,'Table 17 data'!$A$9:$S$186,'Table 16 data'!$D$174+'Table 17 data'!F$4,0)</f>
        <v>59.9</v>
      </c>
      <c r="G167" s="230">
        <f>VLOOKUP($A167,'Table 17 data'!$A$9:$S$186,'Table 16 data'!$D$174+'Table 17 data'!G$4,0)</f>
        <v>61</v>
      </c>
      <c r="H167" s="230">
        <f>VLOOKUP($A167,'Table 17 data'!$A$9:$S$186,'Table 16 data'!$D$174+'Table 17 data'!H$4,0)</f>
        <v>64.2</v>
      </c>
      <c r="I167" s="230">
        <f>VLOOKUP($A167,'Table 17 data'!$A$9:$S$186,'Table 16 data'!$D$174+'Table 17 data'!I$4,0)</f>
        <v>57.5</v>
      </c>
      <c r="J167" s="230">
        <f>VLOOKUP($A167,'Table 17 data'!$A$9:$S$186,'Table 16 data'!$D$174+'Table 17 data'!J$4,0)</f>
        <v>63.6</v>
      </c>
    </row>
    <row r="168" spans="1:10" ht="11.25" customHeight="1" x14ac:dyDescent="0.2">
      <c r="A168" s="31" t="s">
        <v>304</v>
      </c>
      <c r="B168" s="126" t="s">
        <v>305</v>
      </c>
      <c r="C168" s="230">
        <f>VLOOKUP($A168,'Table 17 data'!$A$9:$S$186,'Table 16 data'!$D$174+'Table 17 data'!C$4,0)</f>
        <v>43.6</v>
      </c>
      <c r="D168" s="230">
        <f>VLOOKUP($A168,'Table 17 data'!$A$9:$S$186,'Table 16 data'!$D$174+'Table 17 data'!D$4,0)</f>
        <v>48.2</v>
      </c>
      <c r="E168" s="230">
        <f>VLOOKUP($A168,'Table 17 data'!$A$9:$S$186,'Table 16 data'!$D$174+'Table 17 data'!E$4,0)</f>
        <v>48.9</v>
      </c>
      <c r="F168" s="230">
        <f>VLOOKUP($A168,'Table 17 data'!$A$9:$S$186,'Table 16 data'!$D$174+'Table 17 data'!F$4,0)</f>
        <v>51.5</v>
      </c>
      <c r="G168" s="230">
        <f>VLOOKUP($A168,'Table 17 data'!$A$9:$S$186,'Table 16 data'!$D$174+'Table 17 data'!G$4,0)</f>
        <v>56.5</v>
      </c>
      <c r="H168" s="230">
        <f>VLOOKUP($A168,'Table 17 data'!$A$9:$S$186,'Table 16 data'!$D$174+'Table 17 data'!H$4,0)</f>
        <v>57.4</v>
      </c>
      <c r="I168" s="230">
        <f>VLOOKUP($A168,'Table 17 data'!$A$9:$S$186,'Table 16 data'!$D$174+'Table 17 data'!I$4,0)</f>
        <v>60.7</v>
      </c>
      <c r="J168" s="230">
        <f>VLOOKUP($A168,'Table 17 data'!$A$9:$S$186,'Table 16 data'!$D$174+'Table 17 data'!J$4,0)</f>
        <v>63</v>
      </c>
    </row>
    <row r="169" spans="1:10" ht="11.25" customHeight="1" x14ac:dyDescent="0.2">
      <c r="A169" s="31" t="s">
        <v>306</v>
      </c>
      <c r="B169" s="126" t="s">
        <v>307</v>
      </c>
      <c r="C169" s="230">
        <f>VLOOKUP($A169,'Table 17 data'!$A$9:$S$186,'Table 16 data'!$D$174+'Table 17 data'!C$4,0)</f>
        <v>30.4</v>
      </c>
      <c r="D169" s="230">
        <f>VLOOKUP($A169,'Table 17 data'!$A$9:$S$186,'Table 16 data'!$D$174+'Table 17 data'!D$4,0)</f>
        <v>31.5</v>
      </c>
      <c r="E169" s="230">
        <f>VLOOKUP($A169,'Table 17 data'!$A$9:$S$186,'Table 16 data'!$D$174+'Table 17 data'!E$4,0)</f>
        <v>35.5</v>
      </c>
      <c r="F169" s="230">
        <f>VLOOKUP($A169,'Table 17 data'!$A$9:$S$186,'Table 16 data'!$D$174+'Table 17 data'!F$4,0)</f>
        <v>40.200000000000003</v>
      </c>
      <c r="G169" s="230">
        <f>VLOOKUP($A169,'Table 17 data'!$A$9:$S$186,'Table 16 data'!$D$174+'Table 17 data'!G$4,0)</f>
        <v>46.2</v>
      </c>
      <c r="H169" s="230">
        <f>VLOOKUP($A169,'Table 17 data'!$A$9:$S$186,'Table 16 data'!$D$174+'Table 17 data'!H$4,0)</f>
        <v>50.2</v>
      </c>
      <c r="I169" s="230">
        <f>VLOOKUP($A169,'Table 17 data'!$A$9:$S$186,'Table 16 data'!$D$174+'Table 17 data'!I$4,0)</f>
        <v>51.6</v>
      </c>
      <c r="J169" s="230">
        <f>VLOOKUP($A169,'Table 17 data'!$A$9:$S$186,'Table 16 data'!$D$174+'Table 17 data'!J$4,0)</f>
        <v>52.3</v>
      </c>
    </row>
    <row r="170" spans="1:10" ht="11.25" customHeight="1" x14ac:dyDescent="0.2">
      <c r="A170" s="31" t="s">
        <v>308</v>
      </c>
      <c r="B170" s="126" t="s">
        <v>309</v>
      </c>
      <c r="C170" s="230">
        <f>VLOOKUP($A170,'Table 17 data'!$A$9:$S$186,'Table 16 data'!$D$174+'Table 17 data'!C$4,0)</f>
        <v>43.9</v>
      </c>
      <c r="D170" s="230">
        <f>VLOOKUP($A170,'Table 17 data'!$A$9:$S$186,'Table 16 data'!$D$174+'Table 17 data'!D$4,0)</f>
        <v>44</v>
      </c>
      <c r="E170" s="230">
        <f>VLOOKUP($A170,'Table 17 data'!$A$9:$S$186,'Table 16 data'!$D$174+'Table 17 data'!E$4,0)</f>
        <v>43.5</v>
      </c>
      <c r="F170" s="230">
        <f>VLOOKUP($A170,'Table 17 data'!$A$9:$S$186,'Table 16 data'!$D$174+'Table 17 data'!F$4,0)</f>
        <v>48.9</v>
      </c>
      <c r="G170" s="230">
        <f>VLOOKUP($A170,'Table 17 data'!$A$9:$S$186,'Table 16 data'!$D$174+'Table 17 data'!G$4,0)</f>
        <v>53.8</v>
      </c>
      <c r="H170" s="230">
        <f>VLOOKUP($A170,'Table 17 data'!$A$9:$S$186,'Table 16 data'!$D$174+'Table 17 data'!H$4,0)</f>
        <v>55</v>
      </c>
      <c r="I170" s="230">
        <f>VLOOKUP($A170,'Table 17 data'!$A$9:$S$186,'Table 16 data'!$D$174+'Table 17 data'!I$4,0)</f>
        <v>55.4</v>
      </c>
      <c r="J170" s="230">
        <f>VLOOKUP($A170,'Table 17 data'!$A$9:$S$186,'Table 16 data'!$D$174+'Table 17 data'!J$4,0)</f>
        <v>59.6</v>
      </c>
    </row>
    <row r="171" spans="1:10" ht="11.25" customHeight="1" x14ac:dyDescent="0.2">
      <c r="A171" s="31" t="s">
        <v>310</v>
      </c>
      <c r="B171" s="126" t="s">
        <v>311</v>
      </c>
      <c r="C171" s="230">
        <f>VLOOKUP($A171,'Table 17 data'!$A$9:$S$186,'Table 16 data'!$D$174+'Table 17 data'!C$4,0)</f>
        <v>46.2</v>
      </c>
      <c r="D171" s="230">
        <f>VLOOKUP($A171,'Table 17 data'!$A$9:$S$186,'Table 16 data'!$D$174+'Table 17 data'!D$4,0)</f>
        <v>46.6</v>
      </c>
      <c r="E171" s="230">
        <f>VLOOKUP($A171,'Table 17 data'!$A$9:$S$186,'Table 16 data'!$D$174+'Table 17 data'!E$4,0)</f>
        <v>49.5</v>
      </c>
      <c r="F171" s="230">
        <f>VLOOKUP($A171,'Table 17 data'!$A$9:$S$186,'Table 16 data'!$D$174+'Table 17 data'!F$4,0)</f>
        <v>51.8</v>
      </c>
      <c r="G171" s="230">
        <f>VLOOKUP($A171,'Table 17 data'!$A$9:$S$186,'Table 16 data'!$D$174+'Table 17 data'!G$4,0)</f>
        <v>54.7</v>
      </c>
      <c r="H171" s="230">
        <f>VLOOKUP($A171,'Table 17 data'!$A$9:$S$186,'Table 16 data'!$D$174+'Table 17 data'!H$4,0)</f>
        <v>58.4</v>
      </c>
      <c r="I171" s="230">
        <f>VLOOKUP($A171,'Table 17 data'!$A$9:$S$186,'Table 16 data'!$D$174+'Table 17 data'!I$4,0)</f>
        <v>58.5</v>
      </c>
      <c r="J171" s="230">
        <f>VLOOKUP($A171,'Table 17 data'!$A$9:$S$186,'Table 16 data'!$D$174+'Table 17 data'!J$4,0)</f>
        <v>59.6</v>
      </c>
    </row>
    <row r="172" spans="1:10" ht="11.25" customHeight="1" x14ac:dyDescent="0.2">
      <c r="A172" s="31" t="s">
        <v>312</v>
      </c>
      <c r="B172" s="126" t="s">
        <v>313</v>
      </c>
      <c r="C172" s="230">
        <f>VLOOKUP($A172,'Table 17 data'!$A$9:$S$186,'Table 16 data'!$D$174+'Table 17 data'!C$4,0)</f>
        <v>50</v>
      </c>
      <c r="D172" s="230">
        <f>VLOOKUP($A172,'Table 17 data'!$A$9:$S$186,'Table 16 data'!$D$174+'Table 17 data'!D$4,0)</f>
        <v>49.9</v>
      </c>
      <c r="E172" s="230">
        <f>VLOOKUP($A172,'Table 17 data'!$A$9:$S$186,'Table 16 data'!$D$174+'Table 17 data'!E$4,0)</f>
        <v>53.3</v>
      </c>
      <c r="F172" s="230">
        <f>VLOOKUP($A172,'Table 17 data'!$A$9:$S$186,'Table 16 data'!$D$174+'Table 17 data'!F$4,0)</f>
        <v>54.6</v>
      </c>
      <c r="G172" s="230">
        <f>VLOOKUP($A172,'Table 17 data'!$A$9:$S$186,'Table 16 data'!$D$174+'Table 17 data'!G$4,0)</f>
        <v>59.4</v>
      </c>
      <c r="H172" s="230">
        <f>VLOOKUP($A172,'Table 17 data'!$A$9:$S$186,'Table 16 data'!$D$174+'Table 17 data'!H$4,0)</f>
        <v>59.5</v>
      </c>
      <c r="I172" s="230">
        <f>VLOOKUP($A172,'Table 17 data'!$A$9:$S$186,'Table 16 data'!$D$174+'Table 17 data'!I$4,0)</f>
        <v>54.1</v>
      </c>
      <c r="J172" s="230">
        <f>VLOOKUP($A172,'Table 17 data'!$A$9:$S$186,'Table 16 data'!$D$174+'Table 17 data'!J$4,0)</f>
        <v>58.9</v>
      </c>
    </row>
    <row r="173" spans="1:10" ht="12.75" customHeight="1" x14ac:dyDescent="0.2">
      <c r="A173" s="31" t="s">
        <v>314</v>
      </c>
      <c r="B173" s="126" t="s">
        <v>315</v>
      </c>
      <c r="C173" s="230">
        <f>VLOOKUP($A173,'Table 17 data'!$A$9:$S$186,'Table 16 data'!$D$174+'Table 17 data'!C$4,0)</f>
        <v>53.8</v>
      </c>
      <c r="D173" s="230">
        <f>VLOOKUP($A173,'Table 17 data'!$A$9:$S$186,'Table 16 data'!$D$174+'Table 17 data'!D$4,0)</f>
        <v>54.4</v>
      </c>
      <c r="E173" s="230">
        <f>VLOOKUP($A173,'Table 17 data'!$A$9:$S$186,'Table 16 data'!$D$174+'Table 17 data'!E$4,0)</f>
        <v>56.8</v>
      </c>
      <c r="F173" s="230">
        <f>VLOOKUP($A173,'Table 17 data'!$A$9:$S$186,'Table 16 data'!$D$174+'Table 17 data'!F$4,0)</f>
        <v>58</v>
      </c>
      <c r="G173" s="230">
        <f>VLOOKUP($A173,'Table 17 data'!$A$9:$S$186,'Table 16 data'!$D$174+'Table 17 data'!G$4,0)</f>
        <v>60.1</v>
      </c>
      <c r="H173" s="230">
        <f>VLOOKUP($A173,'Table 17 data'!$A$9:$S$186,'Table 16 data'!$D$174+'Table 17 data'!H$4,0)</f>
        <v>62.9</v>
      </c>
      <c r="I173" s="230">
        <f>VLOOKUP($A173,'Table 17 data'!$A$9:$S$186,'Table 16 data'!$D$174+'Table 17 data'!I$4,0)</f>
        <v>62.3</v>
      </c>
      <c r="J173" s="230">
        <f>VLOOKUP($A173,'Table 17 data'!$A$9:$S$186,'Table 16 data'!$D$174+'Table 17 data'!J$4,0)</f>
        <v>61.8</v>
      </c>
    </row>
    <row r="174" spans="1:10" ht="11.25" customHeight="1" x14ac:dyDescent="0.2">
      <c r="A174" s="29" t="s">
        <v>300</v>
      </c>
      <c r="B174" s="126" t="s">
        <v>301</v>
      </c>
      <c r="C174" s="230">
        <f>VLOOKUP($A174,'Table 17 data'!$A$9:$S$186,'Table 16 data'!$D$174+'Table 17 data'!C$4,0)</f>
        <v>77.8</v>
      </c>
      <c r="D174" s="230">
        <f>VLOOKUP($A174,'Table 17 data'!$A$9:$S$186,'Table 16 data'!$D$174+'Table 17 data'!D$4,0)</f>
        <v>64.7</v>
      </c>
      <c r="E174" s="230">
        <f>VLOOKUP($A174,'Table 17 data'!$A$9:$S$186,'Table 16 data'!$D$174+'Table 17 data'!E$4,0)</f>
        <v>69.599999999999994</v>
      </c>
      <c r="F174" s="230">
        <f>VLOOKUP($A174,'Table 17 data'!$A$9:$S$186,'Table 16 data'!$D$174+'Table 17 data'!F$4,0)</f>
        <v>80</v>
      </c>
      <c r="G174" s="230">
        <f>VLOOKUP($A174,'Table 17 data'!$A$9:$S$186,'Table 16 data'!$D$174+'Table 17 data'!G$4,0)</f>
        <v>68.2</v>
      </c>
      <c r="H174" s="230">
        <f>VLOOKUP($A174,'Table 17 data'!$A$9:$S$186,'Table 16 data'!$D$174+'Table 17 data'!H$4,0)</f>
        <v>68.400000000000006</v>
      </c>
      <c r="I174" s="230">
        <f>VLOOKUP($A174,'Table 17 data'!$A$9:$S$186,'Table 16 data'!$D$174+'Table 17 data'!I$4,0)</f>
        <v>86.4</v>
      </c>
      <c r="J174" s="230">
        <f>VLOOKUP($A174,'Table 17 data'!$A$9:$S$186,'Table 16 data'!$D$174+'Table 17 data'!J$4,0)</f>
        <v>81</v>
      </c>
    </row>
    <row r="175" spans="1:10" ht="11.25" customHeight="1" x14ac:dyDescent="0.2">
      <c r="A175" s="31" t="s">
        <v>316</v>
      </c>
      <c r="B175" s="126" t="s">
        <v>317</v>
      </c>
      <c r="C175" s="230">
        <f>VLOOKUP($A175,'Table 17 data'!$A$9:$S$186,'Table 16 data'!$D$174+'Table 17 data'!C$4,0)</f>
        <v>47.4</v>
      </c>
      <c r="D175" s="230">
        <f>VLOOKUP($A175,'Table 17 data'!$A$9:$S$186,'Table 16 data'!$D$174+'Table 17 data'!D$4,0)</f>
        <v>48.5</v>
      </c>
      <c r="E175" s="230">
        <f>VLOOKUP($A175,'Table 17 data'!$A$9:$S$186,'Table 16 data'!$D$174+'Table 17 data'!E$4,0)</f>
        <v>50.5</v>
      </c>
      <c r="F175" s="230">
        <f>VLOOKUP($A175,'Table 17 data'!$A$9:$S$186,'Table 16 data'!$D$174+'Table 17 data'!F$4,0)</f>
        <v>52</v>
      </c>
      <c r="G175" s="230">
        <f>VLOOKUP($A175,'Table 17 data'!$A$9:$S$186,'Table 16 data'!$D$174+'Table 17 data'!G$4,0)</f>
        <v>56.1</v>
      </c>
      <c r="H175" s="230">
        <f>VLOOKUP($A175,'Table 17 data'!$A$9:$S$186,'Table 16 data'!$D$174+'Table 17 data'!H$4,0)</f>
        <v>57.5</v>
      </c>
      <c r="I175" s="230">
        <f>VLOOKUP($A175,'Table 17 data'!$A$9:$S$186,'Table 16 data'!$D$174+'Table 17 data'!I$4,0)</f>
        <v>58.8</v>
      </c>
      <c r="J175" s="230">
        <f>VLOOKUP($A175,'Table 17 data'!$A$9:$S$186,'Table 16 data'!$D$174+'Table 17 data'!J$4,0)</f>
        <v>58.5</v>
      </c>
    </row>
    <row r="176" spans="1:10" ht="11.25" customHeight="1" x14ac:dyDescent="0.2">
      <c r="A176" s="31" t="s">
        <v>318</v>
      </c>
      <c r="B176" s="126" t="s">
        <v>319</v>
      </c>
      <c r="C176" s="230">
        <f>VLOOKUP($A176,'Table 17 data'!$A$9:$S$186,'Table 16 data'!$D$174+'Table 17 data'!C$4,0)</f>
        <v>42.5</v>
      </c>
      <c r="D176" s="230">
        <f>VLOOKUP($A176,'Table 17 data'!$A$9:$S$186,'Table 16 data'!$D$174+'Table 17 data'!D$4,0)</f>
        <v>44.1</v>
      </c>
      <c r="E176" s="230">
        <f>VLOOKUP($A176,'Table 17 data'!$A$9:$S$186,'Table 16 data'!$D$174+'Table 17 data'!E$4,0)</f>
        <v>46.3</v>
      </c>
      <c r="F176" s="230">
        <f>VLOOKUP($A176,'Table 17 data'!$A$9:$S$186,'Table 16 data'!$D$174+'Table 17 data'!F$4,0)</f>
        <v>49.1</v>
      </c>
      <c r="G176" s="230">
        <f>VLOOKUP($A176,'Table 17 data'!$A$9:$S$186,'Table 16 data'!$D$174+'Table 17 data'!G$4,0)</f>
        <v>54.2</v>
      </c>
      <c r="H176" s="230">
        <f>VLOOKUP($A176,'Table 17 data'!$A$9:$S$186,'Table 16 data'!$D$174+'Table 17 data'!H$4,0)</f>
        <v>56.8</v>
      </c>
      <c r="I176" s="230">
        <f>VLOOKUP($A176,'Table 17 data'!$A$9:$S$186,'Table 16 data'!$D$174+'Table 17 data'!I$4,0)</f>
        <v>57.5</v>
      </c>
      <c r="J176" s="230">
        <f>VLOOKUP($A176,'Table 17 data'!$A$9:$S$186,'Table 16 data'!$D$174+'Table 17 data'!J$4,0)</f>
        <v>60.8</v>
      </c>
    </row>
    <row r="177" spans="1:11" ht="11.25" customHeight="1" x14ac:dyDescent="0.2">
      <c r="A177" s="31" t="s">
        <v>320</v>
      </c>
      <c r="B177" s="126" t="s">
        <v>321</v>
      </c>
      <c r="C177" s="230">
        <f>VLOOKUP($A177,'Table 17 data'!$A$9:$S$186,'Table 16 data'!$D$174+'Table 17 data'!C$4,0)</f>
        <v>52</v>
      </c>
      <c r="D177" s="230">
        <f>VLOOKUP($A177,'Table 17 data'!$A$9:$S$186,'Table 16 data'!$D$174+'Table 17 data'!D$4,0)</f>
        <v>54.5</v>
      </c>
      <c r="E177" s="230">
        <f>VLOOKUP($A177,'Table 17 data'!$A$9:$S$186,'Table 16 data'!$D$174+'Table 17 data'!E$4,0)</f>
        <v>56.5</v>
      </c>
      <c r="F177" s="230">
        <f>VLOOKUP($A177,'Table 17 data'!$A$9:$S$186,'Table 16 data'!$D$174+'Table 17 data'!F$4,0)</f>
        <v>56.5</v>
      </c>
      <c r="G177" s="230">
        <f>VLOOKUP($A177,'Table 17 data'!$A$9:$S$186,'Table 16 data'!$D$174+'Table 17 data'!G$4,0)</f>
        <v>55.3</v>
      </c>
      <c r="H177" s="230">
        <f>VLOOKUP($A177,'Table 17 data'!$A$9:$S$186,'Table 16 data'!$D$174+'Table 17 data'!H$4,0)</f>
        <v>57.2</v>
      </c>
      <c r="I177" s="230">
        <f>VLOOKUP($A177,'Table 17 data'!$A$9:$S$186,'Table 16 data'!$D$174+'Table 17 data'!I$4,0)</f>
        <v>58.8</v>
      </c>
      <c r="J177" s="230">
        <f>VLOOKUP($A177,'Table 17 data'!$A$9:$S$186,'Table 16 data'!$D$174+'Table 17 data'!J$4,0)</f>
        <v>62.3</v>
      </c>
    </row>
    <row r="178" spans="1:11" ht="11.25" customHeight="1" x14ac:dyDescent="0.2">
      <c r="A178" s="31" t="s">
        <v>322</v>
      </c>
      <c r="B178" s="126" t="s">
        <v>323</v>
      </c>
      <c r="C178" s="230">
        <f>VLOOKUP($A178,'Table 17 data'!$A$9:$S$186,'Table 16 data'!$D$174+'Table 17 data'!C$4,0)</f>
        <v>44.4</v>
      </c>
      <c r="D178" s="230">
        <f>VLOOKUP($A178,'Table 17 data'!$A$9:$S$186,'Table 16 data'!$D$174+'Table 17 data'!D$4,0)</f>
        <v>46.8</v>
      </c>
      <c r="E178" s="230">
        <f>VLOOKUP($A178,'Table 17 data'!$A$9:$S$186,'Table 16 data'!$D$174+'Table 17 data'!E$4,0)</f>
        <v>46.8</v>
      </c>
      <c r="F178" s="230">
        <f>VLOOKUP($A178,'Table 17 data'!$A$9:$S$186,'Table 16 data'!$D$174+'Table 17 data'!F$4,0)</f>
        <v>49</v>
      </c>
      <c r="G178" s="230">
        <f>VLOOKUP($A178,'Table 17 data'!$A$9:$S$186,'Table 16 data'!$D$174+'Table 17 data'!G$4,0)</f>
        <v>54</v>
      </c>
      <c r="H178" s="230">
        <f>VLOOKUP($A178,'Table 17 data'!$A$9:$S$186,'Table 16 data'!$D$174+'Table 17 data'!H$4,0)</f>
        <v>57</v>
      </c>
      <c r="I178" s="230">
        <f>VLOOKUP($A178,'Table 17 data'!$A$9:$S$186,'Table 16 data'!$D$174+'Table 17 data'!I$4,0)</f>
        <v>56.5</v>
      </c>
      <c r="J178" s="230">
        <f>VLOOKUP($A178,'Table 17 data'!$A$9:$S$186,'Table 16 data'!$D$174+'Table 17 data'!J$4,0)</f>
        <v>58</v>
      </c>
    </row>
    <row r="179" spans="1:11" ht="11.25" customHeight="1" x14ac:dyDescent="0.2">
      <c r="A179" s="31" t="s">
        <v>324</v>
      </c>
      <c r="B179" s="126" t="s">
        <v>325</v>
      </c>
      <c r="C179" s="230">
        <f>VLOOKUP($A179,'Table 17 data'!$A$9:$S$186,'Table 16 data'!$D$174+'Table 17 data'!C$4,0)</f>
        <v>44.4</v>
      </c>
      <c r="D179" s="230">
        <f>VLOOKUP($A179,'Table 17 data'!$A$9:$S$186,'Table 16 data'!$D$174+'Table 17 data'!D$4,0)</f>
        <v>45.4</v>
      </c>
      <c r="E179" s="230">
        <f>VLOOKUP($A179,'Table 17 data'!$A$9:$S$186,'Table 16 data'!$D$174+'Table 17 data'!E$4,0)</f>
        <v>48.1</v>
      </c>
      <c r="F179" s="230">
        <f>VLOOKUP($A179,'Table 17 data'!$A$9:$S$186,'Table 16 data'!$D$174+'Table 17 data'!F$4,0)</f>
        <v>49.2</v>
      </c>
      <c r="G179" s="230">
        <f>VLOOKUP($A179,'Table 17 data'!$A$9:$S$186,'Table 16 data'!$D$174+'Table 17 data'!G$4,0)</f>
        <v>56</v>
      </c>
      <c r="H179" s="230">
        <f>VLOOKUP($A179,'Table 17 data'!$A$9:$S$186,'Table 16 data'!$D$174+'Table 17 data'!H$4,0)</f>
        <v>55.5</v>
      </c>
      <c r="I179" s="230">
        <f>VLOOKUP($A179,'Table 17 data'!$A$9:$S$186,'Table 16 data'!$D$174+'Table 17 data'!I$4,0)</f>
        <v>56.4</v>
      </c>
      <c r="J179" s="230">
        <f>VLOOKUP($A179,'Table 17 data'!$A$9:$S$186,'Table 16 data'!$D$174+'Table 17 data'!J$4,0)</f>
        <v>56.7</v>
      </c>
    </row>
    <row r="180" spans="1:11" ht="11.25" customHeight="1" x14ac:dyDescent="0.2">
      <c r="A180" s="31" t="s">
        <v>326</v>
      </c>
      <c r="B180" s="126" t="s">
        <v>327</v>
      </c>
      <c r="C180" s="230">
        <f>VLOOKUP($A180,'Table 17 data'!$A$9:$S$186,'Table 16 data'!$D$174+'Table 17 data'!C$4,0)</f>
        <v>40.700000000000003</v>
      </c>
      <c r="D180" s="230">
        <f>VLOOKUP($A180,'Table 17 data'!$A$9:$S$186,'Table 16 data'!$D$174+'Table 17 data'!D$4,0)</f>
        <v>41.4</v>
      </c>
      <c r="E180" s="230">
        <f>VLOOKUP($A180,'Table 17 data'!$A$9:$S$186,'Table 16 data'!$D$174+'Table 17 data'!E$4,0)</f>
        <v>40.9</v>
      </c>
      <c r="F180" s="230">
        <f>VLOOKUP($A180,'Table 17 data'!$A$9:$S$186,'Table 16 data'!$D$174+'Table 17 data'!F$4,0)</f>
        <v>45.6</v>
      </c>
      <c r="G180" s="230">
        <f>VLOOKUP($A180,'Table 17 data'!$A$9:$S$186,'Table 16 data'!$D$174+'Table 17 data'!G$4,0)</f>
        <v>49.9</v>
      </c>
      <c r="H180" s="230">
        <f>VLOOKUP($A180,'Table 17 data'!$A$9:$S$186,'Table 16 data'!$D$174+'Table 17 data'!H$4,0)</f>
        <v>52.4</v>
      </c>
      <c r="I180" s="230">
        <f>VLOOKUP($A180,'Table 17 data'!$A$9:$S$186,'Table 16 data'!$D$174+'Table 17 data'!I$4,0)</f>
        <v>52.7</v>
      </c>
      <c r="J180" s="230">
        <f>VLOOKUP($A180,'Table 17 data'!$A$9:$S$186,'Table 16 data'!$D$174+'Table 17 data'!J$4,0)</f>
        <v>56.4</v>
      </c>
    </row>
    <row r="181" spans="1:11" ht="11.25" customHeight="1" x14ac:dyDescent="0.2">
      <c r="A181" s="31" t="s">
        <v>328</v>
      </c>
      <c r="B181" s="126" t="s">
        <v>329</v>
      </c>
      <c r="C181" s="230">
        <f>VLOOKUP($A181,'Table 17 data'!$A$9:$S$186,'Table 16 data'!$D$174+'Table 17 data'!C$4,0)</f>
        <v>45.5</v>
      </c>
      <c r="D181" s="230">
        <f>VLOOKUP($A181,'Table 17 data'!$A$9:$S$186,'Table 16 data'!$D$174+'Table 17 data'!D$4,0)</f>
        <v>50.6</v>
      </c>
      <c r="E181" s="230">
        <f>VLOOKUP($A181,'Table 17 data'!$A$9:$S$186,'Table 16 data'!$D$174+'Table 17 data'!E$4,0)</f>
        <v>48.1</v>
      </c>
      <c r="F181" s="230">
        <f>VLOOKUP($A181,'Table 17 data'!$A$9:$S$186,'Table 16 data'!$D$174+'Table 17 data'!F$4,0)</f>
        <v>53.7</v>
      </c>
      <c r="G181" s="230">
        <f>VLOOKUP($A181,'Table 17 data'!$A$9:$S$186,'Table 16 data'!$D$174+'Table 17 data'!G$4,0)</f>
        <v>54.1</v>
      </c>
      <c r="H181" s="230">
        <f>VLOOKUP($A181,'Table 17 data'!$A$9:$S$186,'Table 16 data'!$D$174+'Table 17 data'!H$4,0)</f>
        <v>57.2</v>
      </c>
      <c r="I181" s="230">
        <f>VLOOKUP($A181,'Table 17 data'!$A$9:$S$186,'Table 16 data'!$D$174+'Table 17 data'!I$4,0)</f>
        <v>60.5</v>
      </c>
      <c r="J181" s="230">
        <f>VLOOKUP($A181,'Table 17 data'!$A$9:$S$186,'Table 16 data'!$D$174+'Table 17 data'!J$4,0)</f>
        <v>60.9</v>
      </c>
    </row>
    <row r="182" spans="1:11" ht="11.25" customHeight="1" x14ac:dyDescent="0.2">
      <c r="A182" s="31" t="s">
        <v>330</v>
      </c>
      <c r="B182" s="126" t="s">
        <v>331</v>
      </c>
      <c r="C182" s="230">
        <f>VLOOKUP($A182,'Table 17 data'!$A$9:$S$186,'Table 16 data'!$D$174+'Table 17 data'!C$4,0)</f>
        <v>48.5</v>
      </c>
      <c r="D182" s="230">
        <f>VLOOKUP($A182,'Table 17 data'!$A$9:$S$186,'Table 16 data'!$D$174+'Table 17 data'!D$4,0)</f>
        <v>49.6</v>
      </c>
      <c r="E182" s="230">
        <f>VLOOKUP($A182,'Table 17 data'!$A$9:$S$186,'Table 16 data'!$D$174+'Table 17 data'!E$4,0)</f>
        <v>53.2</v>
      </c>
      <c r="F182" s="230">
        <f>VLOOKUP($A182,'Table 17 data'!$A$9:$S$186,'Table 16 data'!$D$174+'Table 17 data'!F$4,0)</f>
        <v>55.4</v>
      </c>
      <c r="G182" s="230">
        <f>VLOOKUP($A182,'Table 17 data'!$A$9:$S$186,'Table 16 data'!$D$174+'Table 17 data'!G$4,0)</f>
        <v>55.8</v>
      </c>
      <c r="H182" s="230">
        <f>VLOOKUP($A182,'Table 17 data'!$A$9:$S$186,'Table 16 data'!$D$174+'Table 17 data'!H$4,0)</f>
        <v>60.5</v>
      </c>
      <c r="I182" s="230">
        <f>VLOOKUP($A182,'Table 17 data'!$A$9:$S$186,'Table 16 data'!$D$174+'Table 17 data'!I$4,0)</f>
        <v>59.3</v>
      </c>
      <c r="J182" s="230">
        <f>VLOOKUP($A182,'Table 17 data'!$A$9:$S$186,'Table 16 data'!$D$174+'Table 17 data'!J$4,0)</f>
        <v>61</v>
      </c>
    </row>
    <row r="183" spans="1:11" s="3" customFormat="1" ht="11.25" customHeight="1" x14ac:dyDescent="0.2">
      <c r="C183" s="231"/>
      <c r="D183" s="231"/>
      <c r="E183" s="231"/>
      <c r="F183" s="231"/>
      <c r="G183" s="231"/>
      <c r="H183" s="231"/>
      <c r="I183" s="233"/>
      <c r="J183" s="239"/>
    </row>
    <row r="184" spans="1:11" s="51" customFormat="1" ht="12.75" customHeight="1" x14ac:dyDescent="0.2">
      <c r="A184" s="56" t="s">
        <v>444</v>
      </c>
      <c r="B184" s="33"/>
      <c r="C184" s="229">
        <f>VLOOKUP($A184,'Table 17 data'!$A$9:$S$186,'Table 16 data'!$D$174+'Table 17 data'!C$4,0)</f>
        <v>44.1</v>
      </c>
      <c r="D184" s="229">
        <f>VLOOKUP($A184,'Table 17 data'!$A$9:$S$186,'Table 16 data'!$D$174+'Table 17 data'!D$4,0)</f>
        <v>45.9</v>
      </c>
      <c r="E184" s="229">
        <f>VLOOKUP($A184,'Table 17 data'!$A$9:$S$186,'Table 16 data'!$D$174+'Table 17 data'!E$4,0)</f>
        <v>48.4</v>
      </c>
      <c r="F184" s="229">
        <f>VLOOKUP($A184,'Table 17 data'!$A$9:$S$186,'Table 16 data'!$D$174+'Table 17 data'!F$4,0)</f>
        <v>50.9</v>
      </c>
      <c r="G184" s="229">
        <f>VLOOKUP($A184,'Table 17 data'!$A$9:$S$186,'Table 16 data'!$D$174+'Table 17 data'!G$4,0)</f>
        <v>55.3</v>
      </c>
      <c r="H184" s="229">
        <f>VLOOKUP($A184,'Table 17 data'!$A$9:$S$186,'Table 16 data'!$D$174+'Table 17 data'!H$4,0)</f>
        <v>58.4</v>
      </c>
      <c r="I184" s="229">
        <f>VLOOKUP($A184,'Table 17 data'!$A$9:$S$186,'Table 16 data'!$D$174+'Table 17 data'!I$4,0)</f>
        <v>59.1</v>
      </c>
      <c r="J184" s="229">
        <f>VLOOKUP($A184,'Table 17 data'!$A$9:$S$186,'Table 16 data'!$D$174+'Table 17 data'!J$4,0)</f>
        <v>60.8</v>
      </c>
    </row>
    <row r="185" spans="1:11" ht="11.25" customHeight="1" x14ac:dyDescent="0.2">
      <c r="A185" s="56"/>
      <c r="B185" s="56"/>
      <c r="C185" s="240"/>
      <c r="D185" s="240"/>
      <c r="E185" s="231"/>
      <c r="F185" s="241"/>
      <c r="G185" s="231"/>
      <c r="H185" s="231"/>
      <c r="I185" s="242"/>
      <c r="J185" s="235"/>
    </row>
    <row r="186" spans="1:11" ht="11.25" customHeight="1" x14ac:dyDescent="0.2">
      <c r="A186" s="17" t="s">
        <v>461</v>
      </c>
      <c r="B186" s="33" t="s">
        <v>332</v>
      </c>
      <c r="C186" s="229">
        <f>VLOOKUP($A186,'Table 17 data'!$A$9:$S$186,'Table 16 data'!$D$174+'Table 17 data'!C$4,0)</f>
        <v>45.6</v>
      </c>
      <c r="D186" s="229">
        <f>VLOOKUP($A186,'Table 17 data'!$A$9:$S$186,'Table 16 data'!$D$174+'Table 17 data'!D$4,0)</f>
        <v>46.3</v>
      </c>
      <c r="E186" s="229">
        <f>VLOOKUP($A186,'Table 17 data'!$A$9:$S$186,'Table 16 data'!$D$174+'Table 17 data'!E$4,0)</f>
        <v>47.6</v>
      </c>
      <c r="F186" s="229">
        <f>VLOOKUP($A186,'Table 17 data'!$A$9:$S$186,'Table 16 data'!$D$174+'Table 17 data'!F$4,0)</f>
        <v>49.8</v>
      </c>
      <c r="G186" s="229">
        <f>VLOOKUP($A186,'Table 17 data'!$A$9:$S$186,'Table 16 data'!$D$174+'Table 17 data'!G$4,0)</f>
        <v>53.5</v>
      </c>
      <c r="H186" s="229">
        <f>VLOOKUP($A186,'Table 17 data'!$A$9:$S$186,'Table 16 data'!$D$174+'Table 17 data'!H$4,0)</f>
        <v>59</v>
      </c>
      <c r="I186" s="229">
        <f>VLOOKUP($A186,'Table 17 data'!$A$9:$S$186,'Table 16 data'!$D$174+'Table 17 data'!I$4,0)</f>
        <v>59.4</v>
      </c>
      <c r="J186" s="229">
        <f>VLOOKUP($A186,'Table 17 data'!$A$9:$S$186,'Table 16 data'!$D$174+'Table 17 data'!J$4,0)</f>
        <v>59.2</v>
      </c>
    </row>
    <row r="187" spans="1:11" ht="12.75" x14ac:dyDescent="0.2">
      <c r="A187" s="60"/>
      <c r="B187" s="60"/>
      <c r="C187" s="60"/>
      <c r="D187" s="60"/>
      <c r="E187" s="61"/>
      <c r="F187" s="62"/>
      <c r="G187" s="62"/>
      <c r="H187" s="44"/>
      <c r="I187" s="182"/>
      <c r="J187" s="44"/>
    </row>
    <row r="188" spans="1:11" ht="11.25" customHeight="1" x14ac:dyDescent="0.2">
      <c r="A188" s="63"/>
      <c r="B188" s="63"/>
      <c r="C188" s="64"/>
      <c r="D188" s="63"/>
      <c r="E188" s="128"/>
      <c r="F188" s="147"/>
      <c r="G188" s="147"/>
      <c r="H188" s="147"/>
      <c r="I188" s="147"/>
      <c r="J188" s="140" t="s">
        <v>456</v>
      </c>
    </row>
    <row r="189" spans="1:11" ht="45" customHeight="1" x14ac:dyDescent="0.2">
      <c r="A189" s="504" t="s">
        <v>440</v>
      </c>
      <c r="B189" s="504"/>
      <c r="C189" s="504"/>
      <c r="D189" s="504"/>
      <c r="E189" s="504"/>
      <c r="F189" s="504"/>
      <c r="G189" s="504"/>
      <c r="H189" s="504"/>
      <c r="I189" s="504"/>
      <c r="J189" s="504"/>
    </row>
    <row r="190" spans="1:11" ht="11.25" customHeight="1" x14ac:dyDescent="0.2">
      <c r="A190" s="466" t="s">
        <v>436</v>
      </c>
      <c r="B190" s="466"/>
      <c r="C190" s="466"/>
      <c r="D190" s="466"/>
      <c r="E190" s="466"/>
      <c r="F190" s="162"/>
      <c r="G190" s="162"/>
      <c r="H190" s="162"/>
      <c r="I190" s="162"/>
      <c r="J190" s="162"/>
    </row>
    <row r="191" spans="1:11" ht="22.5" customHeight="1" x14ac:dyDescent="0.2">
      <c r="A191" s="504" t="s">
        <v>441</v>
      </c>
      <c r="B191" s="504"/>
      <c r="C191" s="504"/>
      <c r="D191" s="504"/>
      <c r="E191" s="504"/>
      <c r="F191" s="504"/>
      <c r="G191" s="504"/>
      <c r="H191" s="504"/>
      <c r="I191" s="504"/>
      <c r="J191" s="504"/>
    </row>
    <row r="192" spans="1:11" ht="22.5" customHeight="1" x14ac:dyDescent="0.2">
      <c r="A192" s="479" t="s">
        <v>746</v>
      </c>
      <c r="B192" s="479"/>
      <c r="C192" s="479"/>
      <c r="D192" s="479"/>
      <c r="E192" s="479"/>
      <c r="F192" s="479"/>
      <c r="G192" s="479"/>
      <c r="H192" s="479"/>
      <c r="I192" s="479"/>
      <c r="J192" s="479"/>
      <c r="K192" s="169"/>
    </row>
    <row r="193" spans="1:10" ht="11.25" customHeight="1" x14ac:dyDescent="0.2">
      <c r="A193" s="507" t="s">
        <v>463</v>
      </c>
      <c r="B193" s="507"/>
      <c r="C193" s="507"/>
      <c r="D193" s="507"/>
      <c r="E193" s="507"/>
      <c r="F193" s="507"/>
      <c r="G193" s="507"/>
      <c r="H193" s="507"/>
      <c r="I193" s="507"/>
      <c r="J193" s="507"/>
    </row>
    <row r="194" spans="1:10" ht="11.25" customHeight="1" x14ac:dyDescent="0.2">
      <c r="A194" s="153"/>
      <c r="B194" s="153"/>
      <c r="C194" s="153"/>
      <c r="D194" s="153"/>
      <c r="E194" s="153"/>
      <c r="F194" s="153"/>
      <c r="G194" s="153"/>
      <c r="H194" s="153"/>
      <c r="I194" s="153"/>
      <c r="J194" s="153"/>
    </row>
    <row r="195" spans="1:10" ht="11.25" customHeight="1" x14ac:dyDescent="0.2">
      <c r="A195" s="3" t="s">
        <v>349</v>
      </c>
      <c r="B195" s="3"/>
      <c r="C195" s="154"/>
      <c r="D195" s="154"/>
      <c r="E195" s="128"/>
      <c r="F195" s="3"/>
      <c r="G195" s="3"/>
      <c r="H195" s="3"/>
      <c r="I195" s="3"/>
      <c r="J195" s="3"/>
    </row>
    <row r="196" spans="1:10" ht="11.25" customHeight="1" x14ac:dyDescent="0.2">
      <c r="A196" s="2"/>
      <c r="B196" s="2"/>
      <c r="C196" s="66"/>
      <c r="D196" s="66"/>
      <c r="F196" s="2"/>
      <c r="G196" s="2"/>
      <c r="H196" s="2"/>
      <c r="I196" s="2"/>
      <c r="J196" s="2"/>
    </row>
  </sheetData>
  <sheetProtection sheet="1"/>
  <protectedRanges>
    <protectedRange sqref="I3" name="Range1"/>
  </protectedRanges>
  <mergeCells count="13">
    <mergeCell ref="A191:J191"/>
    <mergeCell ref="A193:J193"/>
    <mergeCell ref="C5:J5"/>
    <mergeCell ref="C6:J6"/>
    <mergeCell ref="A192:J192"/>
    <mergeCell ref="I2:J2"/>
    <mergeCell ref="A1:J1"/>
    <mergeCell ref="A190:E190"/>
    <mergeCell ref="A189:J189"/>
    <mergeCell ref="C2:D2"/>
    <mergeCell ref="B5:B7"/>
    <mergeCell ref="A5:A7"/>
    <mergeCell ref="I3:J3"/>
  </mergeCells>
  <phoneticPr fontId="22" type="noConversion"/>
  <conditionalFormatting sqref="A167:A182">
    <cfRule type="cellIs" dxfId="6" priority="1" stopIfTrue="1" operator="equal">
      <formula>"x"</formula>
    </cfRule>
  </conditionalFormatting>
  <dataValidations count="1">
    <dataValidation type="list" allowBlank="1" showInputMessage="1" showErrorMessage="1" sqref="I3:J3" xr:uid="{B120A9EF-3B08-4AFD-B62A-56B9648F06E9}">
      <formula1>Table17dropdown</formula1>
    </dataValidation>
  </dataValidations>
  <pageMargins left="0.74803149606299213" right="0.74803149606299213" top="0.98425196850393704" bottom="0.98425196850393704" header="0.51181102362204722" footer="0.51181102362204722"/>
  <pageSetup paperSize="9" scale="75" fitToHeight="0" orientation="portrait"/>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D06B-1017-44D1-A57E-E413EC57C104}">
  <sheetPr>
    <tabColor indexed="42"/>
  </sheetPr>
  <dimension ref="A1:V195"/>
  <sheetViews>
    <sheetView showGridLines="0" topLeftCell="D1" zoomScaleNormal="100" workbookViewId="0">
      <selection activeCell="S9" sqref="S9"/>
    </sheetView>
  </sheetViews>
  <sheetFormatPr defaultColWidth="8.85546875" defaultRowHeight="13.5" x14ac:dyDescent="0.25"/>
  <cols>
    <col min="1" max="1" width="27.7109375" style="9" customWidth="1"/>
    <col min="2" max="2" width="8.7109375" style="9" customWidth="1"/>
    <col min="3" max="3" width="9.85546875" style="67" customWidth="1"/>
    <col min="4" max="4" width="9.7109375" style="9" customWidth="1"/>
    <col min="5" max="5" width="9.85546875" style="65" customWidth="1"/>
    <col min="6" max="7" width="9.7109375" customWidth="1"/>
    <col min="8" max="10" width="9.85546875" style="68" customWidth="1"/>
    <col min="11" max="11" width="1.7109375" customWidth="1"/>
    <col min="12" max="12" width="9.85546875" customWidth="1"/>
    <col min="13" max="13" width="9.7109375" customWidth="1"/>
    <col min="14" max="14" width="9.85546875" customWidth="1"/>
    <col min="15" max="16" width="9.7109375" customWidth="1"/>
    <col min="17" max="18" width="9.85546875" style="68" customWidth="1"/>
  </cols>
  <sheetData>
    <row r="1" spans="1:22" ht="12.75" customHeight="1" x14ac:dyDescent="0.2">
      <c r="A1" s="517" t="s">
        <v>368</v>
      </c>
      <c r="B1" s="517"/>
      <c r="C1" s="517"/>
      <c r="D1" s="517"/>
      <c r="E1" s="517"/>
      <c r="F1" s="517"/>
      <c r="G1" s="517"/>
      <c r="H1" s="517"/>
      <c r="I1" s="517"/>
      <c r="J1" s="517"/>
      <c r="K1" s="517"/>
      <c r="L1" s="517"/>
      <c r="M1" s="517"/>
      <c r="N1" s="517"/>
      <c r="O1" s="517"/>
      <c r="P1" s="517"/>
      <c r="Q1" s="517"/>
      <c r="R1" s="517"/>
      <c r="S1" s="517"/>
    </row>
    <row r="2" spans="1:22" ht="13.5" customHeight="1" x14ac:dyDescent="0.2">
      <c r="A2" s="171" t="s">
        <v>433</v>
      </c>
      <c r="B2" s="171"/>
      <c r="C2" s="461"/>
      <c r="D2" s="461"/>
      <c r="E2" s="40"/>
      <c r="F2" s="41"/>
      <c r="G2" s="527"/>
      <c r="H2" s="527"/>
      <c r="I2" s="527"/>
      <c r="J2" s="527"/>
      <c r="K2" s="527"/>
      <c r="L2" s="527"/>
      <c r="M2" s="527"/>
      <c r="N2" s="527"/>
      <c r="O2" s="527"/>
      <c r="P2" s="527"/>
      <c r="Q2" s="168"/>
      <c r="R2" s="168"/>
      <c r="S2" s="42"/>
    </row>
    <row r="3" spans="1:22" ht="12.75" customHeight="1" x14ac:dyDescent="0.2">
      <c r="A3" s="168" t="s">
        <v>9</v>
      </c>
      <c r="B3" s="168"/>
      <c r="C3" s="168"/>
      <c r="D3" s="40"/>
      <c r="E3" s="43"/>
      <c r="F3" s="42"/>
      <c r="G3" s="42"/>
      <c r="H3" s="42"/>
      <c r="I3" s="42"/>
      <c r="J3" s="42"/>
      <c r="K3" s="42"/>
      <c r="L3" s="42"/>
      <c r="M3" s="42"/>
      <c r="N3" s="42"/>
      <c r="O3" s="42"/>
      <c r="P3" s="42"/>
      <c r="Q3" s="42"/>
      <c r="R3" s="42"/>
      <c r="S3" s="42"/>
    </row>
    <row r="4" spans="1:22" ht="11.25" customHeight="1" x14ac:dyDescent="0.2">
      <c r="A4" s="215"/>
      <c r="B4" s="215"/>
      <c r="C4" s="223">
        <v>0</v>
      </c>
      <c r="D4" s="223">
        <f t="shared" ref="D4:S4" si="0">C4+1</f>
        <v>1</v>
      </c>
      <c r="E4" s="223">
        <f t="shared" si="0"/>
        <v>2</v>
      </c>
      <c r="F4" s="223">
        <f t="shared" si="0"/>
        <v>3</v>
      </c>
      <c r="G4" s="223">
        <f t="shared" si="0"/>
        <v>4</v>
      </c>
      <c r="H4" s="223">
        <f t="shared" si="0"/>
        <v>5</v>
      </c>
      <c r="I4" s="223">
        <f t="shared" si="0"/>
        <v>6</v>
      </c>
      <c r="J4" s="223">
        <f t="shared" si="0"/>
        <v>7</v>
      </c>
      <c r="K4" s="223">
        <f t="shared" si="0"/>
        <v>8</v>
      </c>
      <c r="L4" s="223">
        <f t="shared" si="0"/>
        <v>9</v>
      </c>
      <c r="M4" s="223">
        <f t="shared" si="0"/>
        <v>10</v>
      </c>
      <c r="N4" s="223">
        <f t="shared" si="0"/>
        <v>11</v>
      </c>
      <c r="O4" s="223">
        <f t="shared" si="0"/>
        <v>12</v>
      </c>
      <c r="P4" s="223">
        <f t="shared" si="0"/>
        <v>13</v>
      </c>
      <c r="Q4" s="223">
        <f t="shared" si="0"/>
        <v>14</v>
      </c>
      <c r="R4" s="223">
        <f t="shared" si="0"/>
        <v>15</v>
      </c>
      <c r="S4" s="223">
        <f t="shared" si="0"/>
        <v>16</v>
      </c>
      <c r="T4" s="224"/>
      <c r="U4" s="224"/>
    </row>
    <row r="5" spans="1:22" ht="19.5" customHeight="1" x14ac:dyDescent="0.2">
      <c r="A5" s="518" t="s">
        <v>378</v>
      </c>
      <c r="B5" s="518" t="s">
        <v>379</v>
      </c>
      <c r="C5" s="514" t="s">
        <v>366</v>
      </c>
      <c r="D5" s="514"/>
      <c r="E5" s="514"/>
      <c r="F5" s="514"/>
      <c r="G5" s="514"/>
      <c r="H5" s="514"/>
      <c r="I5" s="514"/>
      <c r="J5" s="514"/>
      <c r="K5" s="514"/>
      <c r="L5" s="514"/>
      <c r="M5" s="514"/>
      <c r="N5" s="514"/>
      <c r="O5" s="514"/>
      <c r="P5" s="514"/>
      <c r="Q5" s="514"/>
      <c r="R5" s="514"/>
      <c r="S5" s="514"/>
    </row>
    <row r="6" spans="1:22" ht="12.75" customHeight="1" x14ac:dyDescent="0.2">
      <c r="A6" s="519"/>
      <c r="B6" s="519"/>
      <c r="C6" s="526" t="s">
        <v>333</v>
      </c>
      <c r="D6" s="526"/>
      <c r="E6" s="526"/>
      <c r="F6" s="526"/>
      <c r="G6" s="526"/>
      <c r="H6" s="526"/>
      <c r="I6" s="177"/>
      <c r="J6" s="177"/>
      <c r="K6" s="178"/>
      <c r="L6" s="526" t="s">
        <v>369</v>
      </c>
      <c r="M6" s="526"/>
      <c r="N6" s="526"/>
      <c r="O6" s="526"/>
      <c r="P6" s="526"/>
      <c r="Q6" s="526"/>
      <c r="R6" s="177"/>
    </row>
    <row r="7" spans="1:22" ht="12.75" x14ac:dyDescent="0.2">
      <c r="A7" s="520"/>
      <c r="B7" s="520"/>
      <c r="C7" s="179" t="s">
        <v>334</v>
      </c>
      <c r="D7" s="179" t="s">
        <v>335</v>
      </c>
      <c r="E7" s="179" t="s">
        <v>336</v>
      </c>
      <c r="F7" s="179" t="s">
        <v>337</v>
      </c>
      <c r="G7" s="179" t="s">
        <v>338</v>
      </c>
      <c r="H7" s="179" t="s">
        <v>339</v>
      </c>
      <c r="I7" s="180" t="s">
        <v>353</v>
      </c>
      <c r="J7" s="180" t="s">
        <v>370</v>
      </c>
      <c r="K7" s="179"/>
      <c r="L7" s="179" t="s">
        <v>334</v>
      </c>
      <c r="M7" s="179" t="s">
        <v>335</v>
      </c>
      <c r="N7" s="179" t="s">
        <v>336</v>
      </c>
      <c r="O7" s="179" t="s">
        <v>337</v>
      </c>
      <c r="P7" s="179" t="s">
        <v>338</v>
      </c>
      <c r="Q7" s="179" t="s">
        <v>339</v>
      </c>
      <c r="R7" s="180" t="s">
        <v>353</v>
      </c>
      <c r="S7" s="180" t="s">
        <v>370</v>
      </c>
    </row>
    <row r="8" spans="1:22" ht="11.25" customHeight="1" x14ac:dyDescent="0.2">
      <c r="A8" s="47"/>
      <c r="B8" s="47"/>
      <c r="C8" s="48"/>
      <c r="D8" s="48"/>
      <c r="E8" s="48"/>
      <c r="F8" s="3"/>
      <c r="G8" s="3"/>
      <c r="H8" s="2"/>
      <c r="I8" s="2"/>
      <c r="J8" s="2"/>
      <c r="K8" s="3"/>
      <c r="L8" s="3"/>
      <c r="M8" s="3"/>
      <c r="N8" s="3"/>
      <c r="O8" s="3"/>
      <c r="P8" s="3"/>
      <c r="Q8" s="2"/>
      <c r="R8" s="2"/>
    </row>
    <row r="9" spans="1:22" s="51" customFormat="1" ht="11.25" customHeight="1" x14ac:dyDescent="0.2">
      <c r="A9" s="16" t="s">
        <v>380</v>
      </c>
      <c r="B9" s="16" t="s">
        <v>17</v>
      </c>
      <c r="C9" s="19">
        <v>57.4</v>
      </c>
      <c r="D9" s="19">
        <v>60.6</v>
      </c>
      <c r="E9" s="19">
        <v>66.5</v>
      </c>
      <c r="F9" s="49">
        <v>72.900000000000006</v>
      </c>
      <c r="G9" s="50">
        <v>79.5</v>
      </c>
      <c r="H9" s="50">
        <v>84.7</v>
      </c>
      <c r="I9" s="50">
        <v>88</v>
      </c>
      <c r="J9" s="50">
        <f t="shared" ref="J9:J21" si="1">IF(ISERROR(VLOOKUP($A9,T16Percentage,26,0)),".",VLOOKUP($A9,T16Percentage,26,0))</f>
        <v>87.9</v>
      </c>
      <c r="K9" s="49"/>
      <c r="L9" s="19">
        <v>40.4</v>
      </c>
      <c r="M9" s="19">
        <v>41.9</v>
      </c>
      <c r="N9" s="19">
        <v>44.9</v>
      </c>
      <c r="O9" s="49">
        <v>48.1</v>
      </c>
      <c r="P9" s="50">
        <v>52.9</v>
      </c>
      <c r="Q9" s="50">
        <v>56.8</v>
      </c>
      <c r="R9" s="50">
        <v>58.5</v>
      </c>
      <c r="S9" s="50">
        <f t="shared" ref="S9:S21" si="2">IF(ISERROR(VLOOKUP(A9,T16Percentage,27,0)),".",VLOOKUP(A9,T16Percentage,27,0))</f>
        <v>59.3</v>
      </c>
      <c r="U9" s="184"/>
      <c r="V9" s="184"/>
    </row>
    <row r="10" spans="1:22" ht="11.25" customHeight="1" x14ac:dyDescent="0.2">
      <c r="A10" s="20" t="s">
        <v>354</v>
      </c>
      <c r="B10" s="126" t="s">
        <v>20</v>
      </c>
      <c r="C10" s="52">
        <v>56.6</v>
      </c>
      <c r="D10" s="52">
        <v>60.3</v>
      </c>
      <c r="E10" s="52">
        <v>66.2</v>
      </c>
      <c r="F10" s="53">
        <v>75.599999999999994</v>
      </c>
      <c r="G10" s="54">
        <v>84.2</v>
      </c>
      <c r="H10" s="54">
        <v>88.7</v>
      </c>
      <c r="I10" s="129">
        <v>90.7</v>
      </c>
      <c r="J10" s="129">
        <f t="shared" si="1"/>
        <v>91.4</v>
      </c>
      <c r="K10" s="55"/>
      <c r="L10" s="52">
        <v>40.4</v>
      </c>
      <c r="M10" s="52">
        <v>42.3</v>
      </c>
      <c r="N10" s="52">
        <v>44.5</v>
      </c>
      <c r="O10" s="53">
        <v>48.7</v>
      </c>
      <c r="P10" s="54">
        <v>55.8</v>
      </c>
      <c r="Q10" s="54">
        <v>60</v>
      </c>
      <c r="R10" s="129">
        <v>62.5</v>
      </c>
      <c r="S10" s="129">
        <f t="shared" si="2"/>
        <v>63.1</v>
      </c>
      <c r="U10" s="184"/>
      <c r="V10" s="184"/>
    </row>
    <row r="11" spans="1:22" ht="11.25" customHeight="1" x14ac:dyDescent="0.2">
      <c r="A11" s="20" t="s">
        <v>18</v>
      </c>
      <c r="B11" s="126" t="s">
        <v>19</v>
      </c>
      <c r="C11" s="52">
        <v>57.9</v>
      </c>
      <c r="D11" s="52">
        <v>60</v>
      </c>
      <c r="E11" s="52">
        <v>69.2</v>
      </c>
      <c r="F11" s="53">
        <v>73.900000000000006</v>
      </c>
      <c r="G11" s="54">
        <v>80.5</v>
      </c>
      <c r="H11" s="54">
        <v>92.4</v>
      </c>
      <c r="I11" s="129">
        <v>92.7</v>
      </c>
      <c r="J11" s="129">
        <f t="shared" si="1"/>
        <v>90.2</v>
      </c>
      <c r="K11" s="55"/>
      <c r="L11" s="52">
        <v>44.7</v>
      </c>
      <c r="M11" s="52">
        <v>46</v>
      </c>
      <c r="N11" s="52">
        <v>47.7</v>
      </c>
      <c r="O11" s="53">
        <v>51.6</v>
      </c>
      <c r="P11" s="54">
        <v>54.7</v>
      </c>
      <c r="Q11" s="54">
        <v>65.7</v>
      </c>
      <c r="R11" s="129">
        <v>62.2</v>
      </c>
      <c r="S11" s="129">
        <f t="shared" si="2"/>
        <v>64.8</v>
      </c>
      <c r="U11" s="184"/>
      <c r="V11" s="184"/>
    </row>
    <row r="12" spans="1:22" ht="11.25" customHeight="1" x14ac:dyDescent="0.2">
      <c r="A12" s="22" t="s">
        <v>21</v>
      </c>
      <c r="B12" s="126" t="s">
        <v>22</v>
      </c>
      <c r="C12" s="52">
        <v>69.7</v>
      </c>
      <c r="D12" s="52">
        <v>71.7</v>
      </c>
      <c r="E12" s="52">
        <v>75.2</v>
      </c>
      <c r="F12" s="53">
        <v>81.2</v>
      </c>
      <c r="G12" s="54">
        <v>84.5</v>
      </c>
      <c r="H12" s="54">
        <v>88.1</v>
      </c>
      <c r="I12" s="129">
        <v>89.1</v>
      </c>
      <c r="J12" s="129">
        <f t="shared" si="1"/>
        <v>90.3</v>
      </c>
      <c r="K12" s="55"/>
      <c r="L12" s="52">
        <v>45</v>
      </c>
      <c r="M12" s="52">
        <v>45.5</v>
      </c>
      <c r="N12" s="52">
        <v>47</v>
      </c>
      <c r="O12" s="53">
        <v>52.3</v>
      </c>
      <c r="P12" s="54">
        <v>54.2</v>
      </c>
      <c r="Q12" s="54">
        <v>60.3</v>
      </c>
      <c r="R12" s="129">
        <v>60.6</v>
      </c>
      <c r="S12" s="129">
        <f t="shared" si="2"/>
        <v>61.7</v>
      </c>
      <c r="U12" s="184"/>
      <c r="V12" s="184"/>
    </row>
    <row r="13" spans="1:22" ht="11.25" customHeight="1" x14ac:dyDescent="0.2">
      <c r="A13" s="22" t="s">
        <v>23</v>
      </c>
      <c r="B13" s="126" t="s">
        <v>24</v>
      </c>
      <c r="C13" s="52">
        <v>57.5</v>
      </c>
      <c r="D13" s="52">
        <v>61.6</v>
      </c>
      <c r="E13" s="52">
        <v>66.7</v>
      </c>
      <c r="F13" s="53">
        <v>72.900000000000006</v>
      </c>
      <c r="G13" s="54">
        <v>74.599999999999994</v>
      </c>
      <c r="H13" s="54">
        <v>77.8</v>
      </c>
      <c r="I13" s="129">
        <v>79.099999999999994</v>
      </c>
      <c r="J13" s="129">
        <f t="shared" si="1"/>
        <v>80.5</v>
      </c>
      <c r="K13" s="55"/>
      <c r="L13" s="52">
        <v>37.5</v>
      </c>
      <c r="M13" s="52">
        <v>38.6</v>
      </c>
      <c r="N13" s="52">
        <v>39.200000000000003</v>
      </c>
      <c r="O13" s="53">
        <v>48.5</v>
      </c>
      <c r="P13" s="54">
        <v>49.6</v>
      </c>
      <c r="Q13" s="54">
        <v>56.4</v>
      </c>
      <c r="R13" s="129">
        <v>48.8</v>
      </c>
      <c r="S13" s="129">
        <f t="shared" si="2"/>
        <v>59</v>
      </c>
      <c r="U13" s="184"/>
      <c r="V13" s="184"/>
    </row>
    <row r="14" spans="1:22" ht="11.25" customHeight="1" x14ac:dyDescent="0.2">
      <c r="A14" s="22" t="s">
        <v>25</v>
      </c>
      <c r="B14" s="126" t="s">
        <v>26</v>
      </c>
      <c r="C14" s="52">
        <v>48.9</v>
      </c>
      <c r="D14" s="52">
        <v>53.9</v>
      </c>
      <c r="E14" s="52">
        <v>61.7</v>
      </c>
      <c r="F14" s="53">
        <v>65.2</v>
      </c>
      <c r="G14" s="54">
        <v>74.5</v>
      </c>
      <c r="H14" s="54">
        <v>75.5</v>
      </c>
      <c r="I14" s="129">
        <v>82.5</v>
      </c>
      <c r="J14" s="129">
        <f t="shared" si="1"/>
        <v>83.6</v>
      </c>
      <c r="K14" s="55"/>
      <c r="L14" s="52">
        <v>30.1</v>
      </c>
      <c r="M14" s="52">
        <v>31.9</v>
      </c>
      <c r="N14" s="52">
        <v>35.799999999999997</v>
      </c>
      <c r="O14" s="53">
        <v>36.9</v>
      </c>
      <c r="P14" s="54">
        <v>44.2</v>
      </c>
      <c r="Q14" s="54">
        <v>40.9</v>
      </c>
      <c r="R14" s="129">
        <v>47.6</v>
      </c>
      <c r="S14" s="129">
        <f t="shared" si="2"/>
        <v>50.3</v>
      </c>
      <c r="U14" s="184"/>
      <c r="V14" s="184"/>
    </row>
    <row r="15" spans="1:22" ht="11.25" customHeight="1" x14ac:dyDescent="0.2">
      <c r="A15" s="22" t="s">
        <v>27</v>
      </c>
      <c r="B15" s="126" t="s">
        <v>28</v>
      </c>
      <c r="C15" s="52">
        <v>55.8</v>
      </c>
      <c r="D15" s="52">
        <v>61.3</v>
      </c>
      <c r="E15" s="52">
        <v>67.099999999999994</v>
      </c>
      <c r="F15" s="53">
        <v>72.5</v>
      </c>
      <c r="G15" s="54">
        <v>79.599999999999994</v>
      </c>
      <c r="H15" s="54">
        <v>84.6</v>
      </c>
      <c r="I15" s="129">
        <v>89.9</v>
      </c>
      <c r="J15" s="129">
        <f t="shared" si="1"/>
        <v>90.3</v>
      </c>
      <c r="K15" s="55"/>
      <c r="L15" s="52">
        <v>33.5</v>
      </c>
      <c r="M15" s="52">
        <v>38</v>
      </c>
      <c r="N15" s="52">
        <v>39.200000000000003</v>
      </c>
      <c r="O15" s="53">
        <v>41.9</v>
      </c>
      <c r="P15" s="54">
        <v>49.5</v>
      </c>
      <c r="Q15" s="54">
        <v>52.6</v>
      </c>
      <c r="R15" s="129">
        <v>55.9</v>
      </c>
      <c r="S15" s="129">
        <f t="shared" si="2"/>
        <v>57.3</v>
      </c>
      <c r="U15" s="184"/>
      <c r="V15" s="184"/>
    </row>
    <row r="16" spans="1:22" ht="11.25" customHeight="1" x14ac:dyDescent="0.2">
      <c r="A16" s="22" t="s">
        <v>29</v>
      </c>
      <c r="B16" s="126" t="s">
        <v>30</v>
      </c>
      <c r="C16" s="52">
        <v>62.2</v>
      </c>
      <c r="D16" s="52">
        <v>62.7</v>
      </c>
      <c r="E16" s="52">
        <v>67</v>
      </c>
      <c r="F16" s="53">
        <v>73.3</v>
      </c>
      <c r="G16" s="54">
        <v>79</v>
      </c>
      <c r="H16" s="54">
        <v>84.2</v>
      </c>
      <c r="I16" s="129">
        <v>89.4</v>
      </c>
      <c r="J16" s="129">
        <f t="shared" si="1"/>
        <v>90.1</v>
      </c>
      <c r="K16" s="55"/>
      <c r="L16" s="52">
        <v>47.9</v>
      </c>
      <c r="M16" s="52">
        <v>47.3</v>
      </c>
      <c r="N16" s="52">
        <v>50.4</v>
      </c>
      <c r="O16" s="53">
        <v>53.6</v>
      </c>
      <c r="P16" s="54">
        <v>53.1</v>
      </c>
      <c r="Q16" s="54">
        <v>58.5</v>
      </c>
      <c r="R16" s="129">
        <v>61.9</v>
      </c>
      <c r="S16" s="129">
        <f t="shared" si="2"/>
        <v>64.8</v>
      </c>
      <c r="U16" s="184"/>
      <c r="V16" s="184"/>
    </row>
    <row r="17" spans="1:22" ht="11.25" customHeight="1" x14ac:dyDescent="0.2">
      <c r="A17" s="22" t="s">
        <v>31</v>
      </c>
      <c r="B17" s="126" t="s">
        <v>32</v>
      </c>
      <c r="C17" s="52">
        <v>62</v>
      </c>
      <c r="D17" s="52">
        <v>61.6</v>
      </c>
      <c r="E17" s="52">
        <v>70.400000000000006</v>
      </c>
      <c r="F17" s="53">
        <v>73.3</v>
      </c>
      <c r="G17" s="54">
        <v>77.400000000000006</v>
      </c>
      <c r="H17" s="54">
        <v>83.7</v>
      </c>
      <c r="I17" s="129">
        <v>86</v>
      </c>
      <c r="J17" s="129">
        <f t="shared" si="1"/>
        <v>84.1</v>
      </c>
      <c r="K17" s="55"/>
      <c r="L17" s="52">
        <v>48.9</v>
      </c>
      <c r="M17" s="52">
        <v>46.3</v>
      </c>
      <c r="N17" s="52">
        <v>50.9</v>
      </c>
      <c r="O17" s="53">
        <v>51.9</v>
      </c>
      <c r="P17" s="54">
        <v>54</v>
      </c>
      <c r="Q17" s="54">
        <v>57.7</v>
      </c>
      <c r="R17" s="129">
        <v>58.2</v>
      </c>
      <c r="S17" s="129">
        <f t="shared" si="2"/>
        <v>55.2</v>
      </c>
      <c r="U17" s="184"/>
      <c r="V17" s="184"/>
    </row>
    <row r="18" spans="1:22" ht="11.25" customHeight="1" x14ac:dyDescent="0.2">
      <c r="A18" s="22" t="s">
        <v>33</v>
      </c>
      <c r="B18" s="126" t="s">
        <v>34</v>
      </c>
      <c r="C18" s="52">
        <v>50.3</v>
      </c>
      <c r="D18" s="52">
        <v>52.9</v>
      </c>
      <c r="E18" s="52">
        <v>60</v>
      </c>
      <c r="F18" s="53">
        <v>68.8</v>
      </c>
      <c r="G18" s="54">
        <v>76.099999999999994</v>
      </c>
      <c r="H18" s="54">
        <v>80.7</v>
      </c>
      <c r="I18" s="129">
        <v>83.9</v>
      </c>
      <c r="J18" s="129">
        <f t="shared" si="1"/>
        <v>83.3</v>
      </c>
      <c r="K18" s="55"/>
      <c r="L18" s="52">
        <v>40.1</v>
      </c>
      <c r="M18" s="52">
        <v>38.5</v>
      </c>
      <c r="N18" s="52">
        <v>45</v>
      </c>
      <c r="O18" s="53">
        <v>48.5</v>
      </c>
      <c r="P18" s="54">
        <v>53.2</v>
      </c>
      <c r="Q18" s="54">
        <v>55</v>
      </c>
      <c r="R18" s="129">
        <v>55</v>
      </c>
      <c r="S18" s="129">
        <f t="shared" si="2"/>
        <v>55.1</v>
      </c>
      <c r="U18" s="184"/>
      <c r="V18" s="184"/>
    </row>
    <row r="19" spans="1:22" ht="11.25" customHeight="1" x14ac:dyDescent="0.2">
      <c r="A19" s="22" t="s">
        <v>35</v>
      </c>
      <c r="B19" s="126" t="s">
        <v>36</v>
      </c>
      <c r="C19" s="52">
        <v>55.5</v>
      </c>
      <c r="D19" s="52">
        <v>59.3</v>
      </c>
      <c r="E19" s="52">
        <v>64.900000000000006</v>
      </c>
      <c r="F19" s="53">
        <v>77.7</v>
      </c>
      <c r="G19" s="54">
        <v>86.1</v>
      </c>
      <c r="H19" s="54">
        <v>89.3</v>
      </c>
      <c r="I19" s="129">
        <v>91.1</v>
      </c>
      <c r="J19" s="129">
        <f t="shared" si="1"/>
        <v>93</v>
      </c>
      <c r="K19" s="55"/>
      <c r="L19" s="52">
        <v>39.5</v>
      </c>
      <c r="M19" s="52">
        <v>41.9</v>
      </c>
      <c r="N19" s="52">
        <v>42.7</v>
      </c>
      <c r="O19" s="53">
        <v>47.9</v>
      </c>
      <c r="P19" s="54">
        <v>53.9</v>
      </c>
      <c r="Q19" s="54">
        <v>57.7</v>
      </c>
      <c r="R19" s="129">
        <v>58.2</v>
      </c>
      <c r="S19" s="129">
        <f t="shared" si="2"/>
        <v>59.2</v>
      </c>
      <c r="U19" s="184"/>
      <c r="V19" s="184"/>
    </row>
    <row r="20" spans="1:22" ht="11.25" customHeight="1" x14ac:dyDescent="0.2">
      <c r="A20" s="22" t="s">
        <v>37</v>
      </c>
      <c r="B20" s="126" t="s">
        <v>38</v>
      </c>
      <c r="C20" s="52">
        <v>55.3</v>
      </c>
      <c r="D20" s="52">
        <v>60.1</v>
      </c>
      <c r="E20" s="52">
        <v>64.400000000000006</v>
      </c>
      <c r="F20" s="53">
        <v>68</v>
      </c>
      <c r="G20" s="54">
        <v>75.3</v>
      </c>
      <c r="H20" s="54">
        <v>80.2</v>
      </c>
      <c r="I20" s="129">
        <v>83.8</v>
      </c>
      <c r="J20" s="129">
        <f t="shared" si="1"/>
        <v>81.3</v>
      </c>
      <c r="K20" s="55"/>
      <c r="L20" s="52">
        <v>41.2</v>
      </c>
      <c r="M20" s="52">
        <v>44.7</v>
      </c>
      <c r="N20" s="52">
        <v>48.4</v>
      </c>
      <c r="O20" s="53">
        <v>49.3</v>
      </c>
      <c r="P20" s="54">
        <v>52.9</v>
      </c>
      <c r="Q20" s="54">
        <v>57.3</v>
      </c>
      <c r="R20" s="129">
        <v>54.3</v>
      </c>
      <c r="S20" s="129">
        <f t="shared" si="2"/>
        <v>57.4</v>
      </c>
      <c r="U20" s="184"/>
      <c r="V20" s="184"/>
    </row>
    <row r="21" spans="1:22" ht="11.25" customHeight="1" x14ac:dyDescent="0.2">
      <c r="A21" s="20" t="s">
        <v>39</v>
      </c>
      <c r="B21" s="126" t="s">
        <v>40</v>
      </c>
      <c r="C21" s="52">
        <v>55</v>
      </c>
      <c r="D21" s="52">
        <v>59.4</v>
      </c>
      <c r="E21" s="52">
        <v>63.9</v>
      </c>
      <c r="F21" s="53">
        <v>69.2</v>
      </c>
      <c r="G21" s="54">
        <v>76.599999999999994</v>
      </c>
      <c r="H21" s="54">
        <v>85</v>
      </c>
      <c r="I21" s="129">
        <v>89.8</v>
      </c>
      <c r="J21" s="129">
        <f t="shared" si="1"/>
        <v>89.5</v>
      </c>
      <c r="K21" s="55"/>
      <c r="L21" s="52">
        <v>33.9</v>
      </c>
      <c r="M21" s="52">
        <v>38.5</v>
      </c>
      <c r="N21" s="52">
        <v>43</v>
      </c>
      <c r="O21" s="53">
        <v>45.1</v>
      </c>
      <c r="P21" s="54">
        <v>52.6</v>
      </c>
      <c r="Q21" s="54">
        <v>55.4</v>
      </c>
      <c r="R21" s="129">
        <v>62.6</v>
      </c>
      <c r="S21" s="129">
        <f t="shared" si="2"/>
        <v>60.1</v>
      </c>
      <c r="U21" s="184"/>
      <c r="V21" s="184"/>
    </row>
    <row r="22" spans="1:22" s="3" customFormat="1" ht="11.25" customHeight="1" x14ac:dyDescent="0.2">
      <c r="C22" s="2"/>
      <c r="D22" s="2"/>
      <c r="E22" s="2"/>
      <c r="F22" s="53"/>
      <c r="G22" s="53"/>
      <c r="H22" s="53"/>
      <c r="L22" s="2"/>
      <c r="M22" s="2"/>
      <c r="N22" s="2"/>
      <c r="O22" s="53"/>
      <c r="P22" s="53"/>
      <c r="Q22" s="53"/>
      <c r="U22" s="184"/>
      <c r="V22" s="184"/>
    </row>
    <row r="23" spans="1:22" s="51" customFormat="1" ht="11.25" customHeight="1" x14ac:dyDescent="0.2">
      <c r="A23" s="16" t="s">
        <v>381</v>
      </c>
      <c r="B23" s="16" t="s">
        <v>41</v>
      </c>
      <c r="C23" s="19">
        <v>56.6</v>
      </c>
      <c r="D23" s="19">
        <v>60.3</v>
      </c>
      <c r="E23" s="19">
        <v>65.400000000000006</v>
      </c>
      <c r="F23" s="49">
        <v>71</v>
      </c>
      <c r="G23" s="50">
        <v>77.7</v>
      </c>
      <c r="H23" s="50">
        <v>82.2</v>
      </c>
      <c r="I23" s="50">
        <v>84.2</v>
      </c>
      <c r="J23" s="50">
        <f t="shared" ref="J23:J47" si="3">IF(ISERROR(VLOOKUP($A23,T16Percentage,26,0)),".",VLOOKUP($A23,T16Percentage,26,0))</f>
        <v>83.5</v>
      </c>
      <c r="K23" s="27"/>
      <c r="L23" s="19">
        <v>42.2</v>
      </c>
      <c r="M23" s="19">
        <v>44.7</v>
      </c>
      <c r="N23" s="19">
        <v>47.5</v>
      </c>
      <c r="O23" s="49">
        <v>49.9</v>
      </c>
      <c r="P23" s="50">
        <v>55.2</v>
      </c>
      <c r="Q23" s="50">
        <v>58.4</v>
      </c>
      <c r="R23" s="50">
        <v>58.9</v>
      </c>
      <c r="S23" s="50">
        <f t="shared" ref="S23:S47" si="4">IF(ISERROR(VLOOKUP(A23,T16Percentage,27,0)),".",VLOOKUP(A23,T16Percentage,27,0))</f>
        <v>59.9</v>
      </c>
      <c r="U23" s="184"/>
      <c r="V23" s="184"/>
    </row>
    <row r="24" spans="1:22" ht="11.25" customHeight="1" x14ac:dyDescent="0.2">
      <c r="A24" s="24" t="s">
        <v>42</v>
      </c>
      <c r="B24" s="126" t="s">
        <v>43</v>
      </c>
      <c r="C24" s="52">
        <v>51.5</v>
      </c>
      <c r="D24" s="52">
        <v>59.9</v>
      </c>
      <c r="E24" s="52">
        <v>66.5</v>
      </c>
      <c r="F24" s="53">
        <v>72.599999999999994</v>
      </c>
      <c r="G24" s="54">
        <v>75.5</v>
      </c>
      <c r="H24" s="54">
        <v>78.2</v>
      </c>
      <c r="I24" s="129">
        <v>80.599999999999994</v>
      </c>
      <c r="J24" s="129">
        <f t="shared" si="3"/>
        <v>78.400000000000006</v>
      </c>
      <c r="K24" s="3"/>
      <c r="L24" s="52">
        <v>38.6</v>
      </c>
      <c r="M24" s="52">
        <v>43.7</v>
      </c>
      <c r="N24" s="52">
        <v>45.8</v>
      </c>
      <c r="O24" s="53">
        <v>43.9</v>
      </c>
      <c r="P24" s="54">
        <v>51.9</v>
      </c>
      <c r="Q24" s="54">
        <v>56.9</v>
      </c>
      <c r="R24" s="129">
        <v>57</v>
      </c>
      <c r="S24" s="129">
        <f t="shared" si="4"/>
        <v>59.5</v>
      </c>
      <c r="U24" s="184"/>
      <c r="V24" s="184"/>
    </row>
    <row r="25" spans="1:22" ht="11.25" customHeight="1" x14ac:dyDescent="0.2">
      <c r="A25" s="24" t="s">
        <v>44</v>
      </c>
      <c r="B25" s="126" t="s">
        <v>45</v>
      </c>
      <c r="C25" s="52">
        <v>48.9</v>
      </c>
      <c r="D25" s="52">
        <v>51.9</v>
      </c>
      <c r="E25" s="52">
        <v>53.5</v>
      </c>
      <c r="F25" s="53">
        <v>65.599999999999994</v>
      </c>
      <c r="G25" s="54">
        <v>75.400000000000006</v>
      </c>
      <c r="H25" s="54">
        <v>79.5</v>
      </c>
      <c r="I25" s="129">
        <v>81.5</v>
      </c>
      <c r="J25" s="129">
        <f t="shared" si="3"/>
        <v>79.2</v>
      </c>
      <c r="K25" s="3"/>
      <c r="L25" s="52">
        <v>34.200000000000003</v>
      </c>
      <c r="M25" s="52">
        <v>34.6</v>
      </c>
      <c r="N25" s="52">
        <v>34.5</v>
      </c>
      <c r="O25" s="53">
        <v>38.700000000000003</v>
      </c>
      <c r="P25" s="54">
        <v>47.8</v>
      </c>
      <c r="Q25" s="54">
        <v>46.2</v>
      </c>
      <c r="R25" s="129">
        <v>47.9</v>
      </c>
      <c r="S25" s="129">
        <f t="shared" si="4"/>
        <v>46.1</v>
      </c>
      <c r="U25" s="184"/>
      <c r="V25" s="184"/>
    </row>
    <row r="26" spans="1:22" ht="11.25" customHeight="1" x14ac:dyDescent="0.2">
      <c r="A26" s="25" t="s">
        <v>46</v>
      </c>
      <c r="B26" s="126" t="s">
        <v>47</v>
      </c>
      <c r="C26" s="52">
        <v>51.1</v>
      </c>
      <c r="D26" s="52">
        <v>54.8</v>
      </c>
      <c r="E26" s="52">
        <v>67.099999999999994</v>
      </c>
      <c r="F26" s="53">
        <v>71.400000000000006</v>
      </c>
      <c r="G26" s="54">
        <v>79.3</v>
      </c>
      <c r="H26" s="54">
        <v>84.8</v>
      </c>
      <c r="I26" s="129">
        <v>86.6</v>
      </c>
      <c r="J26" s="129">
        <f t="shared" si="3"/>
        <v>85.8</v>
      </c>
      <c r="K26" s="3"/>
      <c r="L26" s="52">
        <v>38</v>
      </c>
      <c r="M26" s="52">
        <v>40.1</v>
      </c>
      <c r="N26" s="52">
        <v>44.9</v>
      </c>
      <c r="O26" s="53">
        <v>46.2</v>
      </c>
      <c r="P26" s="54">
        <v>53.2</v>
      </c>
      <c r="Q26" s="54">
        <v>59.6</v>
      </c>
      <c r="R26" s="129">
        <v>60.2</v>
      </c>
      <c r="S26" s="129">
        <f t="shared" si="4"/>
        <v>60.7</v>
      </c>
      <c r="U26" s="184"/>
      <c r="V26" s="184"/>
    </row>
    <row r="27" spans="1:22" ht="11.25" customHeight="1" x14ac:dyDescent="0.2">
      <c r="A27" s="25" t="s">
        <v>48</v>
      </c>
      <c r="B27" s="126" t="s">
        <v>49</v>
      </c>
      <c r="C27" s="52">
        <v>59</v>
      </c>
      <c r="D27" s="52">
        <v>63.2</v>
      </c>
      <c r="E27" s="52">
        <v>67.400000000000006</v>
      </c>
      <c r="F27" s="53">
        <v>75</v>
      </c>
      <c r="G27" s="54">
        <v>80.400000000000006</v>
      </c>
      <c r="H27" s="54">
        <v>80.8</v>
      </c>
      <c r="I27" s="129">
        <v>83.7</v>
      </c>
      <c r="J27" s="129">
        <f t="shared" si="3"/>
        <v>83.3</v>
      </c>
      <c r="K27" s="3"/>
      <c r="L27" s="52">
        <v>47.9</v>
      </c>
      <c r="M27" s="52">
        <v>52.9</v>
      </c>
      <c r="N27" s="52">
        <v>55.5</v>
      </c>
      <c r="O27" s="53">
        <v>58.8</v>
      </c>
      <c r="P27" s="54">
        <v>62.1</v>
      </c>
      <c r="Q27" s="54">
        <v>62.8</v>
      </c>
      <c r="R27" s="129">
        <v>63</v>
      </c>
      <c r="S27" s="129">
        <f t="shared" si="4"/>
        <v>62.3</v>
      </c>
      <c r="U27" s="184"/>
      <c r="V27" s="184"/>
    </row>
    <row r="28" spans="1:22" ht="11.25" customHeight="1" x14ac:dyDescent="0.2">
      <c r="A28" s="25" t="s">
        <v>359</v>
      </c>
      <c r="B28" s="181" t="s">
        <v>196</v>
      </c>
      <c r="C28" s="52">
        <v>61.9</v>
      </c>
      <c r="D28" s="52">
        <v>63.4</v>
      </c>
      <c r="E28" s="52">
        <v>66.400000000000006</v>
      </c>
      <c r="F28" s="54" t="s">
        <v>196</v>
      </c>
      <c r="G28" s="54" t="s">
        <v>196</v>
      </c>
      <c r="H28" s="54" t="s">
        <v>196</v>
      </c>
      <c r="I28" s="129" t="s">
        <v>196</v>
      </c>
      <c r="J28" s="129" t="str">
        <f t="shared" si="3"/>
        <v>.</v>
      </c>
      <c r="K28" s="3"/>
      <c r="L28" s="52">
        <v>50.5</v>
      </c>
      <c r="M28" s="52">
        <v>51.5</v>
      </c>
      <c r="N28" s="52">
        <v>52.9</v>
      </c>
      <c r="O28" s="54" t="s">
        <v>196</v>
      </c>
      <c r="P28" s="54" t="s">
        <v>196</v>
      </c>
      <c r="Q28" s="54" t="s">
        <v>196</v>
      </c>
      <c r="R28" s="129" t="s">
        <v>196</v>
      </c>
      <c r="S28" s="129" t="str">
        <f t="shared" si="4"/>
        <v>.</v>
      </c>
      <c r="U28" s="184"/>
      <c r="V28" s="184"/>
    </row>
    <row r="29" spans="1:22" ht="11.25" customHeight="1" x14ac:dyDescent="0.2">
      <c r="A29" s="24" t="s">
        <v>50</v>
      </c>
      <c r="B29" s="126" t="s">
        <v>51</v>
      </c>
      <c r="C29" s="54" t="s">
        <v>196</v>
      </c>
      <c r="D29" s="54" t="s">
        <v>196</v>
      </c>
      <c r="E29" s="54" t="s">
        <v>196</v>
      </c>
      <c r="F29" s="53">
        <v>73</v>
      </c>
      <c r="G29" s="54">
        <v>80.099999999999994</v>
      </c>
      <c r="H29" s="54">
        <v>83.1</v>
      </c>
      <c r="I29" s="129">
        <v>84</v>
      </c>
      <c r="J29" s="129">
        <f t="shared" si="3"/>
        <v>84.2</v>
      </c>
      <c r="K29" s="3"/>
      <c r="L29" s="54" t="s">
        <v>196</v>
      </c>
      <c r="M29" s="54" t="s">
        <v>196</v>
      </c>
      <c r="N29" s="54" t="s">
        <v>196</v>
      </c>
      <c r="O29" s="53">
        <v>57.3</v>
      </c>
      <c r="P29" s="54">
        <v>62.5</v>
      </c>
      <c r="Q29" s="54">
        <v>64.400000000000006</v>
      </c>
      <c r="R29" s="129">
        <v>62</v>
      </c>
      <c r="S29" s="129">
        <f t="shared" si="4"/>
        <v>62.4</v>
      </c>
      <c r="U29" s="184"/>
      <c r="V29" s="184"/>
    </row>
    <row r="30" spans="1:22" ht="11.25" customHeight="1" x14ac:dyDescent="0.2">
      <c r="A30" s="24" t="s">
        <v>52</v>
      </c>
      <c r="B30" s="126" t="s">
        <v>53</v>
      </c>
      <c r="C30" s="54" t="s">
        <v>196</v>
      </c>
      <c r="D30" s="54" t="s">
        <v>196</v>
      </c>
      <c r="E30" s="54" t="s">
        <v>196</v>
      </c>
      <c r="F30" s="53">
        <v>68.2</v>
      </c>
      <c r="G30" s="54">
        <v>74.900000000000006</v>
      </c>
      <c r="H30" s="54">
        <v>79</v>
      </c>
      <c r="I30" s="129">
        <v>81</v>
      </c>
      <c r="J30" s="129">
        <f t="shared" si="3"/>
        <v>82.6</v>
      </c>
      <c r="K30" s="3"/>
      <c r="L30" s="54" t="s">
        <v>196</v>
      </c>
      <c r="M30" s="54" t="s">
        <v>196</v>
      </c>
      <c r="N30" s="54" t="s">
        <v>196</v>
      </c>
      <c r="O30" s="53">
        <v>50.6</v>
      </c>
      <c r="P30" s="54">
        <v>56.4</v>
      </c>
      <c r="Q30" s="54">
        <v>59.5</v>
      </c>
      <c r="R30" s="129">
        <v>59.8</v>
      </c>
      <c r="S30" s="129">
        <f t="shared" si="4"/>
        <v>63</v>
      </c>
      <c r="U30" s="184"/>
      <c r="V30" s="184"/>
    </row>
    <row r="31" spans="1:22" ht="11.25" customHeight="1" x14ac:dyDescent="0.2">
      <c r="A31" s="25" t="s">
        <v>54</v>
      </c>
      <c r="B31" s="126" t="s">
        <v>55</v>
      </c>
      <c r="C31" s="52">
        <v>57.9</v>
      </c>
      <c r="D31" s="52">
        <v>59.1</v>
      </c>
      <c r="E31" s="52">
        <v>63.2</v>
      </c>
      <c r="F31" s="53">
        <v>66.7</v>
      </c>
      <c r="G31" s="54">
        <v>73.8</v>
      </c>
      <c r="H31" s="54">
        <v>79.5</v>
      </c>
      <c r="I31" s="129">
        <v>81.599999999999994</v>
      </c>
      <c r="J31" s="129">
        <f t="shared" si="3"/>
        <v>80.7</v>
      </c>
      <c r="K31" s="3"/>
      <c r="L31" s="52">
        <v>45.3</v>
      </c>
      <c r="M31" s="52">
        <v>45.7</v>
      </c>
      <c r="N31" s="52">
        <v>48.4</v>
      </c>
      <c r="O31" s="53">
        <v>49.6</v>
      </c>
      <c r="P31" s="54">
        <v>55.8</v>
      </c>
      <c r="Q31" s="54">
        <v>57</v>
      </c>
      <c r="R31" s="129">
        <v>56.1</v>
      </c>
      <c r="S31" s="129">
        <f t="shared" si="4"/>
        <v>56.5</v>
      </c>
      <c r="U31" s="184"/>
      <c r="V31" s="184"/>
    </row>
    <row r="32" spans="1:22" ht="11.25" customHeight="1" x14ac:dyDescent="0.2">
      <c r="A32" s="24" t="s">
        <v>56</v>
      </c>
      <c r="B32" s="126" t="s">
        <v>57</v>
      </c>
      <c r="C32" s="52">
        <v>52.6</v>
      </c>
      <c r="D32" s="52">
        <v>61.9</v>
      </c>
      <c r="E32" s="52">
        <v>71.2</v>
      </c>
      <c r="F32" s="53">
        <v>71.5</v>
      </c>
      <c r="G32" s="54">
        <v>81.900000000000006</v>
      </c>
      <c r="H32" s="54">
        <v>86.6</v>
      </c>
      <c r="I32" s="129">
        <v>87.2</v>
      </c>
      <c r="J32" s="129">
        <f t="shared" si="3"/>
        <v>86.5</v>
      </c>
      <c r="K32" s="3"/>
      <c r="L32" s="52">
        <v>33.299999999999997</v>
      </c>
      <c r="M32" s="52">
        <v>41.1</v>
      </c>
      <c r="N32" s="52">
        <v>49.3</v>
      </c>
      <c r="O32" s="53">
        <v>44.6</v>
      </c>
      <c r="P32" s="54">
        <v>50.1</v>
      </c>
      <c r="Q32" s="54">
        <v>56.3</v>
      </c>
      <c r="R32" s="129">
        <v>59</v>
      </c>
      <c r="S32" s="129">
        <f t="shared" si="4"/>
        <v>62.5</v>
      </c>
      <c r="U32" s="184"/>
      <c r="V32" s="184"/>
    </row>
    <row r="33" spans="1:22" ht="11.25" customHeight="1" x14ac:dyDescent="0.2">
      <c r="A33" s="26" t="s">
        <v>58</v>
      </c>
      <c r="B33" s="126" t="s">
        <v>59</v>
      </c>
      <c r="C33" s="52">
        <v>48.8</v>
      </c>
      <c r="D33" s="52">
        <v>50.8</v>
      </c>
      <c r="E33" s="52">
        <v>57.5</v>
      </c>
      <c r="F33" s="53">
        <v>64</v>
      </c>
      <c r="G33" s="54">
        <v>68.099999999999994</v>
      </c>
      <c r="H33" s="54">
        <v>74.7</v>
      </c>
      <c r="I33" s="129">
        <v>73.599999999999994</v>
      </c>
      <c r="J33" s="129">
        <f t="shared" si="3"/>
        <v>74.900000000000006</v>
      </c>
      <c r="K33" s="3"/>
      <c r="L33" s="52">
        <v>26.1</v>
      </c>
      <c r="M33" s="52">
        <v>26.5</v>
      </c>
      <c r="N33" s="52">
        <v>29.9</v>
      </c>
      <c r="O33" s="53">
        <v>33.5</v>
      </c>
      <c r="P33" s="54">
        <v>38</v>
      </c>
      <c r="Q33" s="54">
        <v>40.799999999999997</v>
      </c>
      <c r="R33" s="129">
        <v>40.9</v>
      </c>
      <c r="S33" s="129">
        <f t="shared" si="4"/>
        <v>43.7</v>
      </c>
      <c r="U33" s="184"/>
      <c r="V33" s="184"/>
    </row>
    <row r="34" spans="1:22" ht="11.25" customHeight="1" x14ac:dyDescent="0.2">
      <c r="A34" s="24" t="s">
        <v>60</v>
      </c>
      <c r="B34" s="126" t="s">
        <v>61</v>
      </c>
      <c r="C34" s="52">
        <v>58.3</v>
      </c>
      <c r="D34" s="52">
        <v>61.6</v>
      </c>
      <c r="E34" s="52">
        <v>65.3</v>
      </c>
      <c r="F34" s="53">
        <v>71.3</v>
      </c>
      <c r="G34" s="54">
        <v>77.2</v>
      </c>
      <c r="H34" s="54">
        <v>82.5</v>
      </c>
      <c r="I34" s="129">
        <v>84.6</v>
      </c>
      <c r="J34" s="129">
        <f t="shared" si="3"/>
        <v>82.8</v>
      </c>
      <c r="K34" s="3"/>
      <c r="L34" s="52">
        <v>45.9</v>
      </c>
      <c r="M34" s="52">
        <v>48.2</v>
      </c>
      <c r="N34" s="52">
        <v>50.8</v>
      </c>
      <c r="O34" s="53">
        <v>53.5</v>
      </c>
      <c r="P34" s="54">
        <v>56.7</v>
      </c>
      <c r="Q34" s="54">
        <v>60.1</v>
      </c>
      <c r="R34" s="129">
        <v>59.9</v>
      </c>
      <c r="S34" s="129">
        <f t="shared" si="4"/>
        <v>61.2</v>
      </c>
      <c r="U34" s="184"/>
      <c r="V34" s="184"/>
    </row>
    <row r="35" spans="1:22" ht="11.25" customHeight="1" x14ac:dyDescent="0.2">
      <c r="A35" s="25" t="s">
        <v>62</v>
      </c>
      <c r="B35" s="126" t="s">
        <v>63</v>
      </c>
      <c r="C35" s="52">
        <v>54.1</v>
      </c>
      <c r="D35" s="52">
        <v>58.3</v>
      </c>
      <c r="E35" s="52">
        <v>66.2</v>
      </c>
      <c r="F35" s="53">
        <v>73.599999999999994</v>
      </c>
      <c r="G35" s="54">
        <v>81.8</v>
      </c>
      <c r="H35" s="54">
        <v>84.3</v>
      </c>
      <c r="I35" s="129">
        <v>84.7</v>
      </c>
      <c r="J35" s="129">
        <f t="shared" si="3"/>
        <v>84.4</v>
      </c>
      <c r="K35" s="3"/>
      <c r="L35" s="52">
        <v>35.5</v>
      </c>
      <c r="M35" s="52">
        <v>37.4</v>
      </c>
      <c r="N35" s="52">
        <v>41.2</v>
      </c>
      <c r="O35" s="53">
        <v>44.3</v>
      </c>
      <c r="P35" s="54">
        <v>53</v>
      </c>
      <c r="Q35" s="54">
        <v>55</v>
      </c>
      <c r="R35" s="129">
        <v>56.8</v>
      </c>
      <c r="S35" s="129">
        <f t="shared" si="4"/>
        <v>56</v>
      </c>
      <c r="U35" s="184"/>
      <c r="V35" s="184"/>
    </row>
    <row r="36" spans="1:22" ht="11.25" customHeight="1" x14ac:dyDescent="0.2">
      <c r="A36" s="25" t="s">
        <v>64</v>
      </c>
      <c r="B36" s="126" t="s">
        <v>65</v>
      </c>
      <c r="C36" s="52">
        <v>47.6</v>
      </c>
      <c r="D36" s="52">
        <v>52.2</v>
      </c>
      <c r="E36" s="52">
        <v>57</v>
      </c>
      <c r="F36" s="53">
        <v>62.6</v>
      </c>
      <c r="G36" s="54">
        <v>72.400000000000006</v>
      </c>
      <c r="H36" s="54">
        <v>79.7</v>
      </c>
      <c r="I36" s="129">
        <v>81.3</v>
      </c>
      <c r="J36" s="129">
        <f t="shared" si="3"/>
        <v>81.3</v>
      </c>
      <c r="K36" s="3"/>
      <c r="L36" s="52">
        <v>29</v>
      </c>
      <c r="M36" s="52">
        <v>32.299999999999997</v>
      </c>
      <c r="N36" s="52">
        <v>36.9</v>
      </c>
      <c r="O36" s="53">
        <v>38.6</v>
      </c>
      <c r="P36" s="54">
        <v>45.7</v>
      </c>
      <c r="Q36" s="54">
        <v>51.8</v>
      </c>
      <c r="R36" s="129">
        <v>53.2</v>
      </c>
      <c r="S36" s="129">
        <f t="shared" si="4"/>
        <v>53.1</v>
      </c>
      <c r="U36" s="184"/>
      <c r="V36" s="184"/>
    </row>
    <row r="37" spans="1:22" ht="11.25" customHeight="1" x14ac:dyDescent="0.2">
      <c r="A37" s="25" t="s">
        <v>66</v>
      </c>
      <c r="B37" s="126" t="s">
        <v>67</v>
      </c>
      <c r="C37" s="52">
        <v>55</v>
      </c>
      <c r="D37" s="52">
        <v>59.5</v>
      </c>
      <c r="E37" s="52">
        <v>64.2</v>
      </c>
      <c r="F37" s="53">
        <v>71.900000000000006</v>
      </c>
      <c r="G37" s="54">
        <v>79.3</v>
      </c>
      <c r="H37" s="54">
        <v>84.5</v>
      </c>
      <c r="I37" s="129">
        <v>85.8</v>
      </c>
      <c r="J37" s="129">
        <f t="shared" si="3"/>
        <v>84</v>
      </c>
      <c r="K37" s="3"/>
      <c r="L37" s="52">
        <v>35.4</v>
      </c>
      <c r="M37" s="52">
        <v>40.5</v>
      </c>
      <c r="N37" s="52">
        <v>43.1</v>
      </c>
      <c r="O37" s="53">
        <v>46.8</v>
      </c>
      <c r="P37" s="54">
        <v>51.9</v>
      </c>
      <c r="Q37" s="54">
        <v>56.1</v>
      </c>
      <c r="R37" s="129">
        <v>55.9</v>
      </c>
      <c r="S37" s="129">
        <f t="shared" si="4"/>
        <v>57</v>
      </c>
      <c r="U37" s="184"/>
      <c r="V37" s="184"/>
    </row>
    <row r="38" spans="1:22" ht="11.25" customHeight="1" x14ac:dyDescent="0.2">
      <c r="A38" s="25" t="s">
        <v>68</v>
      </c>
      <c r="B38" s="126" t="s">
        <v>69</v>
      </c>
      <c r="C38" s="52">
        <v>50.3</v>
      </c>
      <c r="D38" s="52">
        <v>55.9</v>
      </c>
      <c r="E38" s="52">
        <v>59.3</v>
      </c>
      <c r="F38" s="53">
        <v>66.099999999999994</v>
      </c>
      <c r="G38" s="54">
        <v>69.3</v>
      </c>
      <c r="H38" s="54">
        <v>73.599999999999994</v>
      </c>
      <c r="I38" s="129">
        <v>79.2</v>
      </c>
      <c r="J38" s="129">
        <f t="shared" si="3"/>
        <v>81.400000000000006</v>
      </c>
      <c r="K38" s="3"/>
      <c r="L38" s="52">
        <v>37.1</v>
      </c>
      <c r="M38" s="52">
        <v>41.9</v>
      </c>
      <c r="N38" s="52">
        <v>43.4</v>
      </c>
      <c r="O38" s="53">
        <v>47.8</v>
      </c>
      <c r="P38" s="54">
        <v>51.4</v>
      </c>
      <c r="Q38" s="54">
        <v>53.5</v>
      </c>
      <c r="R38" s="129">
        <v>52</v>
      </c>
      <c r="S38" s="129">
        <f t="shared" si="4"/>
        <v>56.2</v>
      </c>
      <c r="U38" s="184"/>
      <c r="V38" s="184"/>
    </row>
    <row r="39" spans="1:22" ht="11.25" customHeight="1" x14ac:dyDescent="0.2">
      <c r="A39" s="25" t="s">
        <v>70</v>
      </c>
      <c r="B39" s="126" t="s">
        <v>71</v>
      </c>
      <c r="C39" s="52">
        <v>51.4</v>
      </c>
      <c r="D39" s="52">
        <v>59.8</v>
      </c>
      <c r="E39" s="52">
        <v>66.900000000000006</v>
      </c>
      <c r="F39" s="53">
        <v>73.5</v>
      </c>
      <c r="G39" s="54">
        <v>83.3</v>
      </c>
      <c r="H39" s="54">
        <v>87.5</v>
      </c>
      <c r="I39" s="129">
        <v>89</v>
      </c>
      <c r="J39" s="129">
        <f t="shared" si="3"/>
        <v>85.5</v>
      </c>
      <c r="K39" s="3"/>
      <c r="L39" s="52">
        <v>32</v>
      </c>
      <c r="M39" s="52">
        <v>37.799999999999997</v>
      </c>
      <c r="N39" s="52">
        <v>40.299999999999997</v>
      </c>
      <c r="O39" s="53">
        <v>45.8</v>
      </c>
      <c r="P39" s="54">
        <v>49.8</v>
      </c>
      <c r="Q39" s="54">
        <v>52.9</v>
      </c>
      <c r="R39" s="129">
        <v>52</v>
      </c>
      <c r="S39" s="129">
        <f t="shared" si="4"/>
        <v>54.8</v>
      </c>
      <c r="U39" s="184"/>
      <c r="V39" s="184"/>
    </row>
    <row r="40" spans="1:22" ht="11.25" customHeight="1" x14ac:dyDescent="0.2">
      <c r="A40" s="25" t="s">
        <v>72</v>
      </c>
      <c r="B40" s="126" t="s">
        <v>73</v>
      </c>
      <c r="C40" s="52">
        <v>61.9</v>
      </c>
      <c r="D40" s="52">
        <v>64.099999999999994</v>
      </c>
      <c r="E40" s="52">
        <v>71.2</v>
      </c>
      <c r="F40" s="53">
        <v>77.400000000000006</v>
      </c>
      <c r="G40" s="54">
        <v>83</v>
      </c>
      <c r="H40" s="54">
        <v>87.7</v>
      </c>
      <c r="I40" s="129">
        <v>86.9</v>
      </c>
      <c r="J40" s="129">
        <f t="shared" si="3"/>
        <v>87.1</v>
      </c>
      <c r="K40" s="3"/>
      <c r="L40" s="52">
        <v>44</v>
      </c>
      <c r="M40" s="52">
        <v>45.9</v>
      </c>
      <c r="N40" s="52">
        <v>51.4</v>
      </c>
      <c r="O40" s="53">
        <v>53.2</v>
      </c>
      <c r="P40" s="54">
        <v>55.8</v>
      </c>
      <c r="Q40" s="54">
        <v>59.5</v>
      </c>
      <c r="R40" s="129">
        <v>58.5</v>
      </c>
      <c r="S40" s="129">
        <f t="shared" si="4"/>
        <v>60.9</v>
      </c>
      <c r="U40" s="184"/>
      <c r="V40" s="184"/>
    </row>
    <row r="41" spans="1:22" ht="11.25" customHeight="1" x14ac:dyDescent="0.2">
      <c r="A41" s="26" t="s">
        <v>74</v>
      </c>
      <c r="B41" s="126" t="s">
        <v>75</v>
      </c>
      <c r="C41" s="52">
        <v>56.6</v>
      </c>
      <c r="D41" s="52">
        <v>62.3</v>
      </c>
      <c r="E41" s="52">
        <v>68</v>
      </c>
      <c r="F41" s="53">
        <v>71.400000000000006</v>
      </c>
      <c r="G41" s="54">
        <v>80.7</v>
      </c>
      <c r="H41" s="54">
        <v>82.9</v>
      </c>
      <c r="I41" s="129">
        <v>85.5</v>
      </c>
      <c r="J41" s="129">
        <f t="shared" si="3"/>
        <v>86.9</v>
      </c>
      <c r="K41" s="3"/>
      <c r="L41" s="52">
        <v>38</v>
      </c>
      <c r="M41" s="52">
        <v>41.4</v>
      </c>
      <c r="N41" s="52">
        <v>44.2</v>
      </c>
      <c r="O41" s="53">
        <v>47.4</v>
      </c>
      <c r="P41" s="54">
        <v>52.8</v>
      </c>
      <c r="Q41" s="54">
        <v>55.7</v>
      </c>
      <c r="R41" s="129">
        <v>55.1</v>
      </c>
      <c r="S41" s="129">
        <f t="shared" si="4"/>
        <v>55.5</v>
      </c>
      <c r="U41" s="184"/>
      <c r="V41" s="184"/>
    </row>
    <row r="42" spans="1:22" ht="11.25" customHeight="1" x14ac:dyDescent="0.2">
      <c r="A42" s="25" t="s">
        <v>76</v>
      </c>
      <c r="B42" s="126" t="s">
        <v>77</v>
      </c>
      <c r="C42" s="52">
        <v>58.7</v>
      </c>
      <c r="D42" s="52">
        <v>60.1</v>
      </c>
      <c r="E42" s="52">
        <v>65.7</v>
      </c>
      <c r="F42" s="53">
        <v>68.599999999999994</v>
      </c>
      <c r="G42" s="54">
        <v>78.5</v>
      </c>
      <c r="H42" s="54">
        <v>82.2</v>
      </c>
      <c r="I42" s="129">
        <v>83.1</v>
      </c>
      <c r="J42" s="129">
        <f t="shared" si="3"/>
        <v>84.7</v>
      </c>
      <c r="K42" s="3"/>
      <c r="L42" s="52">
        <v>50</v>
      </c>
      <c r="M42" s="52">
        <v>50.5</v>
      </c>
      <c r="N42" s="52">
        <v>52.5</v>
      </c>
      <c r="O42" s="53">
        <v>55.3</v>
      </c>
      <c r="P42" s="54">
        <v>61.9</v>
      </c>
      <c r="Q42" s="54">
        <v>64.599999999999994</v>
      </c>
      <c r="R42" s="129">
        <v>65</v>
      </c>
      <c r="S42" s="129">
        <f t="shared" si="4"/>
        <v>65.8</v>
      </c>
      <c r="U42" s="184"/>
      <c r="V42" s="184"/>
    </row>
    <row r="43" spans="1:22" ht="11.25" customHeight="1" x14ac:dyDescent="0.2">
      <c r="A43" s="25" t="s">
        <v>78</v>
      </c>
      <c r="B43" s="126" t="s">
        <v>79</v>
      </c>
      <c r="C43" s="52">
        <v>50</v>
      </c>
      <c r="D43" s="52">
        <v>55.4</v>
      </c>
      <c r="E43" s="52">
        <v>60.6</v>
      </c>
      <c r="F43" s="53">
        <v>69.3</v>
      </c>
      <c r="G43" s="54">
        <v>74.400000000000006</v>
      </c>
      <c r="H43" s="54">
        <v>80.8</v>
      </c>
      <c r="I43" s="129">
        <v>85.4</v>
      </c>
      <c r="J43" s="129">
        <f t="shared" si="3"/>
        <v>83.1</v>
      </c>
      <c r="K43" s="3"/>
      <c r="L43" s="52">
        <v>38.5</v>
      </c>
      <c r="M43" s="52">
        <v>41.8</v>
      </c>
      <c r="N43" s="52">
        <v>41.8</v>
      </c>
      <c r="O43" s="53">
        <v>45.5</v>
      </c>
      <c r="P43" s="54">
        <v>49.7</v>
      </c>
      <c r="Q43" s="54">
        <v>55.6</v>
      </c>
      <c r="R43" s="129">
        <v>56.8</v>
      </c>
      <c r="S43" s="129">
        <f t="shared" si="4"/>
        <v>59.4</v>
      </c>
      <c r="U43" s="184"/>
      <c r="V43" s="184"/>
    </row>
    <row r="44" spans="1:22" ht="11.25" customHeight="1" x14ac:dyDescent="0.2">
      <c r="A44" s="25" t="s">
        <v>80</v>
      </c>
      <c r="B44" s="126" t="s">
        <v>81</v>
      </c>
      <c r="C44" s="52">
        <v>70.2</v>
      </c>
      <c r="D44" s="52">
        <v>74.599999999999994</v>
      </c>
      <c r="E44" s="52">
        <v>79.099999999999994</v>
      </c>
      <c r="F44" s="53">
        <v>80.3</v>
      </c>
      <c r="G44" s="54">
        <v>86.9</v>
      </c>
      <c r="H44" s="54">
        <v>89.3</v>
      </c>
      <c r="I44" s="129">
        <v>90.4</v>
      </c>
      <c r="J44" s="129">
        <f t="shared" si="3"/>
        <v>88.5</v>
      </c>
      <c r="K44" s="3"/>
      <c r="L44" s="52">
        <v>57</v>
      </c>
      <c r="M44" s="52">
        <v>60.8</v>
      </c>
      <c r="N44" s="52">
        <v>63.9</v>
      </c>
      <c r="O44" s="53">
        <v>63.3</v>
      </c>
      <c r="P44" s="54">
        <v>68.5</v>
      </c>
      <c r="Q44" s="54">
        <v>69.8</v>
      </c>
      <c r="R44" s="129">
        <v>72.400000000000006</v>
      </c>
      <c r="S44" s="129">
        <f t="shared" si="4"/>
        <v>70.5</v>
      </c>
      <c r="U44" s="184"/>
      <c r="V44" s="184"/>
    </row>
    <row r="45" spans="1:22" ht="11.25" customHeight="1" x14ac:dyDescent="0.2">
      <c r="A45" s="24" t="s">
        <v>82</v>
      </c>
      <c r="B45" s="126" t="s">
        <v>83</v>
      </c>
      <c r="C45" s="52">
        <v>66.400000000000006</v>
      </c>
      <c r="D45" s="52">
        <v>69.900000000000006</v>
      </c>
      <c r="E45" s="52">
        <v>71.599999999999994</v>
      </c>
      <c r="F45" s="53">
        <v>77.400000000000006</v>
      </c>
      <c r="G45" s="54">
        <v>78.599999999999994</v>
      </c>
      <c r="H45" s="54">
        <v>83.1</v>
      </c>
      <c r="I45" s="129">
        <v>84.9</v>
      </c>
      <c r="J45" s="129">
        <f t="shared" si="3"/>
        <v>83.4</v>
      </c>
      <c r="K45" s="3"/>
      <c r="L45" s="52">
        <v>48.6</v>
      </c>
      <c r="M45" s="52">
        <v>49.9</v>
      </c>
      <c r="N45" s="52">
        <v>53.3</v>
      </c>
      <c r="O45" s="53">
        <v>59.8</v>
      </c>
      <c r="P45" s="54">
        <v>61.3</v>
      </c>
      <c r="Q45" s="54">
        <v>64.3</v>
      </c>
      <c r="R45" s="129">
        <v>62.9</v>
      </c>
      <c r="S45" s="129">
        <f t="shared" si="4"/>
        <v>65.7</v>
      </c>
      <c r="U45" s="184"/>
      <c r="V45" s="184"/>
    </row>
    <row r="46" spans="1:22" ht="11.25" customHeight="1" x14ac:dyDescent="0.2">
      <c r="A46" s="25" t="s">
        <v>84</v>
      </c>
      <c r="B46" s="126" t="s">
        <v>85</v>
      </c>
      <c r="C46" s="52">
        <v>56.9</v>
      </c>
      <c r="D46" s="52">
        <v>60.8</v>
      </c>
      <c r="E46" s="52">
        <v>66.5</v>
      </c>
      <c r="F46" s="53">
        <v>69.8</v>
      </c>
      <c r="G46" s="54">
        <v>75.8</v>
      </c>
      <c r="H46" s="54">
        <v>78.2</v>
      </c>
      <c r="I46" s="129">
        <v>84.2</v>
      </c>
      <c r="J46" s="129">
        <f t="shared" si="3"/>
        <v>81.7</v>
      </c>
      <c r="K46" s="3"/>
      <c r="L46" s="52">
        <v>41.7</v>
      </c>
      <c r="M46" s="52">
        <v>44.7</v>
      </c>
      <c r="N46" s="52">
        <v>45.8</v>
      </c>
      <c r="O46" s="53">
        <v>48.7</v>
      </c>
      <c r="P46" s="54">
        <v>56</v>
      </c>
      <c r="Q46" s="54">
        <v>57.1</v>
      </c>
      <c r="R46" s="129">
        <v>64.2</v>
      </c>
      <c r="S46" s="129">
        <f t="shared" si="4"/>
        <v>63.8</v>
      </c>
      <c r="U46" s="184"/>
      <c r="V46" s="184"/>
    </row>
    <row r="47" spans="1:22" s="3" customFormat="1" ht="11.25" customHeight="1" x14ac:dyDescent="0.2">
      <c r="A47" s="26" t="s">
        <v>86</v>
      </c>
      <c r="B47" s="126" t="s">
        <v>87</v>
      </c>
      <c r="C47" s="52">
        <v>57.7</v>
      </c>
      <c r="D47" s="52">
        <v>60.9</v>
      </c>
      <c r="E47" s="52">
        <v>65.8</v>
      </c>
      <c r="F47" s="53">
        <v>73.3</v>
      </c>
      <c r="G47" s="54">
        <v>79.900000000000006</v>
      </c>
      <c r="H47" s="54">
        <v>84.8</v>
      </c>
      <c r="I47" s="129">
        <v>88</v>
      </c>
      <c r="J47" s="129">
        <f t="shared" si="3"/>
        <v>86.9</v>
      </c>
      <c r="L47" s="52">
        <v>46.3</v>
      </c>
      <c r="M47" s="52">
        <v>48.4</v>
      </c>
      <c r="N47" s="52">
        <v>50.2</v>
      </c>
      <c r="O47" s="53">
        <v>53.8</v>
      </c>
      <c r="P47" s="54">
        <v>58.7</v>
      </c>
      <c r="Q47" s="54">
        <v>64.099999999999994</v>
      </c>
      <c r="R47" s="129">
        <v>65.400000000000006</v>
      </c>
      <c r="S47" s="129">
        <f t="shared" si="4"/>
        <v>66.2</v>
      </c>
      <c r="U47" s="184"/>
      <c r="V47" s="184"/>
    </row>
    <row r="48" spans="1:22" s="51" customFormat="1" ht="11.25" customHeight="1" x14ac:dyDescent="0.2">
      <c r="A48" s="3"/>
      <c r="B48" s="17"/>
      <c r="C48" s="50"/>
      <c r="D48" s="50"/>
      <c r="E48" s="27"/>
      <c r="F48" s="49"/>
      <c r="G48" s="49"/>
      <c r="H48" s="49"/>
      <c r="I48" s="127"/>
      <c r="J48" s="129"/>
      <c r="K48" s="27"/>
      <c r="L48" s="27"/>
      <c r="M48" s="27"/>
      <c r="N48" s="27"/>
      <c r="O48" s="49"/>
      <c r="P48" s="49"/>
      <c r="Q48" s="49"/>
      <c r="S48" s="129"/>
      <c r="U48" s="184"/>
      <c r="V48" s="184"/>
    </row>
    <row r="49" spans="1:22" ht="11.25" customHeight="1" x14ac:dyDescent="0.2">
      <c r="A49" s="16" t="s">
        <v>382</v>
      </c>
      <c r="B49" s="16" t="s">
        <v>88</v>
      </c>
      <c r="C49" s="19">
        <v>54.5</v>
      </c>
      <c r="D49" s="19">
        <v>57.8</v>
      </c>
      <c r="E49" s="19">
        <v>62.1</v>
      </c>
      <c r="F49" s="49">
        <v>69.2</v>
      </c>
      <c r="G49" s="50">
        <v>76.8</v>
      </c>
      <c r="H49" s="50">
        <v>81.599999999999994</v>
      </c>
      <c r="I49" s="50">
        <v>84.1</v>
      </c>
      <c r="J49" s="50">
        <f t="shared" ref="J49:J64" si="5">IF(ISERROR(VLOOKUP($A49,T16Percentage,26,0)),".",VLOOKUP($A49,T16Percentage,26,0))</f>
        <v>84.7</v>
      </c>
      <c r="K49" s="3"/>
      <c r="L49" s="19">
        <v>40.299999999999997</v>
      </c>
      <c r="M49" s="19">
        <v>42.5</v>
      </c>
      <c r="N49" s="19">
        <v>44.4</v>
      </c>
      <c r="O49" s="49">
        <v>47.3</v>
      </c>
      <c r="P49" s="50">
        <v>52</v>
      </c>
      <c r="Q49" s="50">
        <v>54.6</v>
      </c>
      <c r="R49" s="50">
        <v>57.3</v>
      </c>
      <c r="S49" s="50">
        <f t="shared" ref="S49:S64" si="6">IF(ISERROR(VLOOKUP(A49,T16Percentage,27,0)),".",VLOOKUP(A49,T16Percentage,27,0))</f>
        <v>59.5</v>
      </c>
      <c r="U49" s="184"/>
      <c r="V49" s="184"/>
    </row>
    <row r="50" spans="1:22" ht="11.25" customHeight="1" x14ac:dyDescent="0.2">
      <c r="A50" s="25" t="s">
        <v>89</v>
      </c>
      <c r="B50" s="126" t="s">
        <v>90</v>
      </c>
      <c r="C50" s="52">
        <v>49.5</v>
      </c>
      <c r="D50" s="52">
        <v>53.9</v>
      </c>
      <c r="E50" s="52">
        <v>55.8</v>
      </c>
      <c r="F50" s="53">
        <v>60.6</v>
      </c>
      <c r="G50" s="54">
        <v>69.900000000000006</v>
      </c>
      <c r="H50" s="54">
        <v>73.5</v>
      </c>
      <c r="I50" s="129">
        <v>76.8</v>
      </c>
      <c r="J50" s="129">
        <f t="shared" si="5"/>
        <v>77.900000000000006</v>
      </c>
      <c r="K50" s="3"/>
      <c r="L50" s="52">
        <v>30.7</v>
      </c>
      <c r="M50" s="52">
        <v>31.5</v>
      </c>
      <c r="N50" s="52">
        <v>33.1</v>
      </c>
      <c r="O50" s="53">
        <v>39.299999999999997</v>
      </c>
      <c r="P50" s="54">
        <v>40.200000000000003</v>
      </c>
      <c r="Q50" s="54">
        <v>44.4</v>
      </c>
      <c r="R50" s="129">
        <v>45.3</v>
      </c>
      <c r="S50" s="129">
        <f t="shared" si="6"/>
        <v>50.3</v>
      </c>
      <c r="U50" s="184"/>
      <c r="V50" s="184"/>
    </row>
    <row r="51" spans="1:22" ht="11.25" customHeight="1" x14ac:dyDescent="0.2">
      <c r="A51" s="25" t="s">
        <v>91</v>
      </c>
      <c r="B51" s="126" t="s">
        <v>92</v>
      </c>
      <c r="C51" s="52">
        <v>50.2</v>
      </c>
      <c r="D51" s="52">
        <v>52.1</v>
      </c>
      <c r="E51" s="52">
        <v>56.7</v>
      </c>
      <c r="F51" s="53">
        <v>63.7</v>
      </c>
      <c r="G51" s="54">
        <v>72.2</v>
      </c>
      <c r="H51" s="54">
        <v>79</v>
      </c>
      <c r="I51" s="129">
        <v>81.7</v>
      </c>
      <c r="J51" s="129">
        <f t="shared" si="5"/>
        <v>83.4</v>
      </c>
      <c r="K51" s="3"/>
      <c r="L51" s="52">
        <v>34</v>
      </c>
      <c r="M51" s="52">
        <v>36.299999999999997</v>
      </c>
      <c r="N51" s="52">
        <v>36.9</v>
      </c>
      <c r="O51" s="53">
        <v>41.6</v>
      </c>
      <c r="P51" s="54">
        <v>44.4</v>
      </c>
      <c r="Q51" s="54">
        <v>47.5</v>
      </c>
      <c r="R51" s="129">
        <v>52.4</v>
      </c>
      <c r="S51" s="129">
        <f t="shared" si="6"/>
        <v>53</v>
      </c>
      <c r="U51" s="184"/>
      <c r="V51" s="184"/>
    </row>
    <row r="52" spans="1:22" ht="11.25" customHeight="1" x14ac:dyDescent="0.2">
      <c r="A52" s="25" t="s">
        <v>93</v>
      </c>
      <c r="B52" s="126" t="s">
        <v>94</v>
      </c>
      <c r="C52" s="52">
        <v>58.1</v>
      </c>
      <c r="D52" s="52">
        <v>59.3</v>
      </c>
      <c r="E52" s="52">
        <v>66.5</v>
      </c>
      <c r="F52" s="53">
        <v>73.599999999999994</v>
      </c>
      <c r="G52" s="54">
        <v>76.5</v>
      </c>
      <c r="H52" s="54">
        <v>83</v>
      </c>
      <c r="I52" s="129">
        <v>87.6</v>
      </c>
      <c r="J52" s="129">
        <f t="shared" si="5"/>
        <v>90.9</v>
      </c>
      <c r="K52" s="3"/>
      <c r="L52" s="52">
        <v>43.8</v>
      </c>
      <c r="M52" s="52">
        <v>45.7</v>
      </c>
      <c r="N52" s="52">
        <v>50.3</v>
      </c>
      <c r="O52" s="53">
        <v>50.6</v>
      </c>
      <c r="P52" s="54">
        <v>54.5</v>
      </c>
      <c r="Q52" s="54">
        <v>59.4</v>
      </c>
      <c r="R52" s="129">
        <v>61.1</v>
      </c>
      <c r="S52" s="129">
        <f t="shared" si="6"/>
        <v>65.7</v>
      </c>
      <c r="U52" s="184"/>
      <c r="V52" s="184"/>
    </row>
    <row r="53" spans="1:22" ht="11.25" customHeight="1" x14ac:dyDescent="0.2">
      <c r="A53" s="25" t="s">
        <v>95</v>
      </c>
      <c r="B53" s="126" t="s">
        <v>96</v>
      </c>
      <c r="C53" s="52">
        <v>51.9</v>
      </c>
      <c r="D53" s="52">
        <v>57.8</v>
      </c>
      <c r="E53" s="52">
        <v>63.4</v>
      </c>
      <c r="F53" s="53">
        <v>72.2</v>
      </c>
      <c r="G53" s="54">
        <v>82.9</v>
      </c>
      <c r="H53" s="54">
        <v>88.2</v>
      </c>
      <c r="I53" s="129">
        <v>88.4</v>
      </c>
      <c r="J53" s="129">
        <f t="shared" si="5"/>
        <v>86.5</v>
      </c>
      <c r="K53" s="3"/>
      <c r="L53" s="52">
        <v>34.799999999999997</v>
      </c>
      <c r="M53" s="52">
        <v>37.4</v>
      </c>
      <c r="N53" s="52">
        <v>39.200000000000003</v>
      </c>
      <c r="O53" s="53">
        <v>42.9</v>
      </c>
      <c r="P53" s="54">
        <v>51.4</v>
      </c>
      <c r="Q53" s="54">
        <v>54.4</v>
      </c>
      <c r="R53" s="129">
        <v>54.7</v>
      </c>
      <c r="S53" s="129">
        <f t="shared" si="6"/>
        <v>56.6</v>
      </c>
      <c r="U53" s="184"/>
      <c r="V53" s="184"/>
    </row>
    <row r="54" spans="1:22" ht="11.25" customHeight="1" x14ac:dyDescent="0.2">
      <c r="A54" s="25" t="s">
        <v>97</v>
      </c>
      <c r="B54" s="126" t="s">
        <v>98</v>
      </c>
      <c r="C54" s="52">
        <v>62.2</v>
      </c>
      <c r="D54" s="52">
        <v>64.900000000000006</v>
      </c>
      <c r="E54" s="52">
        <v>65.900000000000006</v>
      </c>
      <c r="F54" s="53">
        <v>71.599999999999994</v>
      </c>
      <c r="G54" s="54">
        <v>77.7</v>
      </c>
      <c r="H54" s="54">
        <v>80.8</v>
      </c>
      <c r="I54" s="129">
        <v>83.8</v>
      </c>
      <c r="J54" s="129">
        <f t="shared" si="5"/>
        <v>83.2</v>
      </c>
      <c r="K54" s="3"/>
      <c r="L54" s="52">
        <v>49.8</v>
      </c>
      <c r="M54" s="52">
        <v>50.8</v>
      </c>
      <c r="N54" s="52">
        <v>52.5</v>
      </c>
      <c r="O54" s="53">
        <v>52.3</v>
      </c>
      <c r="P54" s="54">
        <v>58.6</v>
      </c>
      <c r="Q54" s="54">
        <v>55.4</v>
      </c>
      <c r="R54" s="129">
        <v>57.4</v>
      </c>
      <c r="S54" s="129">
        <f t="shared" si="6"/>
        <v>61</v>
      </c>
      <c r="U54" s="184"/>
      <c r="V54" s="184"/>
    </row>
    <row r="55" spans="1:22" ht="11.25" customHeight="1" x14ac:dyDescent="0.2">
      <c r="A55" s="25" t="s">
        <v>99</v>
      </c>
      <c r="B55" s="126" t="s">
        <v>100</v>
      </c>
      <c r="C55" s="52">
        <v>52.4</v>
      </c>
      <c r="D55" s="52">
        <v>52</v>
      </c>
      <c r="E55" s="52">
        <v>51.2</v>
      </c>
      <c r="F55" s="53">
        <v>65.400000000000006</v>
      </c>
      <c r="G55" s="54">
        <v>75.8</v>
      </c>
      <c r="H55" s="54">
        <v>82.4</v>
      </c>
      <c r="I55" s="129">
        <v>87.2</v>
      </c>
      <c r="J55" s="129">
        <f t="shared" si="5"/>
        <v>88</v>
      </c>
      <c r="K55" s="3"/>
      <c r="L55" s="52">
        <v>25.9</v>
      </c>
      <c r="M55" s="52">
        <v>30</v>
      </c>
      <c r="N55" s="52">
        <v>29.6</v>
      </c>
      <c r="O55" s="53">
        <v>36.9</v>
      </c>
      <c r="P55" s="54">
        <v>42.3</v>
      </c>
      <c r="Q55" s="54">
        <v>46.3</v>
      </c>
      <c r="R55" s="129">
        <v>47.8</v>
      </c>
      <c r="S55" s="129">
        <f t="shared" si="6"/>
        <v>50</v>
      </c>
      <c r="U55" s="184"/>
      <c r="V55" s="184"/>
    </row>
    <row r="56" spans="1:22" ht="11.25" customHeight="1" x14ac:dyDescent="0.2">
      <c r="A56" s="25" t="s">
        <v>101</v>
      </c>
      <c r="B56" s="126" t="s">
        <v>102</v>
      </c>
      <c r="C56" s="52">
        <v>53</v>
      </c>
      <c r="D56" s="52">
        <v>55.5</v>
      </c>
      <c r="E56" s="52">
        <v>61.5</v>
      </c>
      <c r="F56" s="53">
        <v>65</v>
      </c>
      <c r="G56" s="54">
        <v>72.900000000000006</v>
      </c>
      <c r="H56" s="54">
        <v>80.7</v>
      </c>
      <c r="I56" s="129">
        <v>82.6</v>
      </c>
      <c r="J56" s="129">
        <f t="shared" si="5"/>
        <v>84.5</v>
      </c>
      <c r="K56" s="3"/>
      <c r="L56" s="52">
        <v>40.799999999999997</v>
      </c>
      <c r="M56" s="52">
        <v>42.8</v>
      </c>
      <c r="N56" s="52">
        <v>45.6</v>
      </c>
      <c r="O56" s="53">
        <v>47.4</v>
      </c>
      <c r="P56" s="54">
        <v>52.8</v>
      </c>
      <c r="Q56" s="54">
        <v>59.3</v>
      </c>
      <c r="R56" s="129">
        <v>62</v>
      </c>
      <c r="S56" s="129">
        <f t="shared" si="6"/>
        <v>62.6</v>
      </c>
      <c r="U56" s="184"/>
      <c r="V56" s="184"/>
    </row>
    <row r="57" spans="1:22" ht="11.25" customHeight="1" x14ac:dyDescent="0.2">
      <c r="A57" s="25" t="s">
        <v>103</v>
      </c>
      <c r="B57" s="126" t="s">
        <v>104</v>
      </c>
      <c r="C57" s="52">
        <v>52.2</v>
      </c>
      <c r="D57" s="52">
        <v>55.9</v>
      </c>
      <c r="E57" s="52">
        <v>62.5</v>
      </c>
      <c r="F57" s="53">
        <v>67.5</v>
      </c>
      <c r="G57" s="54">
        <v>76.5</v>
      </c>
      <c r="H57" s="54">
        <v>81.599999999999994</v>
      </c>
      <c r="I57" s="129">
        <v>84.1</v>
      </c>
      <c r="J57" s="129">
        <f t="shared" si="5"/>
        <v>86.1</v>
      </c>
      <c r="K57" s="3"/>
      <c r="L57" s="52">
        <v>40.4</v>
      </c>
      <c r="M57" s="52">
        <v>42.1</v>
      </c>
      <c r="N57" s="52">
        <v>46.4</v>
      </c>
      <c r="O57" s="53">
        <v>45.9</v>
      </c>
      <c r="P57" s="54">
        <v>50.6</v>
      </c>
      <c r="Q57" s="54">
        <v>53.7</v>
      </c>
      <c r="R57" s="129">
        <v>55</v>
      </c>
      <c r="S57" s="129">
        <f t="shared" si="6"/>
        <v>57.3</v>
      </c>
      <c r="U57" s="184"/>
      <c r="V57" s="184"/>
    </row>
    <row r="58" spans="1:22" ht="11.25" customHeight="1" x14ac:dyDescent="0.2">
      <c r="A58" s="25" t="s">
        <v>105</v>
      </c>
      <c r="B58" s="126" t="s">
        <v>106</v>
      </c>
      <c r="C58" s="52">
        <v>48.2</v>
      </c>
      <c r="D58" s="52">
        <v>52</v>
      </c>
      <c r="E58" s="52">
        <v>58.6</v>
      </c>
      <c r="F58" s="53">
        <v>71.3</v>
      </c>
      <c r="G58" s="54">
        <v>79</v>
      </c>
      <c r="H58" s="54">
        <v>82.6</v>
      </c>
      <c r="I58" s="129">
        <v>85.7</v>
      </c>
      <c r="J58" s="129">
        <f t="shared" si="5"/>
        <v>87.1</v>
      </c>
      <c r="K58" s="3"/>
      <c r="L58" s="52">
        <v>35.4</v>
      </c>
      <c r="M58" s="52">
        <v>39</v>
      </c>
      <c r="N58" s="52">
        <v>39.700000000000003</v>
      </c>
      <c r="O58" s="53">
        <v>45.7</v>
      </c>
      <c r="P58" s="54">
        <v>54.2</v>
      </c>
      <c r="Q58" s="54">
        <v>54.2</v>
      </c>
      <c r="R58" s="129">
        <v>61.1</v>
      </c>
      <c r="S58" s="129">
        <f t="shared" si="6"/>
        <v>58.5</v>
      </c>
      <c r="U58" s="184"/>
      <c r="V58" s="184"/>
    </row>
    <row r="59" spans="1:22" ht="11.25" customHeight="1" x14ac:dyDescent="0.2">
      <c r="A59" s="25" t="s">
        <v>107</v>
      </c>
      <c r="B59" s="126" t="s">
        <v>108</v>
      </c>
      <c r="C59" s="52">
        <v>54.1</v>
      </c>
      <c r="D59" s="52">
        <v>60.2</v>
      </c>
      <c r="E59" s="52">
        <v>61.4</v>
      </c>
      <c r="F59" s="53">
        <v>72.5</v>
      </c>
      <c r="G59" s="54">
        <v>82.6</v>
      </c>
      <c r="H59" s="54">
        <v>86.6</v>
      </c>
      <c r="I59" s="129">
        <v>90.4</v>
      </c>
      <c r="J59" s="129">
        <f t="shared" si="5"/>
        <v>89.4</v>
      </c>
      <c r="K59" s="3"/>
      <c r="L59" s="52">
        <v>38.5</v>
      </c>
      <c r="M59" s="52">
        <v>40.9</v>
      </c>
      <c r="N59" s="52">
        <v>41.6</v>
      </c>
      <c r="O59" s="53">
        <v>45.4</v>
      </c>
      <c r="P59" s="54">
        <v>51.5</v>
      </c>
      <c r="Q59" s="54">
        <v>52.4</v>
      </c>
      <c r="R59" s="129">
        <v>56.3</v>
      </c>
      <c r="S59" s="129">
        <f t="shared" si="6"/>
        <v>56.8</v>
      </c>
      <c r="U59" s="184"/>
      <c r="V59" s="184"/>
    </row>
    <row r="60" spans="1:22" ht="11.25" customHeight="1" x14ac:dyDescent="0.2">
      <c r="A60" s="26" t="s">
        <v>109</v>
      </c>
      <c r="B60" s="126" t="s">
        <v>110</v>
      </c>
      <c r="C60" s="52">
        <v>64.2</v>
      </c>
      <c r="D60" s="52">
        <v>66.099999999999994</v>
      </c>
      <c r="E60" s="52">
        <v>69.900000000000006</v>
      </c>
      <c r="F60" s="53">
        <v>77.2</v>
      </c>
      <c r="G60" s="54">
        <v>81.599999999999994</v>
      </c>
      <c r="H60" s="54">
        <v>83.8</v>
      </c>
      <c r="I60" s="129">
        <v>85.7</v>
      </c>
      <c r="J60" s="129">
        <f t="shared" si="5"/>
        <v>84.4</v>
      </c>
      <c r="K60" s="3"/>
      <c r="L60" s="52">
        <v>53.5</v>
      </c>
      <c r="M60" s="52">
        <v>54.2</v>
      </c>
      <c r="N60" s="52">
        <v>54.7</v>
      </c>
      <c r="O60" s="53">
        <v>58.6</v>
      </c>
      <c r="P60" s="54">
        <v>61.6</v>
      </c>
      <c r="Q60" s="54">
        <v>63.2</v>
      </c>
      <c r="R60" s="129">
        <v>65.599999999999994</v>
      </c>
      <c r="S60" s="129">
        <f t="shared" si="6"/>
        <v>65.400000000000006</v>
      </c>
      <c r="U60" s="184"/>
      <c r="V60" s="184"/>
    </row>
    <row r="61" spans="1:22" ht="11.25" customHeight="1" x14ac:dyDescent="0.2">
      <c r="A61" s="25" t="s">
        <v>111</v>
      </c>
      <c r="B61" s="126" t="s">
        <v>112</v>
      </c>
      <c r="C61" s="52">
        <v>52.2</v>
      </c>
      <c r="D61" s="52">
        <v>54.6</v>
      </c>
      <c r="E61" s="52">
        <v>58.5</v>
      </c>
      <c r="F61" s="53">
        <v>66.900000000000006</v>
      </c>
      <c r="G61" s="54">
        <v>73.3</v>
      </c>
      <c r="H61" s="54">
        <v>81.8</v>
      </c>
      <c r="I61" s="129">
        <v>83.9</v>
      </c>
      <c r="J61" s="129">
        <f t="shared" si="5"/>
        <v>84.8</v>
      </c>
      <c r="K61" s="3"/>
      <c r="L61" s="52">
        <v>37.5</v>
      </c>
      <c r="M61" s="52">
        <v>39</v>
      </c>
      <c r="N61" s="52">
        <v>40.9</v>
      </c>
      <c r="O61" s="53">
        <v>47.1</v>
      </c>
      <c r="P61" s="54">
        <v>50.8</v>
      </c>
      <c r="Q61" s="54">
        <v>56.7</v>
      </c>
      <c r="R61" s="129">
        <v>60</v>
      </c>
      <c r="S61" s="129">
        <f t="shared" si="6"/>
        <v>63.6</v>
      </c>
      <c r="U61" s="184"/>
      <c r="V61" s="184"/>
    </row>
    <row r="62" spans="1:22" ht="11.25" customHeight="1" x14ac:dyDescent="0.2">
      <c r="A62" s="25" t="s">
        <v>113</v>
      </c>
      <c r="B62" s="126" t="s">
        <v>114</v>
      </c>
      <c r="C62" s="52">
        <v>48.5</v>
      </c>
      <c r="D62" s="52">
        <v>52.5</v>
      </c>
      <c r="E62" s="52">
        <v>57.4</v>
      </c>
      <c r="F62" s="53">
        <v>65.2</v>
      </c>
      <c r="G62" s="54">
        <v>71.5</v>
      </c>
      <c r="H62" s="54">
        <v>74.5</v>
      </c>
      <c r="I62" s="129">
        <v>76.900000000000006</v>
      </c>
      <c r="J62" s="129">
        <f t="shared" si="5"/>
        <v>76.3</v>
      </c>
      <c r="K62" s="3"/>
      <c r="L62" s="52">
        <v>37.1</v>
      </c>
      <c r="M62" s="52">
        <v>39.9</v>
      </c>
      <c r="N62" s="52">
        <v>40.6</v>
      </c>
      <c r="O62" s="53">
        <v>44.5</v>
      </c>
      <c r="P62" s="54">
        <v>49.2</v>
      </c>
      <c r="Q62" s="54">
        <v>49.4</v>
      </c>
      <c r="R62" s="129">
        <v>55.6</v>
      </c>
      <c r="S62" s="129">
        <f t="shared" si="6"/>
        <v>57.3</v>
      </c>
      <c r="U62" s="184"/>
      <c r="V62" s="184"/>
    </row>
    <row r="63" spans="1:22" ht="11.25" customHeight="1" x14ac:dyDescent="0.2">
      <c r="A63" s="25" t="s">
        <v>115</v>
      </c>
      <c r="B63" s="126" t="s">
        <v>116</v>
      </c>
      <c r="C63" s="52">
        <v>57.8</v>
      </c>
      <c r="D63" s="52">
        <v>65.5</v>
      </c>
      <c r="E63" s="52">
        <v>70.7</v>
      </c>
      <c r="F63" s="53">
        <v>75.5</v>
      </c>
      <c r="G63" s="54">
        <v>83.8</v>
      </c>
      <c r="H63" s="54">
        <v>86.1</v>
      </c>
      <c r="I63" s="129">
        <v>87.8</v>
      </c>
      <c r="J63" s="129">
        <f t="shared" si="5"/>
        <v>89</v>
      </c>
      <c r="K63" s="3"/>
      <c r="L63" s="52">
        <v>42.9</v>
      </c>
      <c r="M63" s="52">
        <v>46.5</v>
      </c>
      <c r="N63" s="52">
        <v>51.3</v>
      </c>
      <c r="O63" s="53">
        <v>49.3</v>
      </c>
      <c r="P63" s="54">
        <v>55.8</v>
      </c>
      <c r="Q63" s="54">
        <v>57.4</v>
      </c>
      <c r="R63" s="129">
        <v>59.3</v>
      </c>
      <c r="S63" s="129">
        <f t="shared" si="6"/>
        <v>66.3</v>
      </c>
      <c r="U63" s="184"/>
      <c r="V63" s="184"/>
    </row>
    <row r="64" spans="1:22" s="3" customFormat="1" ht="11.25" customHeight="1" x14ac:dyDescent="0.2">
      <c r="A64" s="25" t="s">
        <v>117</v>
      </c>
      <c r="B64" s="126" t="s">
        <v>118</v>
      </c>
      <c r="C64" s="52">
        <v>62.1</v>
      </c>
      <c r="D64" s="52">
        <v>67.5</v>
      </c>
      <c r="E64" s="52">
        <v>68.5</v>
      </c>
      <c r="F64" s="53">
        <v>73.099999999999994</v>
      </c>
      <c r="G64" s="54">
        <v>80.7</v>
      </c>
      <c r="H64" s="54">
        <v>84.3</v>
      </c>
      <c r="I64" s="129">
        <v>88.1</v>
      </c>
      <c r="J64" s="129">
        <f t="shared" si="5"/>
        <v>87.4</v>
      </c>
      <c r="L64" s="52">
        <v>48.8</v>
      </c>
      <c r="M64" s="52">
        <v>54.5</v>
      </c>
      <c r="N64" s="52">
        <v>53.8</v>
      </c>
      <c r="O64" s="53">
        <v>59.2</v>
      </c>
      <c r="P64" s="54">
        <v>59.1</v>
      </c>
      <c r="Q64" s="54">
        <v>62.1</v>
      </c>
      <c r="R64" s="129">
        <v>62.7</v>
      </c>
      <c r="S64" s="129">
        <f t="shared" si="6"/>
        <v>67.400000000000006</v>
      </c>
      <c r="U64" s="184"/>
      <c r="V64" s="184"/>
    </row>
    <row r="65" spans="1:22" s="51" customFormat="1" ht="11.25" customHeight="1" x14ac:dyDescent="0.2">
      <c r="A65" s="3"/>
      <c r="B65" s="17"/>
      <c r="C65" s="50"/>
      <c r="D65" s="50"/>
      <c r="E65" s="27"/>
      <c r="F65" s="49"/>
      <c r="G65" s="49"/>
      <c r="H65" s="49"/>
      <c r="I65" s="127"/>
      <c r="J65" s="129"/>
      <c r="K65" s="27"/>
      <c r="L65" s="27"/>
      <c r="M65" s="27"/>
      <c r="N65" s="27"/>
      <c r="O65" s="49"/>
      <c r="P65" s="49"/>
      <c r="Q65" s="49"/>
      <c r="S65" s="129"/>
      <c r="U65" s="184"/>
      <c r="V65" s="184"/>
    </row>
    <row r="66" spans="1:22" ht="11.25" customHeight="1" x14ac:dyDescent="0.2">
      <c r="A66" s="16" t="s">
        <v>385</v>
      </c>
      <c r="B66" s="16" t="s">
        <v>119</v>
      </c>
      <c r="C66" s="19">
        <v>55.4</v>
      </c>
      <c r="D66" s="19">
        <v>57.9</v>
      </c>
      <c r="E66" s="19">
        <v>63.1</v>
      </c>
      <c r="F66" s="49">
        <v>68.900000000000006</v>
      </c>
      <c r="G66" s="50">
        <v>75.3</v>
      </c>
      <c r="H66" s="50">
        <v>80.099999999999994</v>
      </c>
      <c r="I66" s="50">
        <v>82.8</v>
      </c>
      <c r="J66" s="50">
        <f t="shared" ref="J66:J75" si="7">IF(ISERROR(VLOOKUP($A66,T16Percentage,26,0)),".",VLOOKUP($A66,T16Percentage,26,0))</f>
        <v>82.8</v>
      </c>
      <c r="K66" s="3"/>
      <c r="L66" s="19">
        <v>42.9</v>
      </c>
      <c r="M66" s="19">
        <v>44.4</v>
      </c>
      <c r="N66" s="19">
        <v>47</v>
      </c>
      <c r="O66" s="49">
        <v>49.9</v>
      </c>
      <c r="P66" s="50">
        <v>53.7</v>
      </c>
      <c r="Q66" s="50">
        <v>57.1</v>
      </c>
      <c r="R66" s="50">
        <v>57.6</v>
      </c>
      <c r="S66" s="50">
        <f t="shared" ref="S66:S75" si="8">IF(ISERROR(VLOOKUP(A66,T16Percentage,27,0)),".",VLOOKUP(A66,T16Percentage,27,0))</f>
        <v>59.3</v>
      </c>
      <c r="U66" s="184"/>
      <c r="V66" s="184"/>
    </row>
    <row r="67" spans="1:22" ht="11.25" customHeight="1" x14ac:dyDescent="0.2">
      <c r="A67" s="26" t="s">
        <v>120</v>
      </c>
      <c r="B67" s="126" t="s">
        <v>121</v>
      </c>
      <c r="C67" s="52">
        <v>55.6</v>
      </c>
      <c r="D67" s="52">
        <v>54.6</v>
      </c>
      <c r="E67" s="52">
        <v>63.7</v>
      </c>
      <c r="F67" s="53">
        <v>66.599999999999994</v>
      </c>
      <c r="G67" s="54">
        <v>77.3</v>
      </c>
      <c r="H67" s="54">
        <v>81.599999999999994</v>
      </c>
      <c r="I67" s="129">
        <v>84.7</v>
      </c>
      <c r="J67" s="129">
        <f t="shared" si="7"/>
        <v>81.8</v>
      </c>
      <c r="K67" s="3"/>
      <c r="L67" s="52">
        <v>42.2</v>
      </c>
      <c r="M67" s="52">
        <v>40</v>
      </c>
      <c r="N67" s="52">
        <v>49.4</v>
      </c>
      <c r="O67" s="53">
        <v>45.6</v>
      </c>
      <c r="P67" s="54">
        <v>55.1</v>
      </c>
      <c r="Q67" s="54">
        <v>56.9</v>
      </c>
      <c r="R67" s="129">
        <v>57.2</v>
      </c>
      <c r="S67" s="129">
        <f t="shared" si="8"/>
        <v>55.6</v>
      </c>
      <c r="U67" s="184"/>
      <c r="V67" s="184"/>
    </row>
    <row r="68" spans="1:22" ht="11.25" customHeight="1" x14ac:dyDescent="0.2">
      <c r="A68" s="26" t="s">
        <v>122</v>
      </c>
      <c r="B68" s="126" t="s">
        <v>123</v>
      </c>
      <c r="C68" s="52">
        <v>57.1</v>
      </c>
      <c r="D68" s="52">
        <v>58.6</v>
      </c>
      <c r="E68" s="52">
        <v>63.1</v>
      </c>
      <c r="F68" s="53">
        <v>67.900000000000006</v>
      </c>
      <c r="G68" s="54">
        <v>73.7</v>
      </c>
      <c r="H68" s="54">
        <v>79</v>
      </c>
      <c r="I68" s="129">
        <v>80.7</v>
      </c>
      <c r="J68" s="129">
        <f t="shared" si="7"/>
        <v>81.599999999999994</v>
      </c>
      <c r="K68" s="3"/>
      <c r="L68" s="52">
        <v>45.5</v>
      </c>
      <c r="M68" s="52">
        <v>47</v>
      </c>
      <c r="N68" s="52">
        <v>48.5</v>
      </c>
      <c r="O68" s="53">
        <v>51</v>
      </c>
      <c r="P68" s="54">
        <v>55</v>
      </c>
      <c r="Q68" s="54">
        <v>58.4</v>
      </c>
      <c r="R68" s="129">
        <v>57.2</v>
      </c>
      <c r="S68" s="129">
        <f t="shared" si="8"/>
        <v>59.1</v>
      </c>
      <c r="U68" s="184"/>
      <c r="V68" s="184"/>
    </row>
    <row r="69" spans="1:22" ht="11.25" customHeight="1" x14ac:dyDescent="0.2">
      <c r="A69" s="26" t="s">
        <v>124</v>
      </c>
      <c r="B69" s="126" t="s">
        <v>125</v>
      </c>
      <c r="C69" s="52">
        <v>47.6</v>
      </c>
      <c r="D69" s="52">
        <v>51.7</v>
      </c>
      <c r="E69" s="52">
        <v>55.5</v>
      </c>
      <c r="F69" s="53">
        <v>64.5</v>
      </c>
      <c r="G69" s="54">
        <v>72.599999999999994</v>
      </c>
      <c r="H69" s="54">
        <v>77.400000000000006</v>
      </c>
      <c r="I69" s="129">
        <v>78.8</v>
      </c>
      <c r="J69" s="129">
        <f t="shared" si="7"/>
        <v>79.599999999999994</v>
      </c>
      <c r="K69" s="3"/>
      <c r="L69" s="52">
        <v>33.5</v>
      </c>
      <c r="M69" s="52">
        <v>36.5</v>
      </c>
      <c r="N69" s="52">
        <v>39.9</v>
      </c>
      <c r="O69" s="53">
        <v>44.4</v>
      </c>
      <c r="P69" s="54">
        <v>48.9</v>
      </c>
      <c r="Q69" s="54">
        <v>52.1</v>
      </c>
      <c r="R69" s="129">
        <v>51.5</v>
      </c>
      <c r="S69" s="129">
        <f t="shared" si="8"/>
        <v>54.8</v>
      </c>
      <c r="U69" s="184"/>
      <c r="V69" s="184"/>
    </row>
    <row r="70" spans="1:22" ht="11.25" customHeight="1" x14ac:dyDescent="0.2">
      <c r="A70" s="26" t="s">
        <v>126</v>
      </c>
      <c r="B70" s="126" t="s">
        <v>127</v>
      </c>
      <c r="C70" s="52">
        <v>58.4</v>
      </c>
      <c r="D70" s="52">
        <v>60.8</v>
      </c>
      <c r="E70" s="52">
        <v>64.7</v>
      </c>
      <c r="F70" s="53">
        <v>68.599999999999994</v>
      </c>
      <c r="G70" s="54">
        <v>74.900000000000006</v>
      </c>
      <c r="H70" s="54">
        <v>79.7</v>
      </c>
      <c r="I70" s="129">
        <v>80.599999999999994</v>
      </c>
      <c r="J70" s="129">
        <f t="shared" si="7"/>
        <v>82</v>
      </c>
      <c r="K70" s="3"/>
      <c r="L70" s="52">
        <v>46.7</v>
      </c>
      <c r="M70" s="52">
        <v>48.8</v>
      </c>
      <c r="N70" s="52">
        <v>51.9</v>
      </c>
      <c r="O70" s="53">
        <v>52.6</v>
      </c>
      <c r="P70" s="54">
        <v>55.3</v>
      </c>
      <c r="Q70" s="54">
        <v>56.9</v>
      </c>
      <c r="R70" s="129">
        <v>56.9</v>
      </c>
      <c r="S70" s="129">
        <f t="shared" si="8"/>
        <v>59.5</v>
      </c>
      <c r="U70" s="184"/>
      <c r="V70" s="184"/>
    </row>
    <row r="71" spans="1:22" ht="11.25" customHeight="1" x14ac:dyDescent="0.2">
      <c r="A71" s="25" t="s">
        <v>128</v>
      </c>
      <c r="B71" s="126" t="s">
        <v>129</v>
      </c>
      <c r="C71" s="52">
        <v>62.2</v>
      </c>
      <c r="D71" s="52">
        <v>65.5</v>
      </c>
      <c r="E71" s="52">
        <v>71.099999999999994</v>
      </c>
      <c r="F71" s="53">
        <v>75.7</v>
      </c>
      <c r="G71" s="54">
        <v>80.400000000000006</v>
      </c>
      <c r="H71" s="54">
        <v>84.3</v>
      </c>
      <c r="I71" s="129">
        <v>85.9</v>
      </c>
      <c r="J71" s="129">
        <f t="shared" si="7"/>
        <v>84.5</v>
      </c>
      <c r="K71" s="3"/>
      <c r="L71" s="52">
        <v>48.6</v>
      </c>
      <c r="M71" s="52">
        <v>50.6</v>
      </c>
      <c r="N71" s="52">
        <v>52.6</v>
      </c>
      <c r="O71" s="53">
        <v>56.2</v>
      </c>
      <c r="P71" s="54">
        <v>59.2</v>
      </c>
      <c r="Q71" s="54">
        <v>62.2</v>
      </c>
      <c r="R71" s="129">
        <v>62.1</v>
      </c>
      <c r="S71" s="129">
        <f t="shared" si="8"/>
        <v>61.8</v>
      </c>
      <c r="U71" s="184"/>
      <c r="V71" s="184"/>
    </row>
    <row r="72" spans="1:22" ht="11.25" customHeight="1" x14ac:dyDescent="0.2">
      <c r="A72" s="25" t="s">
        <v>130</v>
      </c>
      <c r="B72" s="126" t="s">
        <v>131</v>
      </c>
      <c r="C72" s="52">
        <v>54.5</v>
      </c>
      <c r="D72" s="52">
        <v>55.1</v>
      </c>
      <c r="E72" s="52">
        <v>59.5</v>
      </c>
      <c r="F72" s="53">
        <v>66</v>
      </c>
      <c r="G72" s="54">
        <v>69.7</v>
      </c>
      <c r="H72" s="54">
        <v>76</v>
      </c>
      <c r="I72" s="129">
        <v>80.099999999999994</v>
      </c>
      <c r="J72" s="129">
        <f t="shared" si="7"/>
        <v>80</v>
      </c>
      <c r="K72" s="3"/>
      <c r="L72" s="52">
        <v>42.1</v>
      </c>
      <c r="M72" s="52">
        <v>42.3</v>
      </c>
      <c r="N72" s="52">
        <v>45.4</v>
      </c>
      <c r="O72" s="53">
        <v>48.9</v>
      </c>
      <c r="P72" s="54">
        <v>51.9</v>
      </c>
      <c r="Q72" s="54">
        <v>55.3</v>
      </c>
      <c r="R72" s="129">
        <v>56.2</v>
      </c>
      <c r="S72" s="129">
        <f t="shared" si="8"/>
        <v>58.1</v>
      </c>
      <c r="U72" s="184"/>
      <c r="V72" s="184"/>
    </row>
    <row r="73" spans="1:22" ht="11.25" customHeight="1" x14ac:dyDescent="0.2">
      <c r="A73" s="25" t="s">
        <v>132</v>
      </c>
      <c r="B73" s="126" t="s">
        <v>133</v>
      </c>
      <c r="C73" s="52">
        <v>44.8</v>
      </c>
      <c r="D73" s="52">
        <v>53.4</v>
      </c>
      <c r="E73" s="52">
        <v>58.8</v>
      </c>
      <c r="F73" s="53">
        <v>67.099999999999994</v>
      </c>
      <c r="G73" s="54">
        <v>72.3</v>
      </c>
      <c r="H73" s="54">
        <v>76.599999999999994</v>
      </c>
      <c r="I73" s="129">
        <v>80.2</v>
      </c>
      <c r="J73" s="129">
        <f t="shared" si="7"/>
        <v>77.900000000000006</v>
      </c>
      <c r="K73" s="3"/>
      <c r="L73" s="52">
        <v>28.5</v>
      </c>
      <c r="M73" s="52">
        <v>33.1</v>
      </c>
      <c r="N73" s="52">
        <v>34.700000000000003</v>
      </c>
      <c r="O73" s="53">
        <v>41.4</v>
      </c>
      <c r="P73" s="54">
        <v>44.2</v>
      </c>
      <c r="Q73" s="54">
        <v>46.7</v>
      </c>
      <c r="R73" s="129">
        <v>49.6</v>
      </c>
      <c r="S73" s="129">
        <f t="shared" si="8"/>
        <v>50.3</v>
      </c>
      <c r="U73" s="184"/>
      <c r="V73" s="184"/>
    </row>
    <row r="74" spans="1:22" ht="11.25" customHeight="1" x14ac:dyDescent="0.2">
      <c r="A74" s="25" t="s">
        <v>134</v>
      </c>
      <c r="B74" s="126" t="s">
        <v>135</v>
      </c>
      <c r="C74" s="52">
        <v>51.2</v>
      </c>
      <c r="D74" s="52">
        <v>54.9</v>
      </c>
      <c r="E74" s="52">
        <v>61.2</v>
      </c>
      <c r="F74" s="53">
        <v>69.2</v>
      </c>
      <c r="G74" s="54">
        <v>78.099999999999994</v>
      </c>
      <c r="H74" s="54">
        <v>82.6</v>
      </c>
      <c r="I74" s="129">
        <v>87.6</v>
      </c>
      <c r="J74" s="129">
        <f t="shared" si="7"/>
        <v>88.4</v>
      </c>
      <c r="K74" s="3"/>
      <c r="L74" s="52">
        <v>40.1</v>
      </c>
      <c r="M74" s="52">
        <v>41.7</v>
      </c>
      <c r="N74" s="52">
        <v>43.3</v>
      </c>
      <c r="O74" s="53">
        <v>47.2</v>
      </c>
      <c r="P74" s="54">
        <v>51.4</v>
      </c>
      <c r="Q74" s="54">
        <v>57.6</v>
      </c>
      <c r="R74" s="129">
        <v>60.6</v>
      </c>
      <c r="S74" s="129">
        <f t="shared" si="8"/>
        <v>63.4</v>
      </c>
      <c r="U74" s="184"/>
      <c r="V74" s="184"/>
    </row>
    <row r="75" spans="1:22" s="3" customFormat="1" ht="11.25" customHeight="1" x14ac:dyDescent="0.2">
      <c r="A75" s="26" t="s">
        <v>136</v>
      </c>
      <c r="B75" s="126" t="s">
        <v>137</v>
      </c>
      <c r="C75" s="52">
        <v>68.2</v>
      </c>
      <c r="D75" s="52">
        <v>68.900000000000006</v>
      </c>
      <c r="E75" s="52">
        <v>71</v>
      </c>
      <c r="F75" s="53">
        <v>73.400000000000006</v>
      </c>
      <c r="G75" s="54">
        <v>79.3</v>
      </c>
      <c r="H75" s="54">
        <v>78.599999999999994</v>
      </c>
      <c r="I75" s="129">
        <v>80.5</v>
      </c>
      <c r="J75" s="129">
        <f t="shared" si="7"/>
        <v>84.4</v>
      </c>
      <c r="L75" s="52">
        <v>56.1</v>
      </c>
      <c r="M75" s="52">
        <v>58</v>
      </c>
      <c r="N75" s="52">
        <v>58.6</v>
      </c>
      <c r="O75" s="53">
        <v>58.2</v>
      </c>
      <c r="P75" s="54">
        <v>61.4</v>
      </c>
      <c r="Q75" s="54">
        <v>60.8</v>
      </c>
      <c r="R75" s="129">
        <v>55.5</v>
      </c>
      <c r="S75" s="129">
        <f t="shared" si="8"/>
        <v>67.2</v>
      </c>
      <c r="U75" s="184"/>
      <c r="V75" s="184"/>
    </row>
    <row r="76" spans="1:22" s="51" customFormat="1" ht="11.25" customHeight="1" x14ac:dyDescent="0.2">
      <c r="A76" s="3"/>
      <c r="B76" s="17"/>
      <c r="C76" s="50"/>
      <c r="D76" s="50"/>
      <c r="E76" s="27"/>
      <c r="F76" s="49"/>
      <c r="G76" s="49"/>
      <c r="H76" s="49"/>
      <c r="J76" s="129"/>
      <c r="K76" s="27"/>
      <c r="L76" s="27"/>
      <c r="M76" s="27"/>
      <c r="N76" s="27"/>
      <c r="O76" s="49"/>
      <c r="P76" s="49"/>
      <c r="Q76" s="49"/>
      <c r="S76" s="129"/>
      <c r="U76" s="184"/>
      <c r="V76" s="184"/>
    </row>
    <row r="77" spans="1:22" ht="11.25" customHeight="1" x14ac:dyDescent="0.2">
      <c r="A77" s="16" t="s">
        <v>386</v>
      </c>
      <c r="B77" s="16" t="s">
        <v>138</v>
      </c>
      <c r="C77" s="19">
        <v>56.4</v>
      </c>
      <c r="D77" s="19">
        <v>59.3</v>
      </c>
      <c r="E77" s="19">
        <v>64.099999999999994</v>
      </c>
      <c r="F77" s="49">
        <v>70.099999999999994</v>
      </c>
      <c r="G77" s="50">
        <v>77.900000000000006</v>
      </c>
      <c r="H77" s="50">
        <v>83</v>
      </c>
      <c r="I77" s="50">
        <v>85.6</v>
      </c>
      <c r="J77" s="50">
        <f t="shared" ref="J77:J91" si="9">IF(ISERROR(VLOOKUP($A77,T16Percentage,26,0)),".",VLOOKUP($A77,T16Percentage,26,0))</f>
        <v>85.6</v>
      </c>
      <c r="K77" s="3"/>
      <c r="L77" s="19">
        <v>41.6</v>
      </c>
      <c r="M77" s="19">
        <v>43.3</v>
      </c>
      <c r="N77" s="19">
        <v>46.1</v>
      </c>
      <c r="O77" s="49">
        <v>48.5</v>
      </c>
      <c r="P77" s="50">
        <v>54.2</v>
      </c>
      <c r="Q77" s="50">
        <v>57.4</v>
      </c>
      <c r="R77" s="50">
        <v>58.8</v>
      </c>
      <c r="S77" s="50">
        <f t="shared" ref="S77:S91" si="10">IF(ISERROR(VLOOKUP(A77,T16Percentage,27,0)),".",VLOOKUP(A77,T16Percentage,27,0))</f>
        <v>59.9</v>
      </c>
      <c r="U77" s="184"/>
      <c r="V77" s="184"/>
    </row>
    <row r="78" spans="1:22" ht="11.25" customHeight="1" x14ac:dyDescent="0.2">
      <c r="A78" s="26" t="s">
        <v>139</v>
      </c>
      <c r="B78" s="126" t="s">
        <v>140</v>
      </c>
      <c r="C78" s="52">
        <v>58.8</v>
      </c>
      <c r="D78" s="52">
        <v>61.8</v>
      </c>
      <c r="E78" s="52">
        <v>66.599999999999994</v>
      </c>
      <c r="F78" s="53">
        <v>72.7</v>
      </c>
      <c r="G78" s="54">
        <v>81.900000000000006</v>
      </c>
      <c r="H78" s="54">
        <v>86.4</v>
      </c>
      <c r="I78" s="129">
        <v>88.2</v>
      </c>
      <c r="J78" s="129">
        <f t="shared" si="9"/>
        <v>87.6</v>
      </c>
      <c r="K78" s="3"/>
      <c r="L78" s="52">
        <v>40.799999999999997</v>
      </c>
      <c r="M78" s="52">
        <v>41.7</v>
      </c>
      <c r="N78" s="52">
        <v>45.5</v>
      </c>
      <c r="O78" s="53">
        <v>47.7</v>
      </c>
      <c r="P78" s="54">
        <v>54.9</v>
      </c>
      <c r="Q78" s="54">
        <v>58.2</v>
      </c>
      <c r="R78" s="129">
        <v>60.1</v>
      </c>
      <c r="S78" s="129">
        <f t="shared" si="10"/>
        <v>59.8</v>
      </c>
      <c r="U78" s="184"/>
      <c r="V78" s="184"/>
    </row>
    <row r="79" spans="1:22" ht="11.25" customHeight="1" x14ac:dyDescent="0.2">
      <c r="A79" s="25" t="s">
        <v>141</v>
      </c>
      <c r="B79" s="126" t="s">
        <v>142</v>
      </c>
      <c r="C79" s="52">
        <v>47.9</v>
      </c>
      <c r="D79" s="52">
        <v>52.6</v>
      </c>
      <c r="E79" s="52">
        <v>60.7</v>
      </c>
      <c r="F79" s="53">
        <v>70</v>
      </c>
      <c r="G79" s="54">
        <v>82.2</v>
      </c>
      <c r="H79" s="54">
        <v>86</v>
      </c>
      <c r="I79" s="129">
        <v>87.4</v>
      </c>
      <c r="J79" s="129">
        <f t="shared" si="9"/>
        <v>87.3</v>
      </c>
      <c r="K79" s="3"/>
      <c r="L79" s="52">
        <v>37.799999999999997</v>
      </c>
      <c r="M79" s="52">
        <v>38.9</v>
      </c>
      <c r="N79" s="52">
        <v>41.8</v>
      </c>
      <c r="O79" s="53">
        <v>47.8</v>
      </c>
      <c r="P79" s="54">
        <v>51.7</v>
      </c>
      <c r="Q79" s="54">
        <v>54.7</v>
      </c>
      <c r="R79" s="129">
        <v>58.7</v>
      </c>
      <c r="S79" s="129">
        <f t="shared" si="10"/>
        <v>56.4</v>
      </c>
      <c r="U79" s="184"/>
      <c r="V79" s="184"/>
    </row>
    <row r="80" spans="1:22" ht="11.25" customHeight="1" x14ac:dyDescent="0.2">
      <c r="A80" s="26" t="s">
        <v>143</v>
      </c>
      <c r="B80" s="126" t="s">
        <v>144</v>
      </c>
      <c r="C80" s="52">
        <v>55.8</v>
      </c>
      <c r="D80" s="52">
        <v>56.9</v>
      </c>
      <c r="E80" s="52">
        <v>61.1</v>
      </c>
      <c r="F80" s="53">
        <v>66.7</v>
      </c>
      <c r="G80" s="54">
        <v>75.099999999999994</v>
      </c>
      <c r="H80" s="54">
        <v>80.8</v>
      </c>
      <c r="I80" s="129">
        <v>83.2</v>
      </c>
      <c r="J80" s="129">
        <f t="shared" si="9"/>
        <v>81.2</v>
      </c>
      <c r="K80" s="3"/>
      <c r="L80" s="52">
        <v>43</v>
      </c>
      <c r="M80" s="52">
        <v>43.6</v>
      </c>
      <c r="N80" s="52">
        <v>46.9</v>
      </c>
      <c r="O80" s="53">
        <v>48.9</v>
      </c>
      <c r="P80" s="54">
        <v>56.4</v>
      </c>
      <c r="Q80" s="54">
        <v>58.5</v>
      </c>
      <c r="R80" s="129">
        <v>56.1</v>
      </c>
      <c r="S80" s="129">
        <f t="shared" si="10"/>
        <v>59.7</v>
      </c>
      <c r="U80" s="184"/>
      <c r="V80" s="184"/>
    </row>
    <row r="81" spans="1:22" ht="11.25" customHeight="1" x14ac:dyDescent="0.2">
      <c r="A81" s="125" t="s">
        <v>355</v>
      </c>
      <c r="B81" s="126" t="s">
        <v>145</v>
      </c>
      <c r="C81" s="52">
        <v>61.8</v>
      </c>
      <c r="D81" s="52">
        <v>62</v>
      </c>
      <c r="E81" s="52">
        <v>68.3</v>
      </c>
      <c r="F81" s="53">
        <v>73.5</v>
      </c>
      <c r="G81" s="54">
        <v>81.2</v>
      </c>
      <c r="H81" s="54">
        <v>87.1</v>
      </c>
      <c r="I81" s="129">
        <v>87.4</v>
      </c>
      <c r="J81" s="129">
        <f t="shared" si="9"/>
        <v>84.5</v>
      </c>
      <c r="K81" s="3"/>
      <c r="L81" s="52">
        <v>48.2</v>
      </c>
      <c r="M81" s="52">
        <v>51.7</v>
      </c>
      <c r="N81" s="52">
        <v>52.4</v>
      </c>
      <c r="O81" s="53">
        <v>52.2</v>
      </c>
      <c r="P81" s="54">
        <v>56</v>
      </c>
      <c r="Q81" s="54">
        <v>57.5</v>
      </c>
      <c r="R81" s="129">
        <v>56.5</v>
      </c>
      <c r="S81" s="129">
        <f t="shared" si="10"/>
        <v>56.1</v>
      </c>
      <c r="U81" s="184"/>
      <c r="V81" s="184"/>
    </row>
    <row r="82" spans="1:22" ht="11.25" customHeight="1" x14ac:dyDescent="0.2">
      <c r="A82" s="25" t="s">
        <v>146</v>
      </c>
      <c r="B82" s="126" t="s">
        <v>147</v>
      </c>
      <c r="C82" s="52">
        <v>47.3</v>
      </c>
      <c r="D82" s="52">
        <v>54.8</v>
      </c>
      <c r="E82" s="52">
        <v>56.3</v>
      </c>
      <c r="F82" s="53">
        <v>66.099999999999994</v>
      </c>
      <c r="G82" s="54">
        <v>74.900000000000006</v>
      </c>
      <c r="H82" s="54">
        <v>83.8</v>
      </c>
      <c r="I82" s="129">
        <v>85.8</v>
      </c>
      <c r="J82" s="129">
        <f t="shared" si="9"/>
        <v>87.7</v>
      </c>
      <c r="K82" s="3"/>
      <c r="L82" s="52">
        <v>29.7</v>
      </c>
      <c r="M82" s="52">
        <v>30.2</v>
      </c>
      <c r="N82" s="52">
        <v>31.5</v>
      </c>
      <c r="O82" s="53">
        <v>37.5</v>
      </c>
      <c r="P82" s="54">
        <v>43.6</v>
      </c>
      <c r="Q82" s="54">
        <v>50</v>
      </c>
      <c r="R82" s="129">
        <v>53.8</v>
      </c>
      <c r="S82" s="129">
        <f t="shared" si="10"/>
        <v>54.1</v>
      </c>
      <c r="U82" s="184"/>
      <c r="V82" s="184"/>
    </row>
    <row r="83" spans="1:22" ht="11.25" customHeight="1" x14ac:dyDescent="0.2">
      <c r="A83" s="24" t="s">
        <v>148</v>
      </c>
      <c r="B83" s="126" t="s">
        <v>149</v>
      </c>
      <c r="C83" s="52">
        <v>62.6</v>
      </c>
      <c r="D83" s="52">
        <v>66.599999999999994</v>
      </c>
      <c r="E83" s="52">
        <v>68</v>
      </c>
      <c r="F83" s="53">
        <v>72.400000000000006</v>
      </c>
      <c r="G83" s="54">
        <v>72.599999999999994</v>
      </c>
      <c r="H83" s="54">
        <v>77.099999999999994</v>
      </c>
      <c r="I83" s="129">
        <v>78.400000000000006</v>
      </c>
      <c r="J83" s="129">
        <f t="shared" si="9"/>
        <v>79</v>
      </c>
      <c r="K83" s="3"/>
      <c r="L83" s="52">
        <v>50.3</v>
      </c>
      <c r="M83" s="52">
        <v>53.3</v>
      </c>
      <c r="N83" s="52">
        <v>54.4</v>
      </c>
      <c r="O83" s="53">
        <v>56.6</v>
      </c>
      <c r="P83" s="54">
        <v>57.8</v>
      </c>
      <c r="Q83" s="54">
        <v>60</v>
      </c>
      <c r="R83" s="129">
        <v>58.6</v>
      </c>
      <c r="S83" s="129">
        <f t="shared" si="10"/>
        <v>60.4</v>
      </c>
      <c r="U83" s="184"/>
      <c r="V83" s="184"/>
    </row>
    <row r="84" spans="1:22" ht="11.25" customHeight="1" x14ac:dyDescent="0.2">
      <c r="A84" s="25" t="s">
        <v>150</v>
      </c>
      <c r="B84" s="126" t="s">
        <v>151</v>
      </c>
      <c r="C84" s="52">
        <v>66.8</v>
      </c>
      <c r="D84" s="52">
        <v>69.2</v>
      </c>
      <c r="E84" s="52">
        <v>73.900000000000006</v>
      </c>
      <c r="F84" s="53">
        <v>77.7</v>
      </c>
      <c r="G84" s="54">
        <v>86</v>
      </c>
      <c r="H84" s="54">
        <v>89.4</v>
      </c>
      <c r="I84" s="129">
        <v>91</v>
      </c>
      <c r="J84" s="129">
        <f t="shared" si="9"/>
        <v>89.6</v>
      </c>
      <c r="K84" s="3"/>
      <c r="L84" s="52">
        <v>50.5</v>
      </c>
      <c r="M84" s="52">
        <v>53</v>
      </c>
      <c r="N84" s="52">
        <v>54.6</v>
      </c>
      <c r="O84" s="53">
        <v>54.4</v>
      </c>
      <c r="P84" s="54">
        <v>60.1</v>
      </c>
      <c r="Q84" s="54">
        <v>61.7</v>
      </c>
      <c r="R84" s="129">
        <v>62.7</v>
      </c>
      <c r="S84" s="129">
        <f t="shared" si="10"/>
        <v>67.099999999999994</v>
      </c>
      <c r="U84" s="184"/>
      <c r="V84" s="184"/>
    </row>
    <row r="85" spans="1:22" ht="11.25" customHeight="1" x14ac:dyDescent="0.2">
      <c r="A85" s="26" t="s">
        <v>152</v>
      </c>
      <c r="B85" s="126" t="s">
        <v>153</v>
      </c>
      <c r="C85" s="52">
        <v>56.5</v>
      </c>
      <c r="D85" s="52">
        <v>60</v>
      </c>
      <c r="E85" s="52">
        <v>65</v>
      </c>
      <c r="F85" s="53">
        <v>69.7</v>
      </c>
      <c r="G85" s="54">
        <v>74.8</v>
      </c>
      <c r="H85" s="54">
        <v>78.900000000000006</v>
      </c>
      <c r="I85" s="129">
        <v>83.5</v>
      </c>
      <c r="J85" s="129">
        <f t="shared" si="9"/>
        <v>83.9</v>
      </c>
      <c r="K85" s="3"/>
      <c r="L85" s="52">
        <v>42.8</v>
      </c>
      <c r="M85" s="52">
        <v>45.7</v>
      </c>
      <c r="N85" s="52">
        <v>49.7</v>
      </c>
      <c r="O85" s="53">
        <v>50.8</v>
      </c>
      <c r="P85" s="54">
        <v>54</v>
      </c>
      <c r="Q85" s="54">
        <v>56.5</v>
      </c>
      <c r="R85" s="129">
        <v>58.7</v>
      </c>
      <c r="S85" s="129">
        <f t="shared" si="10"/>
        <v>59.9</v>
      </c>
      <c r="U85" s="184"/>
      <c r="V85" s="184"/>
    </row>
    <row r="86" spans="1:22" ht="11.25" customHeight="1" x14ac:dyDescent="0.2">
      <c r="A86" s="26" t="s">
        <v>154</v>
      </c>
      <c r="B86" s="126" t="s">
        <v>155</v>
      </c>
      <c r="C86" s="52">
        <v>49.3</v>
      </c>
      <c r="D86" s="52">
        <v>53.9</v>
      </c>
      <c r="E86" s="52">
        <v>61.3</v>
      </c>
      <c r="F86" s="53">
        <v>68.2</v>
      </c>
      <c r="G86" s="54">
        <v>76.3</v>
      </c>
      <c r="H86" s="54">
        <v>81.099999999999994</v>
      </c>
      <c r="I86" s="129">
        <v>84.3</v>
      </c>
      <c r="J86" s="129">
        <f t="shared" si="9"/>
        <v>82.7</v>
      </c>
      <c r="K86" s="3"/>
      <c r="L86" s="52">
        <v>33.299999999999997</v>
      </c>
      <c r="M86" s="52">
        <v>34.799999999999997</v>
      </c>
      <c r="N86" s="52">
        <v>36.9</v>
      </c>
      <c r="O86" s="53">
        <v>39.4</v>
      </c>
      <c r="P86" s="54">
        <v>48.4</v>
      </c>
      <c r="Q86" s="54">
        <v>48.2</v>
      </c>
      <c r="R86" s="129">
        <v>51.8</v>
      </c>
      <c r="S86" s="129">
        <f t="shared" si="10"/>
        <v>49.9</v>
      </c>
      <c r="U86" s="184"/>
      <c r="V86" s="184"/>
    </row>
    <row r="87" spans="1:22" ht="11.25" customHeight="1" x14ac:dyDescent="0.2">
      <c r="A87" s="24" t="s">
        <v>156</v>
      </c>
      <c r="B87" s="126" t="s">
        <v>157</v>
      </c>
      <c r="C87" s="52">
        <v>55.4</v>
      </c>
      <c r="D87" s="52">
        <v>55.2</v>
      </c>
      <c r="E87" s="52">
        <v>60.3</v>
      </c>
      <c r="F87" s="53">
        <v>67.099999999999994</v>
      </c>
      <c r="G87" s="54">
        <v>79.2</v>
      </c>
      <c r="H87" s="54">
        <v>84.4</v>
      </c>
      <c r="I87" s="129">
        <v>86.5</v>
      </c>
      <c r="J87" s="129">
        <f t="shared" si="9"/>
        <v>88.1</v>
      </c>
      <c r="K87" s="3"/>
      <c r="L87" s="52">
        <v>39.6</v>
      </c>
      <c r="M87" s="52">
        <v>40.799999999999997</v>
      </c>
      <c r="N87" s="52">
        <v>44.6</v>
      </c>
      <c r="O87" s="53">
        <v>47.7</v>
      </c>
      <c r="P87" s="54">
        <v>55.9</v>
      </c>
      <c r="Q87" s="54">
        <v>57.9</v>
      </c>
      <c r="R87" s="129">
        <v>61.3</v>
      </c>
      <c r="S87" s="129">
        <f t="shared" si="10"/>
        <v>58.6</v>
      </c>
      <c r="U87" s="184"/>
      <c r="V87" s="184"/>
    </row>
    <row r="88" spans="1:22" ht="11.25" customHeight="1" x14ac:dyDescent="0.2">
      <c r="A88" s="25" t="s">
        <v>158</v>
      </c>
      <c r="B88" s="126" t="s">
        <v>159</v>
      </c>
      <c r="C88" s="52">
        <v>50</v>
      </c>
      <c r="D88" s="52">
        <v>50.5</v>
      </c>
      <c r="E88" s="52">
        <v>59.4</v>
      </c>
      <c r="F88" s="53">
        <v>65</v>
      </c>
      <c r="G88" s="54">
        <v>75.3</v>
      </c>
      <c r="H88" s="54">
        <v>83.2</v>
      </c>
      <c r="I88" s="129">
        <v>86.8</v>
      </c>
      <c r="J88" s="129">
        <f t="shared" si="9"/>
        <v>87.1</v>
      </c>
      <c r="K88" s="3"/>
      <c r="L88" s="52">
        <v>34.9</v>
      </c>
      <c r="M88" s="52">
        <v>35.5</v>
      </c>
      <c r="N88" s="52">
        <v>40.6</v>
      </c>
      <c r="O88" s="53">
        <v>44</v>
      </c>
      <c r="P88" s="54">
        <v>49.5</v>
      </c>
      <c r="Q88" s="54">
        <v>56.3</v>
      </c>
      <c r="R88" s="129">
        <v>55.9</v>
      </c>
      <c r="S88" s="129">
        <f t="shared" si="10"/>
        <v>58.7</v>
      </c>
      <c r="U88" s="184"/>
      <c r="V88" s="184"/>
    </row>
    <row r="89" spans="1:22" ht="11.25" customHeight="1" x14ac:dyDescent="0.2">
      <c r="A89" s="25" t="s">
        <v>160</v>
      </c>
      <c r="B89" s="126" t="s">
        <v>161</v>
      </c>
      <c r="C89" s="52">
        <v>58.5</v>
      </c>
      <c r="D89" s="52">
        <v>58.3</v>
      </c>
      <c r="E89" s="52">
        <v>64.599999999999994</v>
      </c>
      <c r="F89" s="53">
        <v>69.099999999999994</v>
      </c>
      <c r="G89" s="54">
        <v>76</v>
      </c>
      <c r="H89" s="54">
        <v>82.8</v>
      </c>
      <c r="I89" s="129">
        <v>86.5</v>
      </c>
      <c r="J89" s="129">
        <f t="shared" si="9"/>
        <v>86.5</v>
      </c>
      <c r="K89" s="3"/>
      <c r="L89" s="52">
        <v>48</v>
      </c>
      <c r="M89" s="52">
        <v>47.8</v>
      </c>
      <c r="N89" s="52">
        <v>51.4</v>
      </c>
      <c r="O89" s="53">
        <v>53.8</v>
      </c>
      <c r="P89" s="54">
        <v>58.9</v>
      </c>
      <c r="Q89" s="54">
        <v>60.7</v>
      </c>
      <c r="R89" s="129">
        <v>63.1</v>
      </c>
      <c r="S89" s="129">
        <f t="shared" si="10"/>
        <v>65.3</v>
      </c>
      <c r="U89" s="184"/>
      <c r="V89" s="184"/>
    </row>
    <row r="90" spans="1:22" ht="11.25" customHeight="1" x14ac:dyDescent="0.2">
      <c r="A90" s="25" t="s">
        <v>162</v>
      </c>
      <c r="B90" s="126" t="s">
        <v>163</v>
      </c>
      <c r="C90" s="52">
        <v>55.9</v>
      </c>
      <c r="D90" s="52">
        <v>60.7</v>
      </c>
      <c r="E90" s="52">
        <v>63.5</v>
      </c>
      <c r="F90" s="53">
        <v>71.2</v>
      </c>
      <c r="G90" s="54">
        <v>77.400000000000006</v>
      </c>
      <c r="H90" s="54">
        <v>83.9</v>
      </c>
      <c r="I90" s="129">
        <v>84.1</v>
      </c>
      <c r="J90" s="129">
        <f t="shared" si="9"/>
        <v>87.3</v>
      </c>
      <c r="K90" s="3"/>
      <c r="L90" s="52">
        <v>34.700000000000003</v>
      </c>
      <c r="M90" s="52">
        <v>36.799999999999997</v>
      </c>
      <c r="N90" s="52">
        <v>39.799999999999997</v>
      </c>
      <c r="O90" s="53">
        <v>43.4</v>
      </c>
      <c r="P90" s="54">
        <v>52.1</v>
      </c>
      <c r="Q90" s="54">
        <v>57.7</v>
      </c>
      <c r="R90" s="129">
        <v>56.7</v>
      </c>
      <c r="S90" s="129">
        <f t="shared" si="10"/>
        <v>61</v>
      </c>
      <c r="U90" s="184"/>
      <c r="V90" s="184"/>
    </row>
    <row r="91" spans="1:22" s="3" customFormat="1" ht="11.25" customHeight="1" x14ac:dyDescent="0.2">
      <c r="A91" s="24" t="s">
        <v>164</v>
      </c>
      <c r="B91" s="126" t="s">
        <v>165</v>
      </c>
      <c r="C91" s="52">
        <v>57.6</v>
      </c>
      <c r="D91" s="52">
        <v>61.6</v>
      </c>
      <c r="E91" s="52">
        <v>63.7</v>
      </c>
      <c r="F91" s="53">
        <v>69.3</v>
      </c>
      <c r="G91" s="54">
        <v>77.2</v>
      </c>
      <c r="H91" s="54">
        <v>80.900000000000006</v>
      </c>
      <c r="I91" s="129">
        <v>83.4</v>
      </c>
      <c r="J91" s="129">
        <f t="shared" si="9"/>
        <v>84.2</v>
      </c>
      <c r="L91" s="52">
        <v>43.1</v>
      </c>
      <c r="M91" s="52">
        <v>47.7</v>
      </c>
      <c r="N91" s="52">
        <v>47.5</v>
      </c>
      <c r="O91" s="53">
        <v>48.8</v>
      </c>
      <c r="P91" s="54">
        <v>54.9</v>
      </c>
      <c r="Q91" s="54">
        <v>60.1</v>
      </c>
      <c r="R91" s="129">
        <v>60.7</v>
      </c>
      <c r="S91" s="129">
        <f t="shared" si="10"/>
        <v>62.9</v>
      </c>
      <c r="U91" s="184"/>
      <c r="V91" s="184"/>
    </row>
    <row r="92" spans="1:22" s="51" customFormat="1" ht="11.25" customHeight="1" x14ac:dyDescent="0.2">
      <c r="A92" s="3"/>
      <c r="B92" s="17"/>
      <c r="C92" s="50"/>
      <c r="D92" s="50"/>
      <c r="E92" s="27"/>
      <c r="F92" s="49"/>
      <c r="G92" s="49"/>
      <c r="H92" s="49"/>
      <c r="J92" s="129"/>
      <c r="K92" s="27"/>
      <c r="L92" s="27"/>
      <c r="M92" s="27"/>
      <c r="N92" s="27"/>
      <c r="O92" s="49"/>
      <c r="P92" s="49"/>
      <c r="Q92" s="49"/>
      <c r="S92" s="129"/>
      <c r="U92" s="184"/>
      <c r="V92" s="184"/>
    </row>
    <row r="93" spans="1:22" ht="11.25" customHeight="1" x14ac:dyDescent="0.2">
      <c r="A93" s="17" t="s">
        <v>383</v>
      </c>
      <c r="B93" s="16" t="s">
        <v>166</v>
      </c>
      <c r="C93" s="19">
        <v>59.3</v>
      </c>
      <c r="D93" s="19">
        <v>61.2</v>
      </c>
      <c r="E93" s="19">
        <v>64.7</v>
      </c>
      <c r="F93" s="49">
        <v>69</v>
      </c>
      <c r="G93" s="50">
        <v>74.3</v>
      </c>
      <c r="H93" s="50">
        <v>78</v>
      </c>
      <c r="I93" s="50">
        <v>80.599999999999994</v>
      </c>
      <c r="J93" s="50">
        <f t="shared" ref="J93:J105" si="11">IF(ISERROR(VLOOKUP($A93,T16Percentage,26,0)),".",VLOOKUP($A93,T16Percentage,26,0))</f>
        <v>79.599999999999994</v>
      </c>
      <c r="K93" s="3"/>
      <c r="L93" s="19">
        <v>46.7</v>
      </c>
      <c r="M93" s="19">
        <v>48.4</v>
      </c>
      <c r="N93" s="19">
        <v>50.3</v>
      </c>
      <c r="O93" s="49">
        <v>51.9</v>
      </c>
      <c r="P93" s="50">
        <v>56</v>
      </c>
      <c r="Q93" s="50">
        <v>59.1</v>
      </c>
      <c r="R93" s="50">
        <v>58.2</v>
      </c>
      <c r="S93" s="50">
        <f t="shared" ref="S93:S105" si="12">IF(ISERROR(VLOOKUP(A93,T16Percentage,27,0)),".",VLOOKUP(A93,T16Percentage,27,0))</f>
        <v>59.8</v>
      </c>
      <c r="U93" s="184"/>
      <c r="V93" s="184"/>
    </row>
    <row r="94" spans="1:22" ht="11.25" customHeight="1" x14ac:dyDescent="0.2">
      <c r="A94" s="126" t="s">
        <v>358</v>
      </c>
      <c r="B94" s="129" t="s">
        <v>196</v>
      </c>
      <c r="C94" s="52">
        <v>56.2</v>
      </c>
      <c r="D94" s="52">
        <v>58.1</v>
      </c>
      <c r="E94" s="52">
        <v>63.3</v>
      </c>
      <c r="F94" s="54" t="s">
        <v>196</v>
      </c>
      <c r="G94" s="54" t="s">
        <v>196</v>
      </c>
      <c r="H94" s="54" t="s">
        <v>196</v>
      </c>
      <c r="I94" s="129" t="s">
        <v>196</v>
      </c>
      <c r="J94" s="129" t="str">
        <f t="shared" si="11"/>
        <v>.</v>
      </c>
      <c r="K94" s="3"/>
      <c r="L94" s="52">
        <v>44.1</v>
      </c>
      <c r="M94" s="52">
        <v>47.1</v>
      </c>
      <c r="N94" s="52">
        <v>49.3</v>
      </c>
      <c r="O94" s="54" t="s">
        <v>196</v>
      </c>
      <c r="P94" s="54" t="s">
        <v>196</v>
      </c>
      <c r="Q94" s="54" t="s">
        <v>196</v>
      </c>
      <c r="R94" s="129" t="s">
        <v>196</v>
      </c>
      <c r="S94" s="129" t="str">
        <f t="shared" si="12"/>
        <v>.</v>
      </c>
      <c r="U94" s="184"/>
      <c r="V94" s="184"/>
    </row>
    <row r="95" spans="1:22" ht="11.25" customHeight="1" x14ac:dyDescent="0.2">
      <c r="A95" s="26" t="s">
        <v>167</v>
      </c>
      <c r="B95" s="126" t="s">
        <v>168</v>
      </c>
      <c r="C95" s="54" t="s">
        <v>196</v>
      </c>
      <c r="D95" s="54" t="s">
        <v>196</v>
      </c>
      <c r="E95" s="54" t="s">
        <v>196</v>
      </c>
      <c r="F95" s="53">
        <v>67.8</v>
      </c>
      <c r="G95" s="54">
        <v>75.599999999999994</v>
      </c>
      <c r="H95" s="54">
        <v>78.3</v>
      </c>
      <c r="I95" s="129">
        <v>78.900000000000006</v>
      </c>
      <c r="J95" s="129">
        <f t="shared" si="11"/>
        <v>80.2</v>
      </c>
      <c r="K95" s="3"/>
      <c r="L95" s="54" t="s">
        <v>196</v>
      </c>
      <c r="M95" s="54" t="s">
        <v>196</v>
      </c>
      <c r="N95" s="54" t="s">
        <v>196</v>
      </c>
      <c r="O95" s="53">
        <v>48.1</v>
      </c>
      <c r="P95" s="54">
        <v>50.8</v>
      </c>
      <c r="Q95" s="54">
        <v>56.2</v>
      </c>
      <c r="R95" s="129">
        <v>53.4</v>
      </c>
      <c r="S95" s="129">
        <f t="shared" si="12"/>
        <v>59.7</v>
      </c>
      <c r="U95" s="184"/>
      <c r="V95" s="184"/>
    </row>
    <row r="96" spans="1:22" ht="11.25" customHeight="1" x14ac:dyDescent="0.2">
      <c r="A96" s="24" t="s">
        <v>169</v>
      </c>
      <c r="B96" s="126" t="s">
        <v>170</v>
      </c>
      <c r="C96" s="52">
        <v>60.2</v>
      </c>
      <c r="D96" s="52">
        <v>61.1</v>
      </c>
      <c r="E96" s="52">
        <v>65.5</v>
      </c>
      <c r="F96" s="53">
        <v>70.2</v>
      </c>
      <c r="G96" s="54">
        <v>75.5</v>
      </c>
      <c r="H96" s="54">
        <v>77.099999999999994</v>
      </c>
      <c r="I96" s="129">
        <v>79.900000000000006</v>
      </c>
      <c r="J96" s="129">
        <f t="shared" si="11"/>
        <v>79</v>
      </c>
      <c r="K96" s="3"/>
      <c r="L96" s="52">
        <v>50.1</v>
      </c>
      <c r="M96" s="52">
        <v>49.6</v>
      </c>
      <c r="N96" s="52">
        <v>53.6</v>
      </c>
      <c r="O96" s="53">
        <v>56.2</v>
      </c>
      <c r="P96" s="54">
        <v>58.9</v>
      </c>
      <c r="Q96" s="54">
        <v>59.3</v>
      </c>
      <c r="R96" s="129">
        <v>57.5</v>
      </c>
      <c r="S96" s="129">
        <f t="shared" si="12"/>
        <v>61</v>
      </c>
      <c r="U96" s="184"/>
      <c r="V96" s="184"/>
    </row>
    <row r="97" spans="1:22" ht="11.25" customHeight="1" x14ac:dyDescent="0.2">
      <c r="A97" s="24" t="s">
        <v>171</v>
      </c>
      <c r="B97" s="126" t="s">
        <v>172</v>
      </c>
      <c r="C97" s="54" t="s">
        <v>196</v>
      </c>
      <c r="D97" s="54" t="s">
        <v>196</v>
      </c>
      <c r="E97" s="54" t="s">
        <v>196</v>
      </c>
      <c r="F97" s="53">
        <v>66.5</v>
      </c>
      <c r="G97" s="54">
        <v>71.5</v>
      </c>
      <c r="H97" s="54">
        <v>76.8</v>
      </c>
      <c r="I97" s="129">
        <v>79.8</v>
      </c>
      <c r="J97" s="129">
        <f t="shared" si="11"/>
        <v>81.900000000000006</v>
      </c>
      <c r="K97" s="3"/>
      <c r="L97" s="54" t="s">
        <v>196</v>
      </c>
      <c r="M97" s="54" t="s">
        <v>196</v>
      </c>
      <c r="N97" s="54" t="s">
        <v>196</v>
      </c>
      <c r="O97" s="53">
        <v>50</v>
      </c>
      <c r="P97" s="54">
        <v>54.2</v>
      </c>
      <c r="Q97" s="54">
        <v>59.4</v>
      </c>
      <c r="R97" s="129">
        <v>57.6</v>
      </c>
      <c r="S97" s="129">
        <f t="shared" si="12"/>
        <v>57.7</v>
      </c>
      <c r="U97" s="184"/>
      <c r="V97" s="184"/>
    </row>
    <row r="98" spans="1:22" ht="11.25" customHeight="1" x14ac:dyDescent="0.2">
      <c r="A98" s="24" t="s">
        <v>173</v>
      </c>
      <c r="B98" s="126" t="s">
        <v>174</v>
      </c>
      <c r="C98" s="52">
        <v>59</v>
      </c>
      <c r="D98" s="52">
        <v>60.9</v>
      </c>
      <c r="E98" s="52">
        <v>63.3</v>
      </c>
      <c r="F98" s="53">
        <v>68.2</v>
      </c>
      <c r="G98" s="54">
        <v>73.3</v>
      </c>
      <c r="H98" s="54">
        <v>78.7</v>
      </c>
      <c r="I98" s="129">
        <v>82</v>
      </c>
      <c r="J98" s="129">
        <f t="shared" si="11"/>
        <v>80.099999999999994</v>
      </c>
      <c r="K98" s="3"/>
      <c r="L98" s="52">
        <v>45.2</v>
      </c>
      <c r="M98" s="52">
        <v>47.2</v>
      </c>
      <c r="N98" s="52">
        <v>49</v>
      </c>
      <c r="O98" s="53">
        <v>50.2</v>
      </c>
      <c r="P98" s="54">
        <v>54.6</v>
      </c>
      <c r="Q98" s="54">
        <v>58.2</v>
      </c>
      <c r="R98" s="129">
        <v>59</v>
      </c>
      <c r="S98" s="129">
        <f t="shared" si="12"/>
        <v>60.5</v>
      </c>
      <c r="U98" s="184"/>
      <c r="V98" s="184"/>
    </row>
    <row r="99" spans="1:22" ht="11.25" customHeight="1" x14ac:dyDescent="0.2">
      <c r="A99" s="25" t="s">
        <v>175</v>
      </c>
      <c r="B99" s="126" t="s">
        <v>176</v>
      </c>
      <c r="C99" s="52">
        <v>64.7</v>
      </c>
      <c r="D99" s="52">
        <v>67</v>
      </c>
      <c r="E99" s="52">
        <v>71.099999999999994</v>
      </c>
      <c r="F99" s="53">
        <v>74.099999999999994</v>
      </c>
      <c r="G99" s="54">
        <v>79.900000000000006</v>
      </c>
      <c r="H99" s="54">
        <v>83.5</v>
      </c>
      <c r="I99" s="129">
        <v>84.9</v>
      </c>
      <c r="J99" s="129">
        <f t="shared" si="11"/>
        <v>83.9</v>
      </c>
      <c r="K99" s="3"/>
      <c r="L99" s="52">
        <v>53.7</v>
      </c>
      <c r="M99" s="52">
        <v>55.9</v>
      </c>
      <c r="N99" s="52">
        <v>58.1</v>
      </c>
      <c r="O99" s="53">
        <v>59.3</v>
      </c>
      <c r="P99" s="54">
        <v>64.099999999999994</v>
      </c>
      <c r="Q99" s="54">
        <v>66.900000000000006</v>
      </c>
      <c r="R99" s="129">
        <v>65.8</v>
      </c>
      <c r="S99" s="129">
        <f t="shared" si="12"/>
        <v>66.3</v>
      </c>
      <c r="U99" s="184"/>
      <c r="V99" s="184"/>
    </row>
    <row r="100" spans="1:22" ht="11.25" customHeight="1" x14ac:dyDescent="0.2">
      <c r="A100" s="26" t="s">
        <v>177</v>
      </c>
      <c r="B100" s="126" t="s">
        <v>178</v>
      </c>
      <c r="C100" s="52">
        <v>51</v>
      </c>
      <c r="D100" s="52">
        <v>55.4</v>
      </c>
      <c r="E100" s="52">
        <v>62.2</v>
      </c>
      <c r="F100" s="53">
        <v>69.3</v>
      </c>
      <c r="G100" s="54">
        <v>76.7</v>
      </c>
      <c r="H100" s="54">
        <v>81.400000000000006</v>
      </c>
      <c r="I100" s="129">
        <v>85.1</v>
      </c>
      <c r="J100" s="129">
        <f t="shared" si="11"/>
        <v>85.3</v>
      </c>
      <c r="K100" s="3"/>
      <c r="L100" s="52">
        <v>36.5</v>
      </c>
      <c r="M100" s="52">
        <v>40.700000000000003</v>
      </c>
      <c r="N100" s="52">
        <v>45.3</v>
      </c>
      <c r="O100" s="53">
        <v>46.2</v>
      </c>
      <c r="P100" s="54">
        <v>52.2</v>
      </c>
      <c r="Q100" s="54">
        <v>56.7</v>
      </c>
      <c r="R100" s="129">
        <v>57.7</v>
      </c>
      <c r="S100" s="129">
        <f t="shared" si="12"/>
        <v>58.7</v>
      </c>
      <c r="U100" s="184"/>
      <c r="V100" s="184"/>
    </row>
    <row r="101" spans="1:22" ht="11.25" customHeight="1" x14ac:dyDescent="0.2">
      <c r="A101" s="25" t="s">
        <v>179</v>
      </c>
      <c r="B101" s="126" t="s">
        <v>180</v>
      </c>
      <c r="C101" s="52">
        <v>55.4</v>
      </c>
      <c r="D101" s="52">
        <v>56.4</v>
      </c>
      <c r="E101" s="52">
        <v>60.2</v>
      </c>
      <c r="F101" s="53">
        <v>63.9</v>
      </c>
      <c r="G101" s="54">
        <v>67.099999999999994</v>
      </c>
      <c r="H101" s="54">
        <v>71.2</v>
      </c>
      <c r="I101" s="129">
        <v>73.900000000000006</v>
      </c>
      <c r="J101" s="129">
        <f t="shared" si="11"/>
        <v>71.400000000000006</v>
      </c>
      <c r="K101" s="3"/>
      <c r="L101" s="52">
        <v>44.5</v>
      </c>
      <c r="M101" s="52">
        <v>45.2</v>
      </c>
      <c r="N101" s="52">
        <v>47.9</v>
      </c>
      <c r="O101" s="53">
        <v>50</v>
      </c>
      <c r="P101" s="54">
        <v>52.3</v>
      </c>
      <c r="Q101" s="54">
        <v>55.4</v>
      </c>
      <c r="R101" s="129">
        <v>55.6</v>
      </c>
      <c r="S101" s="129">
        <f t="shared" si="12"/>
        <v>54.4</v>
      </c>
      <c r="U101" s="184"/>
      <c r="V101" s="184"/>
    </row>
    <row r="102" spans="1:22" ht="11.25" customHeight="1" x14ac:dyDescent="0.2">
      <c r="A102" s="24" t="s">
        <v>181</v>
      </c>
      <c r="B102" s="126" t="s">
        <v>182</v>
      </c>
      <c r="C102" s="52">
        <v>58.3</v>
      </c>
      <c r="D102" s="52">
        <v>56.3</v>
      </c>
      <c r="E102" s="52">
        <v>58.8</v>
      </c>
      <c r="F102" s="53">
        <v>62.6</v>
      </c>
      <c r="G102" s="54">
        <v>72.7</v>
      </c>
      <c r="H102" s="54">
        <v>80.2</v>
      </c>
      <c r="I102" s="129">
        <v>83.2</v>
      </c>
      <c r="J102" s="129">
        <f t="shared" si="11"/>
        <v>86.2</v>
      </c>
      <c r="K102" s="3"/>
      <c r="L102" s="52">
        <v>39.4</v>
      </c>
      <c r="M102" s="52">
        <v>37.6</v>
      </c>
      <c r="N102" s="52">
        <v>37.200000000000003</v>
      </c>
      <c r="O102" s="53">
        <v>40.6</v>
      </c>
      <c r="P102" s="54">
        <v>45.5</v>
      </c>
      <c r="Q102" s="54">
        <v>49.4</v>
      </c>
      <c r="R102" s="129">
        <v>49.3</v>
      </c>
      <c r="S102" s="129">
        <f t="shared" si="12"/>
        <v>56.2</v>
      </c>
      <c r="U102" s="184"/>
      <c r="V102" s="184"/>
    </row>
    <row r="103" spans="1:22" ht="11.25" customHeight="1" x14ac:dyDescent="0.2">
      <c r="A103" s="24" t="s">
        <v>183</v>
      </c>
      <c r="B103" s="126" t="s">
        <v>184</v>
      </c>
      <c r="C103" s="52">
        <v>63</v>
      </c>
      <c r="D103" s="52">
        <v>66.099999999999994</v>
      </c>
      <c r="E103" s="52">
        <v>68.5</v>
      </c>
      <c r="F103" s="53">
        <v>70.400000000000006</v>
      </c>
      <c r="G103" s="54">
        <v>78.400000000000006</v>
      </c>
      <c r="H103" s="54">
        <v>81.3</v>
      </c>
      <c r="I103" s="129">
        <v>82.2</v>
      </c>
      <c r="J103" s="129">
        <f t="shared" si="11"/>
        <v>82.2</v>
      </c>
      <c r="K103" s="3"/>
      <c r="L103" s="52">
        <v>49.9</v>
      </c>
      <c r="M103" s="52">
        <v>54.6</v>
      </c>
      <c r="N103" s="52">
        <v>55</v>
      </c>
      <c r="O103" s="53">
        <v>57.8</v>
      </c>
      <c r="P103" s="54">
        <v>61.8</v>
      </c>
      <c r="Q103" s="54">
        <v>65</v>
      </c>
      <c r="R103" s="129">
        <v>61.8</v>
      </c>
      <c r="S103" s="129">
        <f t="shared" si="12"/>
        <v>61.9</v>
      </c>
      <c r="U103" s="184"/>
      <c r="V103" s="184"/>
    </row>
    <row r="104" spans="1:22" s="3" customFormat="1" ht="11.25" customHeight="1" x14ac:dyDescent="0.2">
      <c r="A104" s="25" t="s">
        <v>185</v>
      </c>
      <c r="B104" s="126" t="s">
        <v>186</v>
      </c>
      <c r="C104" s="52">
        <v>59.4</v>
      </c>
      <c r="D104" s="52">
        <v>61.3</v>
      </c>
      <c r="E104" s="52">
        <v>63.3</v>
      </c>
      <c r="F104" s="53">
        <v>67.099999999999994</v>
      </c>
      <c r="G104" s="54">
        <v>71.099999999999994</v>
      </c>
      <c r="H104" s="54">
        <v>72.400000000000006</v>
      </c>
      <c r="I104" s="129">
        <v>74.8</v>
      </c>
      <c r="J104" s="129">
        <f t="shared" si="11"/>
        <v>73.599999999999994</v>
      </c>
      <c r="L104" s="52">
        <v>45.9</v>
      </c>
      <c r="M104" s="52">
        <v>47.3</v>
      </c>
      <c r="N104" s="52">
        <v>46.6</v>
      </c>
      <c r="O104" s="53">
        <v>48.7</v>
      </c>
      <c r="P104" s="54">
        <v>51.8</v>
      </c>
      <c r="Q104" s="54">
        <v>54.7</v>
      </c>
      <c r="R104" s="129">
        <v>50.5</v>
      </c>
      <c r="S104" s="129">
        <f t="shared" si="12"/>
        <v>54.6</v>
      </c>
      <c r="U104" s="184"/>
      <c r="V104" s="184"/>
    </row>
    <row r="105" spans="1:22" s="51" customFormat="1" ht="11.25" customHeight="1" x14ac:dyDescent="0.2">
      <c r="A105" s="24" t="s">
        <v>187</v>
      </c>
      <c r="B105" s="126" t="s">
        <v>188</v>
      </c>
      <c r="C105" s="52">
        <v>56</v>
      </c>
      <c r="D105" s="52">
        <v>60.6</v>
      </c>
      <c r="E105" s="52">
        <v>67.5</v>
      </c>
      <c r="F105" s="53">
        <v>78.8</v>
      </c>
      <c r="G105" s="54">
        <v>84.2</v>
      </c>
      <c r="H105" s="54">
        <v>85</v>
      </c>
      <c r="I105" s="129">
        <v>88.6</v>
      </c>
      <c r="J105" s="129">
        <f t="shared" si="11"/>
        <v>87.8</v>
      </c>
      <c r="K105" s="27"/>
      <c r="L105" s="52">
        <v>38.5</v>
      </c>
      <c r="M105" s="52">
        <v>39.799999999999997</v>
      </c>
      <c r="N105" s="52">
        <v>42.6</v>
      </c>
      <c r="O105" s="53">
        <v>46.6</v>
      </c>
      <c r="P105" s="54">
        <v>56.8</v>
      </c>
      <c r="Q105" s="54">
        <v>60.1</v>
      </c>
      <c r="R105" s="129">
        <v>59.2</v>
      </c>
      <c r="S105" s="129">
        <f t="shared" si="12"/>
        <v>59.5</v>
      </c>
      <c r="U105" s="184"/>
      <c r="V105" s="184"/>
    </row>
    <row r="106" spans="1:22" s="51" customFormat="1" ht="11.25" customHeight="1" x14ac:dyDescent="0.2">
      <c r="A106" s="3"/>
      <c r="B106" s="27"/>
      <c r="C106" s="2"/>
      <c r="D106" s="2"/>
      <c r="E106" s="27"/>
      <c r="F106" s="49"/>
      <c r="G106" s="49"/>
      <c r="H106" s="49"/>
      <c r="I106" s="127"/>
      <c r="J106" s="129"/>
      <c r="K106" s="27"/>
      <c r="L106" s="27"/>
      <c r="M106" s="27"/>
      <c r="N106" s="27"/>
      <c r="O106" s="49"/>
      <c r="P106" s="49"/>
      <c r="Q106" s="49"/>
      <c r="S106" s="129"/>
      <c r="U106" s="184"/>
      <c r="V106" s="184"/>
    </row>
    <row r="107" spans="1:22" s="51" customFormat="1" ht="11.25" customHeight="1" x14ac:dyDescent="0.2">
      <c r="A107" s="17" t="s">
        <v>384</v>
      </c>
      <c r="B107" s="16" t="s">
        <v>189</v>
      </c>
      <c r="C107" s="19">
        <v>58.3</v>
      </c>
      <c r="D107" s="19">
        <v>60.9</v>
      </c>
      <c r="E107" s="19">
        <v>65</v>
      </c>
      <c r="F107" s="49">
        <v>71.3</v>
      </c>
      <c r="G107" s="50">
        <v>77.8</v>
      </c>
      <c r="H107" s="50">
        <v>82</v>
      </c>
      <c r="I107" s="50">
        <v>84.1</v>
      </c>
      <c r="J107" s="50">
        <f t="shared" ref="J107:J122" si="13">IF(ISERROR(VLOOKUP($A107,T16Percentage,26,0)),".",VLOOKUP($A107,T16Percentage,26,0))</f>
        <v>84.4</v>
      </c>
      <c r="K107" s="27"/>
      <c r="L107" s="19">
        <v>45.8</v>
      </c>
      <c r="M107" s="19">
        <v>48</v>
      </c>
      <c r="N107" s="19">
        <v>50.7</v>
      </c>
      <c r="O107" s="49">
        <v>54</v>
      </c>
      <c r="P107" s="50">
        <v>58</v>
      </c>
      <c r="Q107" s="50">
        <v>61.9</v>
      </c>
      <c r="R107" s="50">
        <v>62.4</v>
      </c>
      <c r="S107" s="50">
        <f t="shared" ref="S107:S122" si="14">IF(ISERROR(VLOOKUP(A107,T16Percentage,27,0)),".",VLOOKUP(A107,T16Percentage,27,0))</f>
        <v>65.099999999999994</v>
      </c>
      <c r="U107" s="184"/>
      <c r="V107" s="184"/>
    </row>
    <row r="108" spans="1:22" ht="11.25" customHeight="1" x14ac:dyDescent="0.2">
      <c r="A108" s="16" t="s">
        <v>190</v>
      </c>
      <c r="B108" s="16" t="s">
        <v>191</v>
      </c>
      <c r="C108" s="19">
        <v>53.6</v>
      </c>
      <c r="D108" s="19">
        <v>56.6</v>
      </c>
      <c r="E108" s="19">
        <v>60.8</v>
      </c>
      <c r="F108" s="49">
        <v>68.3</v>
      </c>
      <c r="G108" s="50">
        <v>74.400000000000006</v>
      </c>
      <c r="H108" s="50">
        <v>78.900000000000006</v>
      </c>
      <c r="I108" s="50">
        <v>81.599999999999994</v>
      </c>
      <c r="J108" s="50">
        <f t="shared" si="13"/>
        <v>82.8</v>
      </c>
      <c r="K108" s="3"/>
      <c r="L108" s="19">
        <v>39.299999999999997</v>
      </c>
      <c r="M108" s="19">
        <v>42.4</v>
      </c>
      <c r="N108" s="19">
        <v>45.5</v>
      </c>
      <c r="O108" s="49">
        <v>49.6</v>
      </c>
      <c r="P108" s="50">
        <v>54.2</v>
      </c>
      <c r="Q108" s="50">
        <v>59.6</v>
      </c>
      <c r="R108" s="50">
        <v>60.8</v>
      </c>
      <c r="S108" s="50">
        <f t="shared" si="14"/>
        <v>63.1</v>
      </c>
      <c r="U108" s="184"/>
      <c r="V108" s="184"/>
    </row>
    <row r="109" spans="1:22" ht="11.25" customHeight="1" x14ac:dyDescent="0.2">
      <c r="A109" s="26" t="s">
        <v>192</v>
      </c>
      <c r="B109" s="126" t="s">
        <v>193</v>
      </c>
      <c r="C109" s="52">
        <v>54.7</v>
      </c>
      <c r="D109" s="52">
        <v>55.9</v>
      </c>
      <c r="E109" s="52">
        <v>62.6</v>
      </c>
      <c r="F109" s="53">
        <v>63.6</v>
      </c>
      <c r="G109" s="54">
        <v>68.7</v>
      </c>
      <c r="H109" s="54">
        <v>73.7</v>
      </c>
      <c r="I109" s="129">
        <v>77.3</v>
      </c>
      <c r="J109" s="129">
        <f t="shared" si="13"/>
        <v>77.5</v>
      </c>
      <c r="K109" s="3"/>
      <c r="L109" s="52">
        <v>45.7</v>
      </c>
      <c r="M109" s="52">
        <v>45.6</v>
      </c>
      <c r="N109" s="52">
        <v>45.8</v>
      </c>
      <c r="O109" s="53">
        <v>51.1</v>
      </c>
      <c r="P109" s="54">
        <v>53.1</v>
      </c>
      <c r="Q109" s="54">
        <v>60.2</v>
      </c>
      <c r="R109" s="129">
        <v>59</v>
      </c>
      <c r="S109" s="129">
        <f t="shared" si="14"/>
        <v>60.4</v>
      </c>
      <c r="U109" s="184"/>
      <c r="V109" s="184"/>
    </row>
    <row r="110" spans="1:22" ht="11.25" customHeight="1" x14ac:dyDescent="0.2">
      <c r="A110" s="26" t="s">
        <v>194</v>
      </c>
      <c r="B110" s="143" t="s">
        <v>195</v>
      </c>
      <c r="C110" s="52" t="s">
        <v>196</v>
      </c>
      <c r="D110" s="52" t="s">
        <v>196</v>
      </c>
      <c r="E110" s="52" t="s">
        <v>196</v>
      </c>
      <c r="F110" s="52" t="s">
        <v>196</v>
      </c>
      <c r="G110" s="52" t="s">
        <v>196</v>
      </c>
      <c r="H110" s="52" t="s">
        <v>196</v>
      </c>
      <c r="I110" s="183" t="s">
        <v>196</v>
      </c>
      <c r="J110" s="129" t="str">
        <f t="shared" si="13"/>
        <v>.</v>
      </c>
      <c r="K110" s="3"/>
      <c r="L110" s="52" t="s">
        <v>196</v>
      </c>
      <c r="M110" s="52" t="s">
        <v>196</v>
      </c>
      <c r="N110" s="52" t="s">
        <v>196</v>
      </c>
      <c r="O110" s="52" t="s">
        <v>196</v>
      </c>
      <c r="P110" s="52" t="s">
        <v>196</v>
      </c>
      <c r="Q110" s="52" t="s">
        <v>196</v>
      </c>
      <c r="R110" s="129" t="s">
        <v>196</v>
      </c>
      <c r="S110" s="129" t="str">
        <f t="shared" si="14"/>
        <v>.</v>
      </c>
      <c r="U110" s="184"/>
      <c r="V110" s="184"/>
    </row>
    <row r="111" spans="1:22" ht="11.25" customHeight="1" x14ac:dyDescent="0.2">
      <c r="A111" s="25" t="s">
        <v>197</v>
      </c>
      <c r="B111" s="126" t="s">
        <v>198</v>
      </c>
      <c r="C111" s="52">
        <v>50.9</v>
      </c>
      <c r="D111" s="52">
        <v>53.7</v>
      </c>
      <c r="E111" s="52">
        <v>56.1</v>
      </c>
      <c r="F111" s="53">
        <v>66.900000000000006</v>
      </c>
      <c r="G111" s="54">
        <v>71.099999999999994</v>
      </c>
      <c r="H111" s="54">
        <v>74.900000000000006</v>
      </c>
      <c r="I111" s="129">
        <v>79.2</v>
      </c>
      <c r="J111" s="129">
        <f t="shared" si="13"/>
        <v>79.599999999999994</v>
      </c>
      <c r="K111" s="3"/>
      <c r="L111" s="52">
        <v>36.700000000000003</v>
      </c>
      <c r="M111" s="52">
        <v>41.9</v>
      </c>
      <c r="N111" s="52">
        <v>42.6</v>
      </c>
      <c r="O111" s="53">
        <v>52.2</v>
      </c>
      <c r="P111" s="54">
        <v>55.3</v>
      </c>
      <c r="Q111" s="54">
        <v>57</v>
      </c>
      <c r="R111" s="129">
        <v>60.2</v>
      </c>
      <c r="S111" s="129">
        <f t="shared" si="14"/>
        <v>61.2</v>
      </c>
      <c r="U111" s="184"/>
      <c r="V111" s="184"/>
    </row>
    <row r="112" spans="1:22" ht="11.25" customHeight="1" x14ac:dyDescent="0.2">
      <c r="A112" s="26" t="s">
        <v>199</v>
      </c>
      <c r="B112" s="126" t="s">
        <v>200</v>
      </c>
      <c r="C112" s="52">
        <v>62.1</v>
      </c>
      <c r="D112" s="52">
        <v>66.900000000000006</v>
      </c>
      <c r="E112" s="52">
        <v>73.400000000000006</v>
      </c>
      <c r="F112" s="53">
        <v>82.2</v>
      </c>
      <c r="G112" s="54">
        <v>89.1</v>
      </c>
      <c r="H112" s="54">
        <v>91.5</v>
      </c>
      <c r="I112" s="129">
        <v>83.8</v>
      </c>
      <c r="J112" s="129">
        <f t="shared" si="13"/>
        <v>83.5</v>
      </c>
      <c r="K112" s="3"/>
      <c r="L112" s="52">
        <v>49</v>
      </c>
      <c r="M112" s="52">
        <v>58</v>
      </c>
      <c r="N112" s="52">
        <v>55.6</v>
      </c>
      <c r="O112" s="53">
        <v>64.099999999999994</v>
      </c>
      <c r="P112" s="54">
        <v>68.2</v>
      </c>
      <c r="Q112" s="54">
        <v>71.3</v>
      </c>
      <c r="R112" s="129">
        <v>65.599999999999994</v>
      </c>
      <c r="S112" s="129">
        <f t="shared" si="14"/>
        <v>66.5</v>
      </c>
      <c r="U112" s="184"/>
      <c r="V112" s="184"/>
    </row>
    <row r="113" spans="1:22" ht="11.25" customHeight="1" x14ac:dyDescent="0.2">
      <c r="A113" s="25" t="s">
        <v>201</v>
      </c>
      <c r="B113" s="126" t="s">
        <v>202</v>
      </c>
      <c r="C113" s="52">
        <v>51.7</v>
      </c>
      <c r="D113" s="52">
        <v>56.3</v>
      </c>
      <c r="E113" s="52">
        <v>60.1</v>
      </c>
      <c r="F113" s="53">
        <v>67.7</v>
      </c>
      <c r="G113" s="54">
        <v>73</v>
      </c>
      <c r="H113" s="54">
        <v>77.599999999999994</v>
      </c>
      <c r="I113" s="129">
        <v>78.8</v>
      </c>
      <c r="J113" s="129">
        <f t="shared" si="13"/>
        <v>83.5</v>
      </c>
      <c r="K113" s="3"/>
      <c r="L113" s="52">
        <v>34.299999999999997</v>
      </c>
      <c r="M113" s="52">
        <v>37.4</v>
      </c>
      <c r="N113" s="52">
        <v>42.1</v>
      </c>
      <c r="O113" s="53">
        <v>45.7</v>
      </c>
      <c r="P113" s="54">
        <v>48</v>
      </c>
      <c r="Q113" s="54">
        <v>57.3</v>
      </c>
      <c r="R113" s="129">
        <v>58.6</v>
      </c>
      <c r="S113" s="129">
        <f t="shared" si="14"/>
        <v>63.5</v>
      </c>
      <c r="U113" s="184"/>
      <c r="V113" s="184"/>
    </row>
    <row r="114" spans="1:22" ht="12.75" customHeight="1" x14ac:dyDescent="0.2">
      <c r="A114" s="25" t="s">
        <v>203</v>
      </c>
      <c r="B114" s="126" t="s">
        <v>204</v>
      </c>
      <c r="C114" s="52">
        <v>47</v>
      </c>
      <c r="D114" s="52">
        <v>49.3</v>
      </c>
      <c r="E114" s="52">
        <v>56.4</v>
      </c>
      <c r="F114" s="53">
        <v>65.3</v>
      </c>
      <c r="G114" s="54">
        <v>72</v>
      </c>
      <c r="H114" s="54">
        <v>75.099999999999994</v>
      </c>
      <c r="I114" s="129">
        <v>78.900000000000006</v>
      </c>
      <c r="J114" s="129">
        <f t="shared" si="13"/>
        <v>82.9</v>
      </c>
      <c r="K114" s="3"/>
      <c r="L114" s="52">
        <v>32.799999999999997</v>
      </c>
      <c r="M114" s="52">
        <v>37.4</v>
      </c>
      <c r="N114" s="52">
        <v>38.9</v>
      </c>
      <c r="O114" s="53">
        <v>45</v>
      </c>
      <c r="P114" s="54">
        <v>50</v>
      </c>
      <c r="Q114" s="54">
        <v>49.4</v>
      </c>
      <c r="R114" s="129">
        <v>53.7</v>
      </c>
      <c r="S114" s="129">
        <f t="shared" si="14"/>
        <v>63.5</v>
      </c>
      <c r="U114" s="184"/>
      <c r="V114" s="184"/>
    </row>
    <row r="115" spans="1:22" ht="11.25" customHeight="1" x14ac:dyDescent="0.2">
      <c r="A115" s="25" t="s">
        <v>205</v>
      </c>
      <c r="B115" s="126" t="s">
        <v>206</v>
      </c>
      <c r="C115" s="52">
        <v>63</v>
      </c>
      <c r="D115" s="52">
        <v>68.400000000000006</v>
      </c>
      <c r="E115" s="52">
        <v>71.3</v>
      </c>
      <c r="F115" s="53">
        <v>84.9</v>
      </c>
      <c r="G115" s="54">
        <v>92.4</v>
      </c>
      <c r="H115" s="54">
        <v>91</v>
      </c>
      <c r="I115" s="129">
        <v>89.6</v>
      </c>
      <c r="J115" s="129">
        <f t="shared" si="13"/>
        <v>92.1</v>
      </c>
      <c r="K115" s="3"/>
      <c r="L115" s="52">
        <v>54.3</v>
      </c>
      <c r="M115" s="52">
        <v>56.6</v>
      </c>
      <c r="N115" s="52">
        <v>59.9</v>
      </c>
      <c r="O115" s="53">
        <v>66.099999999999994</v>
      </c>
      <c r="P115" s="54">
        <v>71.3</v>
      </c>
      <c r="Q115" s="54">
        <v>73.099999999999994</v>
      </c>
      <c r="R115" s="129">
        <v>79.599999999999994</v>
      </c>
      <c r="S115" s="129">
        <f t="shared" si="14"/>
        <v>80.2</v>
      </c>
      <c r="U115" s="184"/>
      <c r="V115" s="184"/>
    </row>
    <row r="116" spans="1:22" ht="11.25" customHeight="1" x14ac:dyDescent="0.2">
      <c r="A116" s="25" t="s">
        <v>207</v>
      </c>
      <c r="B116" s="126" t="s">
        <v>208</v>
      </c>
      <c r="C116" s="52">
        <v>55.4</v>
      </c>
      <c r="D116" s="52">
        <v>56</v>
      </c>
      <c r="E116" s="52">
        <v>62.3</v>
      </c>
      <c r="F116" s="53">
        <v>72.5</v>
      </c>
      <c r="G116" s="54">
        <v>74.2</v>
      </c>
      <c r="H116" s="54">
        <v>80.099999999999994</v>
      </c>
      <c r="I116" s="129">
        <v>85</v>
      </c>
      <c r="J116" s="129">
        <f t="shared" si="13"/>
        <v>86.4</v>
      </c>
      <c r="K116" s="3"/>
      <c r="L116" s="52">
        <v>41.7</v>
      </c>
      <c r="M116" s="52">
        <v>41.4</v>
      </c>
      <c r="N116" s="52">
        <v>47.1</v>
      </c>
      <c r="O116" s="53">
        <v>53.5</v>
      </c>
      <c r="P116" s="54">
        <v>53</v>
      </c>
      <c r="Q116" s="54">
        <v>61.1</v>
      </c>
      <c r="R116" s="129">
        <v>62.8</v>
      </c>
      <c r="S116" s="129">
        <f t="shared" si="14"/>
        <v>65.900000000000006</v>
      </c>
      <c r="U116" s="184"/>
      <c r="V116" s="184"/>
    </row>
    <row r="117" spans="1:22" ht="11.25" customHeight="1" x14ac:dyDescent="0.2">
      <c r="A117" s="25" t="s">
        <v>209</v>
      </c>
      <c r="B117" s="126" t="s">
        <v>210</v>
      </c>
      <c r="C117" s="52">
        <v>54.8</v>
      </c>
      <c r="D117" s="52">
        <v>55</v>
      </c>
      <c r="E117" s="52">
        <v>59.8</v>
      </c>
      <c r="F117" s="53">
        <v>62</v>
      </c>
      <c r="G117" s="54">
        <v>64</v>
      </c>
      <c r="H117" s="54">
        <v>69</v>
      </c>
      <c r="I117" s="129">
        <v>75.400000000000006</v>
      </c>
      <c r="J117" s="129">
        <f t="shared" si="13"/>
        <v>79</v>
      </c>
      <c r="K117" s="3"/>
      <c r="L117" s="52">
        <v>40.799999999999997</v>
      </c>
      <c r="M117" s="52">
        <v>40.4</v>
      </c>
      <c r="N117" s="52">
        <v>45.9</v>
      </c>
      <c r="O117" s="53">
        <v>47</v>
      </c>
      <c r="P117" s="54">
        <v>48</v>
      </c>
      <c r="Q117" s="54">
        <v>56.1</v>
      </c>
      <c r="R117" s="129">
        <v>56</v>
      </c>
      <c r="S117" s="129">
        <f t="shared" si="14"/>
        <v>58</v>
      </c>
      <c r="U117" s="184"/>
      <c r="V117" s="184"/>
    </row>
    <row r="118" spans="1:22" ht="11.25" customHeight="1" x14ac:dyDescent="0.2">
      <c r="A118" s="25" t="s">
        <v>211</v>
      </c>
      <c r="B118" s="126" t="s">
        <v>212</v>
      </c>
      <c r="C118" s="52">
        <v>52.8</v>
      </c>
      <c r="D118" s="52">
        <v>55.7</v>
      </c>
      <c r="E118" s="52">
        <v>57.5</v>
      </c>
      <c r="F118" s="53">
        <v>63.7</v>
      </c>
      <c r="G118" s="54">
        <v>69.2</v>
      </c>
      <c r="H118" s="54">
        <v>75.7</v>
      </c>
      <c r="I118" s="129">
        <v>79.400000000000006</v>
      </c>
      <c r="J118" s="129">
        <f t="shared" si="13"/>
        <v>79.099999999999994</v>
      </c>
      <c r="K118" s="3"/>
      <c r="L118" s="52">
        <v>41.1</v>
      </c>
      <c r="M118" s="52">
        <v>44</v>
      </c>
      <c r="N118" s="52">
        <v>45.3</v>
      </c>
      <c r="O118" s="53">
        <v>47.1</v>
      </c>
      <c r="P118" s="54">
        <v>52.1</v>
      </c>
      <c r="Q118" s="54">
        <v>58.5</v>
      </c>
      <c r="R118" s="129">
        <v>61.9</v>
      </c>
      <c r="S118" s="129">
        <f t="shared" si="14"/>
        <v>58.4</v>
      </c>
      <c r="U118" s="184"/>
      <c r="V118" s="184"/>
    </row>
    <row r="119" spans="1:22" ht="11.25" customHeight="1" x14ac:dyDescent="0.2">
      <c r="A119" s="25" t="s">
        <v>213</v>
      </c>
      <c r="B119" s="126" t="s">
        <v>214</v>
      </c>
      <c r="C119" s="52">
        <v>48.8</v>
      </c>
      <c r="D119" s="52">
        <v>52.7</v>
      </c>
      <c r="E119" s="52">
        <v>56.3</v>
      </c>
      <c r="F119" s="53">
        <v>67.5</v>
      </c>
      <c r="G119" s="54">
        <v>78.900000000000006</v>
      </c>
      <c r="H119" s="54">
        <v>82.1</v>
      </c>
      <c r="I119" s="129">
        <v>84.8</v>
      </c>
      <c r="J119" s="129">
        <f t="shared" si="13"/>
        <v>85.1</v>
      </c>
      <c r="K119" s="3"/>
      <c r="L119" s="52">
        <v>34.4</v>
      </c>
      <c r="M119" s="52">
        <v>38.4</v>
      </c>
      <c r="N119" s="52">
        <v>42.7</v>
      </c>
      <c r="O119" s="53">
        <v>46</v>
      </c>
      <c r="P119" s="54">
        <v>56.1</v>
      </c>
      <c r="Q119" s="54">
        <v>58</v>
      </c>
      <c r="R119" s="129">
        <v>58.8</v>
      </c>
      <c r="S119" s="129">
        <f t="shared" si="14"/>
        <v>65.2</v>
      </c>
      <c r="U119" s="184"/>
      <c r="V119" s="184"/>
    </row>
    <row r="120" spans="1:22" ht="11.25" customHeight="1" x14ac:dyDescent="0.2">
      <c r="A120" s="25" t="s">
        <v>215</v>
      </c>
      <c r="B120" s="126" t="s">
        <v>216</v>
      </c>
      <c r="C120" s="52">
        <v>56.3</v>
      </c>
      <c r="D120" s="52">
        <v>59.5</v>
      </c>
      <c r="E120" s="52">
        <v>59.1</v>
      </c>
      <c r="F120" s="53">
        <v>66.3</v>
      </c>
      <c r="G120" s="54">
        <v>75</v>
      </c>
      <c r="H120" s="54">
        <v>80.900000000000006</v>
      </c>
      <c r="I120" s="129">
        <v>84.4</v>
      </c>
      <c r="J120" s="129">
        <f t="shared" si="13"/>
        <v>85.8</v>
      </c>
      <c r="K120" s="3"/>
      <c r="L120" s="52">
        <v>34</v>
      </c>
      <c r="M120" s="52">
        <v>36.5</v>
      </c>
      <c r="N120" s="52">
        <v>41.2</v>
      </c>
      <c r="O120" s="53">
        <v>45.9</v>
      </c>
      <c r="P120" s="54">
        <v>51.8</v>
      </c>
      <c r="Q120" s="54">
        <v>61.5</v>
      </c>
      <c r="R120" s="129">
        <v>61.9</v>
      </c>
      <c r="S120" s="129">
        <f t="shared" si="14"/>
        <v>64.7</v>
      </c>
      <c r="U120" s="184"/>
      <c r="V120" s="184"/>
    </row>
    <row r="121" spans="1:22" ht="11.25" customHeight="1" x14ac:dyDescent="0.2">
      <c r="A121" s="25" t="s">
        <v>217</v>
      </c>
      <c r="B121" s="126" t="s">
        <v>218</v>
      </c>
      <c r="C121" s="52">
        <v>58.3</v>
      </c>
      <c r="D121" s="52">
        <v>61.2</v>
      </c>
      <c r="E121" s="52">
        <v>66.2</v>
      </c>
      <c r="F121" s="53">
        <v>71.3</v>
      </c>
      <c r="G121" s="54">
        <v>79.7</v>
      </c>
      <c r="H121" s="54">
        <v>84.6</v>
      </c>
      <c r="I121" s="129">
        <v>85.4</v>
      </c>
      <c r="J121" s="129">
        <f t="shared" si="13"/>
        <v>83</v>
      </c>
      <c r="K121" s="3"/>
      <c r="L121" s="52">
        <v>41.8</v>
      </c>
      <c r="M121" s="52">
        <v>46.9</v>
      </c>
      <c r="N121" s="52">
        <v>50.1</v>
      </c>
      <c r="O121" s="53">
        <v>52.1</v>
      </c>
      <c r="P121" s="54">
        <v>58.1</v>
      </c>
      <c r="Q121" s="54">
        <v>61.7</v>
      </c>
      <c r="R121" s="129">
        <v>58.3</v>
      </c>
      <c r="S121" s="129">
        <f t="shared" si="14"/>
        <v>61.3</v>
      </c>
      <c r="U121" s="184"/>
      <c r="V121" s="184"/>
    </row>
    <row r="122" spans="1:22" s="3" customFormat="1" ht="11.25" customHeight="1" x14ac:dyDescent="0.2">
      <c r="A122" s="25" t="s">
        <v>219</v>
      </c>
      <c r="B122" s="126" t="s">
        <v>220</v>
      </c>
      <c r="C122" s="52">
        <v>48.7</v>
      </c>
      <c r="D122" s="52">
        <v>55.1</v>
      </c>
      <c r="E122" s="52">
        <v>66.3</v>
      </c>
      <c r="F122" s="53">
        <v>78.5</v>
      </c>
      <c r="G122" s="54">
        <v>83.9</v>
      </c>
      <c r="H122" s="54">
        <v>85.9</v>
      </c>
      <c r="I122" s="129">
        <v>87.5</v>
      </c>
      <c r="J122" s="129">
        <f t="shared" si="13"/>
        <v>86.8</v>
      </c>
      <c r="L122" s="52">
        <v>40.6</v>
      </c>
      <c r="M122" s="52">
        <v>46</v>
      </c>
      <c r="N122" s="52">
        <v>49.7</v>
      </c>
      <c r="O122" s="53">
        <v>52.8</v>
      </c>
      <c r="P122" s="54">
        <v>62.5</v>
      </c>
      <c r="Q122" s="54">
        <v>63.1</v>
      </c>
      <c r="R122" s="129">
        <v>70</v>
      </c>
      <c r="S122" s="129">
        <f t="shared" si="14"/>
        <v>69.599999999999994</v>
      </c>
      <c r="U122" s="184"/>
      <c r="V122" s="184"/>
    </row>
    <row r="123" spans="1:22" s="51" customFormat="1" ht="11.25" customHeight="1" x14ac:dyDescent="0.2">
      <c r="A123" s="3"/>
      <c r="B123" s="126"/>
      <c r="C123" s="50"/>
      <c r="D123" s="50"/>
      <c r="E123" s="27"/>
      <c r="F123" s="49"/>
      <c r="G123" s="49"/>
      <c r="H123" s="49"/>
      <c r="J123" s="129"/>
      <c r="K123" s="27"/>
      <c r="L123" s="27"/>
      <c r="M123" s="27"/>
      <c r="N123" s="27"/>
      <c r="O123" s="49"/>
      <c r="P123" s="49"/>
      <c r="Q123" s="49"/>
      <c r="S123" s="129"/>
      <c r="U123" s="184"/>
      <c r="V123" s="184"/>
    </row>
    <row r="124" spans="1:22" ht="11.25" customHeight="1" x14ac:dyDescent="0.2">
      <c r="A124" s="17" t="s">
        <v>221</v>
      </c>
      <c r="B124" s="16" t="s">
        <v>222</v>
      </c>
      <c r="C124" s="19">
        <v>60.5</v>
      </c>
      <c r="D124" s="19">
        <v>62.8</v>
      </c>
      <c r="E124" s="19">
        <v>66.900000000000006</v>
      </c>
      <c r="F124" s="49">
        <v>72.599999999999994</v>
      </c>
      <c r="G124" s="50">
        <v>79.3</v>
      </c>
      <c r="H124" s="50">
        <v>83.4</v>
      </c>
      <c r="I124" s="50">
        <v>85.3</v>
      </c>
      <c r="J124" s="50">
        <f t="shared" ref="J124:J143" si="15">IF(ISERROR(VLOOKUP($A124,T16Percentage,26,0)),".",VLOOKUP($A124,T16Percentage,26,0))</f>
        <v>85.2</v>
      </c>
      <c r="K124" s="3"/>
      <c r="L124" s="19">
        <v>48.8</v>
      </c>
      <c r="M124" s="19">
        <v>50.4</v>
      </c>
      <c r="N124" s="19">
        <v>53</v>
      </c>
      <c r="O124" s="49">
        <v>56</v>
      </c>
      <c r="P124" s="50">
        <v>59.8</v>
      </c>
      <c r="Q124" s="50">
        <v>62.9</v>
      </c>
      <c r="R124" s="50">
        <v>63.1</v>
      </c>
      <c r="S124" s="50">
        <f t="shared" ref="S124:S143" si="16">IF(ISERROR(VLOOKUP(A124,T16Percentage,27,0)),".",VLOOKUP(A124,T16Percentage,27,0))</f>
        <v>66</v>
      </c>
      <c r="U124" s="184"/>
      <c r="V124" s="184"/>
    </row>
    <row r="125" spans="1:22" ht="11.25" customHeight="1" x14ac:dyDescent="0.2">
      <c r="A125" s="25" t="s">
        <v>223</v>
      </c>
      <c r="B125" s="126" t="s">
        <v>224</v>
      </c>
      <c r="C125" s="52">
        <v>55.8</v>
      </c>
      <c r="D125" s="52">
        <v>58.7</v>
      </c>
      <c r="E125" s="52">
        <v>58.4</v>
      </c>
      <c r="F125" s="53">
        <v>67.400000000000006</v>
      </c>
      <c r="G125" s="54">
        <v>76.5</v>
      </c>
      <c r="H125" s="54">
        <v>81.2</v>
      </c>
      <c r="I125" s="129">
        <v>83.3</v>
      </c>
      <c r="J125" s="129">
        <f t="shared" si="15"/>
        <v>82.5</v>
      </c>
      <c r="K125" s="3"/>
      <c r="L125" s="52">
        <v>37.700000000000003</v>
      </c>
      <c r="M125" s="52">
        <v>39.700000000000003</v>
      </c>
      <c r="N125" s="52">
        <v>39.200000000000003</v>
      </c>
      <c r="O125" s="53">
        <v>45.1</v>
      </c>
      <c r="P125" s="54">
        <v>51.6</v>
      </c>
      <c r="Q125" s="54">
        <v>57.2</v>
      </c>
      <c r="R125" s="129">
        <v>58.6</v>
      </c>
      <c r="S125" s="129">
        <f t="shared" si="16"/>
        <v>60.2</v>
      </c>
      <c r="U125" s="184"/>
      <c r="V125" s="184"/>
    </row>
    <row r="126" spans="1:22" ht="11.25" customHeight="1" x14ac:dyDescent="0.2">
      <c r="A126" s="25" t="s">
        <v>225</v>
      </c>
      <c r="B126" s="126" t="s">
        <v>226</v>
      </c>
      <c r="C126" s="52">
        <v>65.5</v>
      </c>
      <c r="D126" s="52">
        <v>70.099999999999994</v>
      </c>
      <c r="E126" s="52">
        <v>73.8</v>
      </c>
      <c r="F126" s="53">
        <v>76.900000000000006</v>
      </c>
      <c r="G126" s="54">
        <v>83.2</v>
      </c>
      <c r="H126" s="54">
        <v>87</v>
      </c>
      <c r="I126" s="129">
        <v>85.8</v>
      </c>
      <c r="J126" s="129">
        <f t="shared" si="15"/>
        <v>87</v>
      </c>
      <c r="K126" s="3"/>
      <c r="L126" s="52">
        <v>55.9</v>
      </c>
      <c r="M126" s="52">
        <v>59.7</v>
      </c>
      <c r="N126" s="52">
        <v>61.1</v>
      </c>
      <c r="O126" s="53">
        <v>61.4</v>
      </c>
      <c r="P126" s="54">
        <v>67.3</v>
      </c>
      <c r="Q126" s="54">
        <v>68.8</v>
      </c>
      <c r="R126" s="129">
        <v>69.2</v>
      </c>
      <c r="S126" s="129">
        <f t="shared" si="16"/>
        <v>71.5</v>
      </c>
      <c r="U126" s="184"/>
      <c r="V126" s="184"/>
    </row>
    <row r="127" spans="1:22" ht="11.25" customHeight="1" x14ac:dyDescent="0.2">
      <c r="A127" s="25" t="s">
        <v>227</v>
      </c>
      <c r="B127" s="126" t="s">
        <v>228</v>
      </c>
      <c r="C127" s="52">
        <v>64.2</v>
      </c>
      <c r="D127" s="52">
        <v>62.4</v>
      </c>
      <c r="E127" s="52">
        <v>64</v>
      </c>
      <c r="F127" s="53">
        <v>72.5</v>
      </c>
      <c r="G127" s="54">
        <v>81.099999999999994</v>
      </c>
      <c r="H127" s="54">
        <v>87.3</v>
      </c>
      <c r="I127" s="129">
        <v>89.4</v>
      </c>
      <c r="J127" s="129">
        <f t="shared" si="15"/>
        <v>88.6</v>
      </c>
      <c r="K127" s="3"/>
      <c r="L127" s="52">
        <v>50.3</v>
      </c>
      <c r="M127" s="52">
        <v>49.7</v>
      </c>
      <c r="N127" s="52">
        <v>51.4</v>
      </c>
      <c r="O127" s="53">
        <v>57.3</v>
      </c>
      <c r="P127" s="54">
        <v>59.8</v>
      </c>
      <c r="Q127" s="54">
        <v>63.3</v>
      </c>
      <c r="R127" s="129">
        <v>65</v>
      </c>
      <c r="S127" s="129">
        <f t="shared" si="16"/>
        <v>66</v>
      </c>
      <c r="U127" s="184"/>
      <c r="V127" s="184"/>
    </row>
    <row r="128" spans="1:22" ht="11.25" customHeight="1" x14ac:dyDescent="0.2">
      <c r="A128" s="25" t="s">
        <v>229</v>
      </c>
      <c r="B128" s="126" t="s">
        <v>230</v>
      </c>
      <c r="C128" s="52">
        <v>61.4</v>
      </c>
      <c r="D128" s="52">
        <v>64.8</v>
      </c>
      <c r="E128" s="52">
        <v>68.599999999999994</v>
      </c>
      <c r="F128" s="53">
        <v>71.8</v>
      </c>
      <c r="G128" s="54">
        <v>75.400000000000006</v>
      </c>
      <c r="H128" s="54">
        <v>79.900000000000006</v>
      </c>
      <c r="I128" s="129">
        <v>77.7</v>
      </c>
      <c r="J128" s="129">
        <f t="shared" si="15"/>
        <v>81.099999999999994</v>
      </c>
      <c r="K128" s="3"/>
      <c r="L128" s="52">
        <v>48.9</v>
      </c>
      <c r="M128" s="52">
        <v>51</v>
      </c>
      <c r="N128" s="52">
        <v>55.8</v>
      </c>
      <c r="O128" s="53">
        <v>57.1</v>
      </c>
      <c r="P128" s="54">
        <v>60.1</v>
      </c>
      <c r="Q128" s="54">
        <v>62.1</v>
      </c>
      <c r="R128" s="129">
        <v>58.7</v>
      </c>
      <c r="S128" s="129">
        <f t="shared" si="16"/>
        <v>62.9</v>
      </c>
      <c r="U128" s="184"/>
      <c r="V128" s="184"/>
    </row>
    <row r="129" spans="1:22" ht="11.25" customHeight="1" x14ac:dyDescent="0.2">
      <c r="A129" s="25" t="s">
        <v>231</v>
      </c>
      <c r="B129" s="126" t="s">
        <v>232</v>
      </c>
      <c r="C129" s="52">
        <v>67.599999999999994</v>
      </c>
      <c r="D129" s="52">
        <v>71.3</v>
      </c>
      <c r="E129" s="52">
        <v>73.400000000000006</v>
      </c>
      <c r="F129" s="53">
        <v>78.3</v>
      </c>
      <c r="G129" s="54">
        <v>85.2</v>
      </c>
      <c r="H129" s="54">
        <v>88.1</v>
      </c>
      <c r="I129" s="129">
        <v>93.2</v>
      </c>
      <c r="J129" s="129">
        <f t="shared" si="15"/>
        <v>92.9</v>
      </c>
      <c r="K129" s="3"/>
      <c r="L129" s="52">
        <v>54.2</v>
      </c>
      <c r="M129" s="52">
        <v>55.3</v>
      </c>
      <c r="N129" s="52">
        <v>59.5</v>
      </c>
      <c r="O129" s="53">
        <v>62.6</v>
      </c>
      <c r="P129" s="54">
        <v>65.099999999999994</v>
      </c>
      <c r="Q129" s="54">
        <v>67.2</v>
      </c>
      <c r="R129" s="129">
        <v>68.900000000000006</v>
      </c>
      <c r="S129" s="129">
        <f t="shared" si="16"/>
        <v>73.900000000000006</v>
      </c>
      <c r="U129" s="184"/>
      <c r="V129" s="184"/>
    </row>
    <row r="130" spans="1:22" ht="11.25" customHeight="1" x14ac:dyDescent="0.2">
      <c r="A130" s="25" t="s">
        <v>233</v>
      </c>
      <c r="B130" s="126" t="s">
        <v>234</v>
      </c>
      <c r="C130" s="52">
        <v>56.7</v>
      </c>
      <c r="D130" s="52">
        <v>58.8</v>
      </c>
      <c r="E130" s="52">
        <v>64.7</v>
      </c>
      <c r="F130" s="53">
        <v>74.099999999999994</v>
      </c>
      <c r="G130" s="54">
        <v>82.9</v>
      </c>
      <c r="H130" s="54">
        <v>87.4</v>
      </c>
      <c r="I130" s="129">
        <v>88</v>
      </c>
      <c r="J130" s="129">
        <f t="shared" si="15"/>
        <v>85.3</v>
      </c>
      <c r="K130" s="3"/>
      <c r="L130" s="52">
        <v>42.7</v>
      </c>
      <c r="M130" s="52">
        <v>44.4</v>
      </c>
      <c r="N130" s="52">
        <v>47.6</v>
      </c>
      <c r="O130" s="53">
        <v>51.9</v>
      </c>
      <c r="P130" s="54">
        <v>54.4</v>
      </c>
      <c r="Q130" s="54">
        <v>61</v>
      </c>
      <c r="R130" s="129">
        <v>62.2</v>
      </c>
      <c r="S130" s="129">
        <f t="shared" si="16"/>
        <v>64.400000000000006</v>
      </c>
      <c r="U130" s="184"/>
      <c r="V130" s="184"/>
    </row>
    <row r="131" spans="1:22" ht="11.25" customHeight="1" x14ac:dyDescent="0.2">
      <c r="A131" s="25" t="s">
        <v>235</v>
      </c>
      <c r="B131" s="126" t="s">
        <v>236</v>
      </c>
      <c r="C131" s="52">
        <v>61.8</v>
      </c>
      <c r="D131" s="52">
        <v>62</v>
      </c>
      <c r="E131" s="52">
        <v>68.400000000000006</v>
      </c>
      <c r="F131" s="53">
        <v>70.8</v>
      </c>
      <c r="G131" s="54">
        <v>76.900000000000006</v>
      </c>
      <c r="H131" s="54">
        <v>76.2</v>
      </c>
      <c r="I131" s="129">
        <v>78.8</v>
      </c>
      <c r="J131" s="129">
        <f t="shared" si="15"/>
        <v>80</v>
      </c>
      <c r="K131" s="3"/>
      <c r="L131" s="52">
        <v>48.8</v>
      </c>
      <c r="M131" s="52">
        <v>49.1</v>
      </c>
      <c r="N131" s="52">
        <v>52.1</v>
      </c>
      <c r="O131" s="53">
        <v>54</v>
      </c>
      <c r="P131" s="54">
        <v>58.7</v>
      </c>
      <c r="Q131" s="54">
        <v>57.3</v>
      </c>
      <c r="R131" s="129">
        <v>57.7</v>
      </c>
      <c r="S131" s="129">
        <f t="shared" si="16"/>
        <v>60.9</v>
      </c>
      <c r="U131" s="184"/>
      <c r="V131" s="184"/>
    </row>
    <row r="132" spans="1:22" ht="11.25" customHeight="1" x14ac:dyDescent="0.2">
      <c r="A132" s="25" t="s">
        <v>237</v>
      </c>
      <c r="B132" s="126" t="s">
        <v>238</v>
      </c>
      <c r="C132" s="52">
        <v>53.5</v>
      </c>
      <c r="D132" s="52">
        <v>56.2</v>
      </c>
      <c r="E132" s="52">
        <v>58.4</v>
      </c>
      <c r="F132" s="53">
        <v>67.7</v>
      </c>
      <c r="G132" s="54">
        <v>74.099999999999994</v>
      </c>
      <c r="H132" s="54">
        <v>81.2</v>
      </c>
      <c r="I132" s="129">
        <v>81.099999999999994</v>
      </c>
      <c r="J132" s="129">
        <f t="shared" si="15"/>
        <v>81</v>
      </c>
      <c r="K132" s="3"/>
      <c r="L132" s="52">
        <v>43</v>
      </c>
      <c r="M132" s="52">
        <v>47.5</v>
      </c>
      <c r="N132" s="52">
        <v>48</v>
      </c>
      <c r="O132" s="53">
        <v>50.4</v>
      </c>
      <c r="P132" s="54">
        <v>55.3</v>
      </c>
      <c r="Q132" s="54">
        <v>59.5</v>
      </c>
      <c r="R132" s="129">
        <v>55.5</v>
      </c>
      <c r="S132" s="129">
        <f t="shared" si="16"/>
        <v>63.2</v>
      </c>
      <c r="U132" s="184"/>
      <c r="V132" s="184"/>
    </row>
    <row r="133" spans="1:22" ht="11.25" customHeight="1" x14ac:dyDescent="0.2">
      <c r="A133" s="25" t="s">
        <v>239</v>
      </c>
      <c r="B133" s="126" t="s">
        <v>240</v>
      </c>
      <c r="C133" s="52">
        <v>43</v>
      </c>
      <c r="D133" s="52">
        <v>47.3</v>
      </c>
      <c r="E133" s="52">
        <v>57.8</v>
      </c>
      <c r="F133" s="53">
        <v>62.9</v>
      </c>
      <c r="G133" s="54">
        <v>72</v>
      </c>
      <c r="H133" s="54">
        <v>75.599999999999994</v>
      </c>
      <c r="I133" s="129">
        <v>88.6</v>
      </c>
      <c r="J133" s="129">
        <f t="shared" si="15"/>
        <v>89.6</v>
      </c>
      <c r="K133" s="3"/>
      <c r="L133" s="52">
        <v>31.4</v>
      </c>
      <c r="M133" s="52">
        <v>34</v>
      </c>
      <c r="N133" s="52">
        <v>40.4</v>
      </c>
      <c r="O133" s="53">
        <v>43.4</v>
      </c>
      <c r="P133" s="54">
        <v>50.1</v>
      </c>
      <c r="Q133" s="54">
        <v>54.5</v>
      </c>
      <c r="R133" s="129">
        <v>63.1</v>
      </c>
      <c r="S133" s="129">
        <f t="shared" si="16"/>
        <v>65.400000000000006</v>
      </c>
      <c r="U133" s="184"/>
      <c r="V133" s="184"/>
    </row>
    <row r="134" spans="1:22" ht="11.25" customHeight="1" x14ac:dyDescent="0.2">
      <c r="A134" s="26" t="s">
        <v>241</v>
      </c>
      <c r="B134" s="126" t="s">
        <v>242</v>
      </c>
      <c r="C134" s="52">
        <v>64.3</v>
      </c>
      <c r="D134" s="52">
        <v>68</v>
      </c>
      <c r="E134" s="52">
        <v>69.5</v>
      </c>
      <c r="F134" s="53">
        <v>74.8</v>
      </c>
      <c r="G134" s="54">
        <v>78.099999999999994</v>
      </c>
      <c r="H134" s="54">
        <v>80.3</v>
      </c>
      <c r="I134" s="129">
        <v>83.8</v>
      </c>
      <c r="J134" s="129">
        <f t="shared" si="15"/>
        <v>82.2</v>
      </c>
      <c r="K134" s="3"/>
      <c r="L134" s="52">
        <v>53.4</v>
      </c>
      <c r="M134" s="52">
        <v>56.1</v>
      </c>
      <c r="N134" s="52">
        <v>57.7</v>
      </c>
      <c r="O134" s="53">
        <v>60.8</v>
      </c>
      <c r="P134" s="54">
        <v>60.7</v>
      </c>
      <c r="Q134" s="54">
        <v>64.599999999999994</v>
      </c>
      <c r="R134" s="129">
        <v>63.6</v>
      </c>
      <c r="S134" s="129">
        <f t="shared" si="16"/>
        <v>65.400000000000006</v>
      </c>
      <c r="U134" s="184"/>
      <c r="V134" s="184"/>
    </row>
    <row r="135" spans="1:22" ht="11.25" customHeight="1" x14ac:dyDescent="0.2">
      <c r="A135" s="25" t="s">
        <v>243</v>
      </c>
      <c r="B135" s="126" t="s">
        <v>244</v>
      </c>
      <c r="C135" s="52">
        <v>63.3</v>
      </c>
      <c r="D135" s="52">
        <v>64.400000000000006</v>
      </c>
      <c r="E135" s="52">
        <v>67.5</v>
      </c>
      <c r="F135" s="53">
        <v>70.8</v>
      </c>
      <c r="G135" s="54">
        <v>77.400000000000006</v>
      </c>
      <c r="H135" s="54">
        <v>79.599999999999994</v>
      </c>
      <c r="I135" s="129">
        <v>81.5</v>
      </c>
      <c r="J135" s="129">
        <f t="shared" si="15"/>
        <v>79.099999999999994</v>
      </c>
      <c r="K135" s="3"/>
      <c r="L135" s="52">
        <v>54.6</v>
      </c>
      <c r="M135" s="52">
        <v>53.7</v>
      </c>
      <c r="N135" s="52">
        <v>55.6</v>
      </c>
      <c r="O135" s="53">
        <v>58.1</v>
      </c>
      <c r="P135" s="54">
        <v>62.3</v>
      </c>
      <c r="Q135" s="54">
        <v>63.9</v>
      </c>
      <c r="R135" s="129">
        <v>61.5</v>
      </c>
      <c r="S135" s="129">
        <f t="shared" si="16"/>
        <v>63.7</v>
      </c>
      <c r="U135" s="184"/>
      <c r="V135" s="184"/>
    </row>
    <row r="136" spans="1:22" ht="11.25" customHeight="1" x14ac:dyDescent="0.2">
      <c r="A136" s="28" t="s">
        <v>245</v>
      </c>
      <c r="B136" s="126" t="s">
        <v>246</v>
      </c>
      <c r="C136" s="52">
        <v>54.7</v>
      </c>
      <c r="D136" s="52">
        <v>58.2</v>
      </c>
      <c r="E136" s="52">
        <v>63.9</v>
      </c>
      <c r="F136" s="53">
        <v>69</v>
      </c>
      <c r="G136" s="54">
        <v>80.7</v>
      </c>
      <c r="H136" s="54">
        <v>84.9</v>
      </c>
      <c r="I136" s="129">
        <v>86.6</v>
      </c>
      <c r="J136" s="129">
        <f t="shared" si="15"/>
        <v>87.2</v>
      </c>
      <c r="K136" s="3"/>
      <c r="L136" s="52">
        <v>43.5</v>
      </c>
      <c r="M136" s="52">
        <v>44.9</v>
      </c>
      <c r="N136" s="52">
        <v>46.4</v>
      </c>
      <c r="O136" s="53">
        <v>52</v>
      </c>
      <c r="P136" s="54">
        <v>55.8</v>
      </c>
      <c r="Q136" s="54">
        <v>59.5</v>
      </c>
      <c r="R136" s="129">
        <v>61</v>
      </c>
      <c r="S136" s="129">
        <f t="shared" si="16"/>
        <v>61.6</v>
      </c>
      <c r="U136" s="184"/>
      <c r="V136" s="184"/>
    </row>
    <row r="137" spans="1:22" ht="11.25" customHeight="1" x14ac:dyDescent="0.2">
      <c r="A137" s="25" t="s">
        <v>247</v>
      </c>
      <c r="B137" s="126" t="s">
        <v>248</v>
      </c>
      <c r="C137" s="52">
        <v>63.1</v>
      </c>
      <c r="D137" s="52">
        <v>64.3</v>
      </c>
      <c r="E137" s="52">
        <v>67.8</v>
      </c>
      <c r="F137" s="53">
        <v>75.900000000000006</v>
      </c>
      <c r="G137" s="54">
        <v>82.4</v>
      </c>
      <c r="H137" s="54">
        <v>86.8</v>
      </c>
      <c r="I137" s="129">
        <v>88.1</v>
      </c>
      <c r="J137" s="129">
        <f t="shared" si="15"/>
        <v>86.8</v>
      </c>
      <c r="K137" s="3"/>
      <c r="L137" s="52">
        <v>50.9</v>
      </c>
      <c r="M137" s="52">
        <v>50.5</v>
      </c>
      <c r="N137" s="52">
        <v>51.8</v>
      </c>
      <c r="O137" s="53">
        <v>56.6</v>
      </c>
      <c r="P137" s="54">
        <v>58.7</v>
      </c>
      <c r="Q137" s="54">
        <v>62.5</v>
      </c>
      <c r="R137" s="129">
        <v>61.8</v>
      </c>
      <c r="S137" s="129">
        <f t="shared" si="16"/>
        <v>66.7</v>
      </c>
      <c r="U137" s="184"/>
      <c r="V137" s="184"/>
    </row>
    <row r="138" spans="1:22" ht="11.25" customHeight="1" x14ac:dyDescent="0.2">
      <c r="A138" s="25" t="s">
        <v>249</v>
      </c>
      <c r="B138" s="126" t="s">
        <v>250</v>
      </c>
      <c r="C138" s="52">
        <v>68.099999999999994</v>
      </c>
      <c r="D138" s="52">
        <v>70.7</v>
      </c>
      <c r="E138" s="52">
        <v>74.099999999999994</v>
      </c>
      <c r="F138" s="53">
        <v>78.400000000000006</v>
      </c>
      <c r="G138" s="54">
        <v>83.3</v>
      </c>
      <c r="H138" s="54">
        <v>87.3</v>
      </c>
      <c r="I138" s="129">
        <v>87.7</v>
      </c>
      <c r="J138" s="129">
        <f t="shared" si="15"/>
        <v>87</v>
      </c>
      <c r="K138" s="3"/>
      <c r="L138" s="52">
        <v>58.6</v>
      </c>
      <c r="M138" s="52">
        <v>61.7</v>
      </c>
      <c r="N138" s="52">
        <v>62.5</v>
      </c>
      <c r="O138" s="53">
        <v>68.2</v>
      </c>
      <c r="P138" s="54">
        <v>68.7</v>
      </c>
      <c r="Q138" s="54">
        <v>71.099999999999994</v>
      </c>
      <c r="R138" s="129">
        <v>70.099999999999994</v>
      </c>
      <c r="S138" s="129">
        <f t="shared" si="16"/>
        <v>71.599999999999994</v>
      </c>
      <c r="U138" s="184"/>
      <c r="V138" s="184"/>
    </row>
    <row r="139" spans="1:22" ht="11.25" customHeight="1" x14ac:dyDescent="0.2">
      <c r="A139" s="25" t="s">
        <v>251</v>
      </c>
      <c r="B139" s="126" t="s">
        <v>252</v>
      </c>
      <c r="C139" s="52">
        <v>48.2</v>
      </c>
      <c r="D139" s="52">
        <v>48.7</v>
      </c>
      <c r="E139" s="52">
        <v>61.8</v>
      </c>
      <c r="F139" s="53">
        <v>69.2</v>
      </c>
      <c r="G139" s="54">
        <v>77.099999999999994</v>
      </c>
      <c r="H139" s="54">
        <v>85.8</v>
      </c>
      <c r="I139" s="129">
        <v>84.6</v>
      </c>
      <c r="J139" s="129">
        <f t="shared" si="15"/>
        <v>85.6</v>
      </c>
      <c r="K139" s="3"/>
      <c r="L139" s="52">
        <v>39.5</v>
      </c>
      <c r="M139" s="52">
        <v>39.700000000000003</v>
      </c>
      <c r="N139" s="52">
        <v>46.2</v>
      </c>
      <c r="O139" s="53">
        <v>48</v>
      </c>
      <c r="P139" s="54">
        <v>52.4</v>
      </c>
      <c r="Q139" s="54">
        <v>59.8</v>
      </c>
      <c r="R139" s="129">
        <v>59.1</v>
      </c>
      <c r="S139" s="129">
        <f t="shared" si="16"/>
        <v>62.6</v>
      </c>
      <c r="U139" s="184"/>
      <c r="V139" s="184"/>
    </row>
    <row r="140" spans="1:22" ht="11.25" customHeight="1" x14ac:dyDescent="0.2">
      <c r="A140" s="25" t="s">
        <v>253</v>
      </c>
      <c r="B140" s="126" t="s">
        <v>254</v>
      </c>
      <c r="C140" s="52">
        <v>72.099999999999994</v>
      </c>
      <c r="D140" s="52">
        <v>73.599999999999994</v>
      </c>
      <c r="E140" s="52">
        <v>73.8</v>
      </c>
      <c r="F140" s="53">
        <v>77.5</v>
      </c>
      <c r="G140" s="54">
        <v>81.2</v>
      </c>
      <c r="H140" s="54">
        <v>81.8</v>
      </c>
      <c r="I140" s="129">
        <v>87</v>
      </c>
      <c r="J140" s="129">
        <f t="shared" si="15"/>
        <v>86.8</v>
      </c>
      <c r="K140" s="3"/>
      <c r="L140" s="52">
        <v>59.1</v>
      </c>
      <c r="M140" s="52">
        <v>61.5</v>
      </c>
      <c r="N140" s="52">
        <v>63.9</v>
      </c>
      <c r="O140" s="53">
        <v>64.5</v>
      </c>
      <c r="P140" s="54">
        <v>69.3</v>
      </c>
      <c r="Q140" s="54">
        <v>68.5</v>
      </c>
      <c r="R140" s="129">
        <v>70.599999999999994</v>
      </c>
      <c r="S140" s="129">
        <f t="shared" si="16"/>
        <v>70.2</v>
      </c>
      <c r="U140" s="184"/>
      <c r="V140" s="184"/>
    </row>
    <row r="141" spans="1:22" ht="11.25" customHeight="1" x14ac:dyDescent="0.2">
      <c r="A141" s="25" t="s">
        <v>255</v>
      </c>
      <c r="B141" s="126" t="s">
        <v>256</v>
      </c>
      <c r="C141" s="52">
        <v>56.5</v>
      </c>
      <c r="D141" s="52">
        <v>58.2</v>
      </c>
      <c r="E141" s="52">
        <v>64.099999999999994</v>
      </c>
      <c r="F141" s="53">
        <v>70.900000000000006</v>
      </c>
      <c r="G141" s="54">
        <v>79.3</v>
      </c>
      <c r="H141" s="54">
        <v>81.8</v>
      </c>
      <c r="I141" s="129">
        <v>84</v>
      </c>
      <c r="J141" s="129">
        <f t="shared" si="15"/>
        <v>85.9</v>
      </c>
      <c r="K141" s="3"/>
      <c r="L141" s="52">
        <v>49.7</v>
      </c>
      <c r="M141" s="52">
        <v>48.5</v>
      </c>
      <c r="N141" s="52">
        <v>54</v>
      </c>
      <c r="O141" s="53">
        <v>55.7</v>
      </c>
      <c r="P141" s="54">
        <v>61.4</v>
      </c>
      <c r="Q141" s="54">
        <v>63.2</v>
      </c>
      <c r="R141" s="129">
        <v>62.6</v>
      </c>
      <c r="S141" s="129">
        <f t="shared" si="16"/>
        <v>68.3</v>
      </c>
      <c r="U141" s="184"/>
      <c r="V141" s="184"/>
    </row>
    <row r="142" spans="1:22" ht="11.25" customHeight="1" x14ac:dyDescent="0.2">
      <c r="A142" s="25" t="s">
        <v>257</v>
      </c>
      <c r="B142" s="126" t="s">
        <v>258</v>
      </c>
      <c r="C142" s="52">
        <v>70.8</v>
      </c>
      <c r="D142" s="52">
        <v>73.8</v>
      </c>
      <c r="E142" s="52">
        <v>78.8</v>
      </c>
      <c r="F142" s="53">
        <v>84.8</v>
      </c>
      <c r="G142" s="54">
        <v>88.9</v>
      </c>
      <c r="H142" s="54">
        <v>91.7</v>
      </c>
      <c r="I142" s="129">
        <v>93.2</v>
      </c>
      <c r="J142" s="129">
        <f t="shared" si="15"/>
        <v>91.7</v>
      </c>
      <c r="K142" s="3"/>
      <c r="L142" s="52">
        <v>63.1</v>
      </c>
      <c r="M142" s="52">
        <v>65</v>
      </c>
      <c r="N142" s="52">
        <v>67.2</v>
      </c>
      <c r="O142" s="53">
        <v>67.900000000000006</v>
      </c>
      <c r="P142" s="54">
        <v>70.599999999999994</v>
      </c>
      <c r="Q142" s="54">
        <v>74.7</v>
      </c>
      <c r="R142" s="129">
        <v>75.900000000000006</v>
      </c>
      <c r="S142" s="129">
        <f t="shared" si="16"/>
        <v>77</v>
      </c>
      <c r="U142" s="184"/>
      <c r="V142" s="184"/>
    </row>
    <row r="143" spans="1:22" s="3" customFormat="1" ht="11.25" customHeight="1" x14ac:dyDescent="0.2">
      <c r="A143" s="25" t="s">
        <v>259</v>
      </c>
      <c r="B143" s="126" t="s">
        <v>260</v>
      </c>
      <c r="C143" s="52">
        <v>51.1</v>
      </c>
      <c r="D143" s="52">
        <v>55</v>
      </c>
      <c r="E143" s="52">
        <v>59.5</v>
      </c>
      <c r="F143" s="53">
        <v>62.6</v>
      </c>
      <c r="G143" s="54">
        <v>66.599999999999994</v>
      </c>
      <c r="H143" s="54">
        <v>77.2</v>
      </c>
      <c r="I143" s="129">
        <v>77</v>
      </c>
      <c r="J143" s="129">
        <f t="shared" si="15"/>
        <v>78.599999999999994</v>
      </c>
      <c r="L143" s="52">
        <v>38.6</v>
      </c>
      <c r="M143" s="52">
        <v>42.1</v>
      </c>
      <c r="N143" s="52">
        <v>44.2</v>
      </c>
      <c r="O143" s="53">
        <v>46</v>
      </c>
      <c r="P143" s="54">
        <v>50.9</v>
      </c>
      <c r="Q143" s="54">
        <v>54.3</v>
      </c>
      <c r="R143" s="129">
        <v>52.6</v>
      </c>
      <c r="S143" s="129">
        <f t="shared" si="16"/>
        <v>56.7</v>
      </c>
      <c r="U143" s="184"/>
      <c r="V143" s="184"/>
    </row>
    <row r="144" spans="1:22" s="51" customFormat="1" ht="11.25" customHeight="1" x14ac:dyDescent="0.2">
      <c r="A144" s="3"/>
      <c r="B144" s="126"/>
      <c r="C144" s="50"/>
      <c r="D144" s="50"/>
      <c r="E144" s="27"/>
      <c r="F144" s="49"/>
      <c r="G144" s="49"/>
      <c r="H144" s="49"/>
      <c r="J144" s="129"/>
      <c r="K144" s="27"/>
      <c r="L144" s="27"/>
      <c r="M144" s="27"/>
      <c r="N144" s="27"/>
      <c r="O144" s="49"/>
      <c r="P144" s="49"/>
      <c r="Q144" s="49"/>
      <c r="S144" s="129"/>
      <c r="U144" s="184"/>
      <c r="V144" s="184"/>
    </row>
    <row r="145" spans="1:22" ht="11.25" customHeight="1" x14ac:dyDescent="0.2">
      <c r="A145" s="16" t="s">
        <v>387</v>
      </c>
      <c r="B145" s="16" t="s">
        <v>261</v>
      </c>
      <c r="C145" s="19">
        <v>59.8</v>
      </c>
      <c r="D145" s="19">
        <v>62</v>
      </c>
      <c r="E145" s="19">
        <v>66</v>
      </c>
      <c r="F145" s="49">
        <v>70.099999999999994</v>
      </c>
      <c r="G145" s="50">
        <v>75.7</v>
      </c>
      <c r="H145" s="50">
        <v>79.3</v>
      </c>
      <c r="I145" s="50">
        <v>82</v>
      </c>
      <c r="J145" s="50">
        <f t="shared" ref="J145:J164" si="17">IF(ISERROR(VLOOKUP($A145,T16Percentage,26,0)),".",VLOOKUP($A145,T16Percentage,26,0))</f>
        <v>82.4</v>
      </c>
      <c r="K145" s="3"/>
      <c r="L145" s="19">
        <v>47.9</v>
      </c>
      <c r="M145" s="19">
        <v>49.4</v>
      </c>
      <c r="N145" s="19">
        <v>51.7</v>
      </c>
      <c r="O145" s="49">
        <v>53.7</v>
      </c>
      <c r="P145" s="50">
        <v>57.5</v>
      </c>
      <c r="Q145" s="50">
        <v>59.6</v>
      </c>
      <c r="R145" s="50">
        <v>60.2</v>
      </c>
      <c r="S145" s="50">
        <f t="shared" ref="S145:S164" si="18">IF(ISERROR(VLOOKUP(A145,T16Percentage,27,0)),".",VLOOKUP(A145,T16Percentage,27,0))</f>
        <v>62.5</v>
      </c>
      <c r="U145" s="184"/>
      <c r="V145" s="184"/>
    </row>
    <row r="146" spans="1:22" ht="11.25" customHeight="1" x14ac:dyDescent="0.2">
      <c r="A146" s="24" t="s">
        <v>460</v>
      </c>
      <c r="B146" s="126" t="s">
        <v>262</v>
      </c>
      <c r="C146" s="52">
        <v>59.8</v>
      </c>
      <c r="D146" s="52">
        <v>59.7</v>
      </c>
      <c r="E146" s="52">
        <v>61.6</v>
      </c>
      <c r="F146" s="53">
        <v>63.7</v>
      </c>
      <c r="G146" s="54">
        <v>77.2</v>
      </c>
      <c r="H146" s="54">
        <v>88.2</v>
      </c>
      <c r="I146" s="129">
        <v>90.9</v>
      </c>
      <c r="J146" s="129">
        <f t="shared" si="17"/>
        <v>90.2</v>
      </c>
      <c r="K146" s="3"/>
      <c r="L146" s="52">
        <v>47.2</v>
      </c>
      <c r="M146" s="52">
        <v>48.4</v>
      </c>
      <c r="N146" s="52">
        <v>51.5</v>
      </c>
      <c r="O146" s="53">
        <v>51.3</v>
      </c>
      <c r="P146" s="54">
        <v>56.9</v>
      </c>
      <c r="Q146" s="54">
        <v>59.7</v>
      </c>
      <c r="R146" s="129">
        <v>61.4</v>
      </c>
      <c r="S146" s="129">
        <f t="shared" si="18"/>
        <v>63.4</v>
      </c>
      <c r="U146" s="184"/>
      <c r="V146" s="184"/>
    </row>
    <row r="147" spans="1:22" ht="11.25" customHeight="1" x14ac:dyDescent="0.2">
      <c r="A147" s="26" t="s">
        <v>263</v>
      </c>
      <c r="B147" s="126" t="s">
        <v>264</v>
      </c>
      <c r="C147" s="52">
        <v>55.2</v>
      </c>
      <c r="D147" s="52">
        <v>57.4</v>
      </c>
      <c r="E147" s="52">
        <v>59.7</v>
      </c>
      <c r="F147" s="53">
        <v>61.8</v>
      </c>
      <c r="G147" s="54">
        <v>68.7</v>
      </c>
      <c r="H147" s="54">
        <v>71.099999999999994</v>
      </c>
      <c r="I147" s="129">
        <v>75.400000000000006</v>
      </c>
      <c r="J147" s="129">
        <f t="shared" si="17"/>
        <v>78.599999999999994</v>
      </c>
      <c r="K147" s="3"/>
      <c r="L147" s="52">
        <v>41.8</v>
      </c>
      <c r="M147" s="52">
        <v>43.5</v>
      </c>
      <c r="N147" s="52">
        <v>44.5</v>
      </c>
      <c r="O147" s="53">
        <v>44.5</v>
      </c>
      <c r="P147" s="54">
        <v>49.1</v>
      </c>
      <c r="Q147" s="54">
        <v>52.8</v>
      </c>
      <c r="R147" s="129">
        <v>56.4</v>
      </c>
      <c r="S147" s="129">
        <f t="shared" si="18"/>
        <v>62.2</v>
      </c>
      <c r="U147" s="184"/>
      <c r="V147" s="184"/>
    </row>
    <row r="148" spans="1:22" ht="11.25" customHeight="1" x14ac:dyDescent="0.2">
      <c r="A148" s="26" t="s">
        <v>265</v>
      </c>
      <c r="B148" s="126" t="s">
        <v>266</v>
      </c>
      <c r="C148" s="52">
        <v>68.8</v>
      </c>
      <c r="D148" s="52">
        <v>69.599999999999994</v>
      </c>
      <c r="E148" s="52">
        <v>72.599999999999994</v>
      </c>
      <c r="F148" s="53">
        <v>75.5</v>
      </c>
      <c r="G148" s="54">
        <v>79.8</v>
      </c>
      <c r="H148" s="54">
        <v>81.8</v>
      </c>
      <c r="I148" s="129">
        <v>84.8</v>
      </c>
      <c r="J148" s="129">
        <f t="shared" si="17"/>
        <v>85.2</v>
      </c>
      <c r="K148" s="3"/>
      <c r="L148" s="52">
        <v>59.1</v>
      </c>
      <c r="M148" s="52">
        <v>60.5</v>
      </c>
      <c r="N148" s="52">
        <v>63.4</v>
      </c>
      <c r="O148" s="53">
        <v>65.400000000000006</v>
      </c>
      <c r="P148" s="54">
        <v>66.900000000000006</v>
      </c>
      <c r="Q148" s="54">
        <v>69.7</v>
      </c>
      <c r="R148" s="129">
        <v>69.7</v>
      </c>
      <c r="S148" s="129">
        <f t="shared" si="18"/>
        <v>71.3</v>
      </c>
      <c r="U148" s="184"/>
      <c r="V148" s="184"/>
    </row>
    <row r="149" spans="1:22" ht="11.25" customHeight="1" x14ac:dyDescent="0.2">
      <c r="A149" s="26" t="s">
        <v>267</v>
      </c>
      <c r="B149" s="126" t="s">
        <v>268</v>
      </c>
      <c r="C149" s="52">
        <v>55.4</v>
      </c>
      <c r="D149" s="52">
        <v>58.1</v>
      </c>
      <c r="E149" s="52">
        <v>63</v>
      </c>
      <c r="F149" s="53">
        <v>71.8</v>
      </c>
      <c r="G149" s="54">
        <v>76.3</v>
      </c>
      <c r="H149" s="54">
        <v>79.099999999999994</v>
      </c>
      <c r="I149" s="129">
        <v>80.900000000000006</v>
      </c>
      <c r="J149" s="129">
        <f t="shared" si="17"/>
        <v>82.3</v>
      </c>
      <c r="K149" s="3"/>
      <c r="L149" s="52">
        <v>41.2</v>
      </c>
      <c r="M149" s="52">
        <v>43.2</v>
      </c>
      <c r="N149" s="52">
        <v>46.1</v>
      </c>
      <c r="O149" s="53">
        <v>50.8</v>
      </c>
      <c r="P149" s="54">
        <v>55.4</v>
      </c>
      <c r="Q149" s="54">
        <v>58.4</v>
      </c>
      <c r="R149" s="129">
        <v>58.2</v>
      </c>
      <c r="S149" s="129">
        <f t="shared" si="18"/>
        <v>59.9</v>
      </c>
      <c r="U149" s="184"/>
      <c r="V149" s="184"/>
    </row>
    <row r="150" spans="1:22" ht="11.25" customHeight="1" x14ac:dyDescent="0.2">
      <c r="A150" s="26" t="s">
        <v>269</v>
      </c>
      <c r="B150" s="126" t="s">
        <v>270</v>
      </c>
      <c r="C150" s="52">
        <v>61.6</v>
      </c>
      <c r="D150" s="52">
        <v>62.7</v>
      </c>
      <c r="E150" s="52">
        <v>67.2</v>
      </c>
      <c r="F150" s="53">
        <v>70.400000000000006</v>
      </c>
      <c r="G150" s="54">
        <v>74.7</v>
      </c>
      <c r="H150" s="54">
        <v>77.400000000000006</v>
      </c>
      <c r="I150" s="129">
        <v>78.599999999999994</v>
      </c>
      <c r="J150" s="129">
        <f t="shared" si="17"/>
        <v>79</v>
      </c>
      <c r="K150" s="3"/>
      <c r="L150" s="52">
        <v>50.2</v>
      </c>
      <c r="M150" s="52">
        <v>51.3</v>
      </c>
      <c r="N150" s="52">
        <v>53.8</v>
      </c>
      <c r="O150" s="53">
        <v>55.4</v>
      </c>
      <c r="P150" s="54">
        <v>58.9</v>
      </c>
      <c r="Q150" s="54">
        <v>60.8</v>
      </c>
      <c r="R150" s="129">
        <v>58.5</v>
      </c>
      <c r="S150" s="129">
        <f t="shared" si="18"/>
        <v>60</v>
      </c>
      <c r="U150" s="184"/>
      <c r="V150" s="184"/>
    </row>
    <row r="151" spans="1:22" ht="11.25" customHeight="1" x14ac:dyDescent="0.2">
      <c r="A151" s="24" t="s">
        <v>271</v>
      </c>
      <c r="B151" s="126" t="s">
        <v>272</v>
      </c>
      <c r="C151" s="52">
        <v>47.9</v>
      </c>
      <c r="D151" s="52">
        <v>52.9</v>
      </c>
      <c r="E151" s="52">
        <v>56.1</v>
      </c>
      <c r="F151" s="53">
        <v>57.8</v>
      </c>
      <c r="G151" s="54">
        <v>69.900000000000006</v>
      </c>
      <c r="H151" s="54">
        <v>73.7</v>
      </c>
      <c r="I151" s="129">
        <v>71.8</v>
      </c>
      <c r="J151" s="129">
        <f t="shared" si="17"/>
        <v>68.7</v>
      </c>
      <c r="K151" s="3"/>
      <c r="L151" s="52">
        <v>36.799999999999997</v>
      </c>
      <c r="M151" s="52">
        <v>42.2</v>
      </c>
      <c r="N151" s="52">
        <v>41.3</v>
      </c>
      <c r="O151" s="53">
        <v>41.6</v>
      </c>
      <c r="P151" s="54">
        <v>45.5</v>
      </c>
      <c r="Q151" s="54">
        <v>49.1</v>
      </c>
      <c r="R151" s="129">
        <v>44.5</v>
      </c>
      <c r="S151" s="129">
        <f t="shared" si="18"/>
        <v>48.7</v>
      </c>
      <c r="U151" s="184"/>
      <c r="V151" s="184"/>
    </row>
    <row r="152" spans="1:22" ht="11.25" customHeight="1" x14ac:dyDescent="0.2">
      <c r="A152" s="24" t="s">
        <v>273</v>
      </c>
      <c r="B152" s="126" t="s">
        <v>274</v>
      </c>
      <c r="C152" s="52">
        <v>61.4</v>
      </c>
      <c r="D152" s="52">
        <v>64.900000000000006</v>
      </c>
      <c r="E152" s="52">
        <v>67.599999999999994</v>
      </c>
      <c r="F152" s="53">
        <v>73</v>
      </c>
      <c r="G152" s="54">
        <v>79.3</v>
      </c>
      <c r="H152" s="54">
        <v>82.5</v>
      </c>
      <c r="I152" s="129">
        <v>86.5</v>
      </c>
      <c r="J152" s="129">
        <f t="shared" si="17"/>
        <v>86.5</v>
      </c>
      <c r="K152" s="3"/>
      <c r="L152" s="52">
        <v>46.8</v>
      </c>
      <c r="M152" s="52">
        <v>48.5</v>
      </c>
      <c r="N152" s="52">
        <v>50</v>
      </c>
      <c r="O152" s="53">
        <v>52</v>
      </c>
      <c r="P152" s="54">
        <v>56.8</v>
      </c>
      <c r="Q152" s="54">
        <v>59.4</v>
      </c>
      <c r="R152" s="129">
        <v>61.3</v>
      </c>
      <c r="S152" s="129">
        <f t="shared" si="18"/>
        <v>63.1</v>
      </c>
      <c r="U152" s="184"/>
      <c r="V152" s="184"/>
    </row>
    <row r="153" spans="1:22" ht="11.25" customHeight="1" x14ac:dyDescent="0.2">
      <c r="A153" s="24" t="s">
        <v>275</v>
      </c>
      <c r="B153" s="126" t="s">
        <v>276</v>
      </c>
      <c r="C153" s="52">
        <v>56.4</v>
      </c>
      <c r="D153" s="52">
        <v>63.6</v>
      </c>
      <c r="E153" s="52">
        <v>66.400000000000006</v>
      </c>
      <c r="F153" s="53">
        <v>71.099999999999994</v>
      </c>
      <c r="G153" s="54">
        <v>77.7</v>
      </c>
      <c r="H153" s="54">
        <v>83.3</v>
      </c>
      <c r="I153" s="129">
        <v>88.7</v>
      </c>
      <c r="J153" s="129">
        <f t="shared" si="17"/>
        <v>88.3</v>
      </c>
      <c r="K153" s="3"/>
      <c r="L153" s="52">
        <v>44</v>
      </c>
      <c r="M153" s="52">
        <v>46.9</v>
      </c>
      <c r="N153" s="52">
        <v>47.6</v>
      </c>
      <c r="O153" s="53">
        <v>51.7</v>
      </c>
      <c r="P153" s="54">
        <v>53.6</v>
      </c>
      <c r="Q153" s="54">
        <v>55.7</v>
      </c>
      <c r="R153" s="129">
        <v>61.2</v>
      </c>
      <c r="S153" s="129">
        <f t="shared" si="18"/>
        <v>60.9</v>
      </c>
      <c r="U153" s="184"/>
      <c r="V153" s="184"/>
    </row>
    <row r="154" spans="1:22" ht="11.25" customHeight="1" x14ac:dyDescent="0.2">
      <c r="A154" s="26" t="s">
        <v>277</v>
      </c>
      <c r="B154" s="126" t="s">
        <v>278</v>
      </c>
      <c r="C154" s="52">
        <v>49.9</v>
      </c>
      <c r="D154" s="52">
        <v>52.1</v>
      </c>
      <c r="E154" s="52">
        <v>62.2</v>
      </c>
      <c r="F154" s="53">
        <v>69.5</v>
      </c>
      <c r="G154" s="54">
        <v>75.2</v>
      </c>
      <c r="H154" s="54">
        <v>79.900000000000006</v>
      </c>
      <c r="I154" s="129">
        <v>85.3</v>
      </c>
      <c r="J154" s="129">
        <f t="shared" si="17"/>
        <v>88.4</v>
      </c>
      <c r="K154" s="3"/>
      <c r="L154" s="52">
        <v>38.700000000000003</v>
      </c>
      <c r="M154" s="52">
        <v>39.6</v>
      </c>
      <c r="N154" s="52">
        <v>42.1</v>
      </c>
      <c r="O154" s="53">
        <v>48</v>
      </c>
      <c r="P154" s="54">
        <v>51.5</v>
      </c>
      <c r="Q154" s="54">
        <v>52.1</v>
      </c>
      <c r="R154" s="129">
        <v>58.5</v>
      </c>
      <c r="S154" s="129">
        <f t="shared" si="18"/>
        <v>61.3</v>
      </c>
      <c r="U154" s="184"/>
      <c r="V154" s="184"/>
    </row>
    <row r="155" spans="1:22" ht="11.25" customHeight="1" x14ac:dyDescent="0.2">
      <c r="A155" s="24" t="s">
        <v>279</v>
      </c>
      <c r="B155" s="126" t="s">
        <v>280</v>
      </c>
      <c r="C155" s="52">
        <v>56.6</v>
      </c>
      <c r="D155" s="52">
        <v>57.5</v>
      </c>
      <c r="E155" s="52">
        <v>63.1</v>
      </c>
      <c r="F155" s="53">
        <v>67</v>
      </c>
      <c r="G155" s="54">
        <v>72.8</v>
      </c>
      <c r="H155" s="54">
        <v>74</v>
      </c>
      <c r="I155" s="129">
        <v>76.599999999999994</v>
      </c>
      <c r="J155" s="129">
        <f t="shared" si="17"/>
        <v>76.8</v>
      </c>
      <c r="K155" s="3"/>
      <c r="L155" s="52">
        <v>47.5</v>
      </c>
      <c r="M155" s="52">
        <v>48.1</v>
      </c>
      <c r="N155" s="52">
        <v>50.5</v>
      </c>
      <c r="O155" s="53">
        <v>52.9</v>
      </c>
      <c r="P155" s="54">
        <v>57.3</v>
      </c>
      <c r="Q155" s="54">
        <v>57.4</v>
      </c>
      <c r="R155" s="129">
        <v>57.9</v>
      </c>
      <c r="S155" s="129">
        <f t="shared" si="18"/>
        <v>60.6</v>
      </c>
      <c r="U155" s="184"/>
      <c r="V155" s="184"/>
    </row>
    <row r="156" spans="1:22" ht="11.25" customHeight="1" x14ac:dyDescent="0.2">
      <c r="A156" s="26" t="s">
        <v>281</v>
      </c>
      <c r="B156" s="126" t="s">
        <v>282</v>
      </c>
      <c r="C156" s="52">
        <v>47.6</v>
      </c>
      <c r="D156" s="52">
        <v>53.4</v>
      </c>
      <c r="E156" s="52">
        <v>57.2</v>
      </c>
      <c r="F156" s="53">
        <v>58.5</v>
      </c>
      <c r="G156" s="54">
        <v>63.7</v>
      </c>
      <c r="H156" s="54">
        <v>69.900000000000006</v>
      </c>
      <c r="I156" s="129">
        <v>74.400000000000006</v>
      </c>
      <c r="J156" s="129">
        <f t="shared" si="17"/>
        <v>65.5</v>
      </c>
      <c r="K156" s="3"/>
      <c r="L156" s="52">
        <v>29.2</v>
      </c>
      <c r="M156" s="52">
        <v>33.1</v>
      </c>
      <c r="N156" s="52">
        <v>38.5</v>
      </c>
      <c r="O156" s="53">
        <v>39.5</v>
      </c>
      <c r="P156" s="54">
        <v>42.8</v>
      </c>
      <c r="Q156" s="54">
        <v>45.5</v>
      </c>
      <c r="R156" s="129">
        <v>52.4</v>
      </c>
      <c r="S156" s="129">
        <f t="shared" si="18"/>
        <v>47.6</v>
      </c>
      <c r="U156" s="184"/>
      <c r="V156" s="184"/>
    </row>
    <row r="157" spans="1:22" ht="11.25" customHeight="1" x14ac:dyDescent="0.2">
      <c r="A157" s="24" t="s">
        <v>283</v>
      </c>
      <c r="B157" s="126" t="s">
        <v>284</v>
      </c>
      <c r="C157" s="52">
        <v>56.1</v>
      </c>
      <c r="D157" s="52">
        <v>60</v>
      </c>
      <c r="E157" s="52">
        <v>65.5</v>
      </c>
      <c r="F157" s="53">
        <v>70.900000000000006</v>
      </c>
      <c r="G157" s="54">
        <v>78</v>
      </c>
      <c r="H157" s="54">
        <v>80.3</v>
      </c>
      <c r="I157" s="129">
        <v>84.4</v>
      </c>
      <c r="J157" s="129">
        <f t="shared" si="17"/>
        <v>89.4</v>
      </c>
      <c r="K157" s="3"/>
      <c r="L157" s="52">
        <v>46.5</v>
      </c>
      <c r="M157" s="52">
        <v>47.4</v>
      </c>
      <c r="N157" s="52">
        <v>52.7</v>
      </c>
      <c r="O157" s="53">
        <v>52.9</v>
      </c>
      <c r="P157" s="54">
        <v>54.7</v>
      </c>
      <c r="Q157" s="54">
        <v>55.9</v>
      </c>
      <c r="R157" s="129">
        <v>60.7</v>
      </c>
      <c r="S157" s="129">
        <f t="shared" si="18"/>
        <v>63.6</v>
      </c>
      <c r="U157" s="184"/>
      <c r="V157" s="184"/>
    </row>
    <row r="158" spans="1:22" ht="11.25" customHeight="1" x14ac:dyDescent="0.2">
      <c r="A158" s="24" t="s">
        <v>285</v>
      </c>
      <c r="B158" s="126" t="s">
        <v>286</v>
      </c>
      <c r="C158" s="52">
        <v>63.2</v>
      </c>
      <c r="D158" s="52">
        <v>64.2</v>
      </c>
      <c r="E158" s="52">
        <v>69.3</v>
      </c>
      <c r="F158" s="53">
        <v>73.7</v>
      </c>
      <c r="G158" s="54">
        <v>80.099999999999994</v>
      </c>
      <c r="H158" s="54">
        <v>87.5</v>
      </c>
      <c r="I158" s="129">
        <v>87.4</v>
      </c>
      <c r="J158" s="129">
        <f t="shared" si="17"/>
        <v>92.5</v>
      </c>
      <c r="K158" s="3"/>
      <c r="L158" s="52">
        <v>55.1</v>
      </c>
      <c r="M158" s="52">
        <v>57.4</v>
      </c>
      <c r="N158" s="52">
        <v>59.7</v>
      </c>
      <c r="O158" s="53">
        <v>59.3</v>
      </c>
      <c r="P158" s="54">
        <v>63.1</v>
      </c>
      <c r="Q158" s="54">
        <v>68.099999999999994</v>
      </c>
      <c r="R158" s="129">
        <v>66.099999999999994</v>
      </c>
      <c r="S158" s="129">
        <f t="shared" si="18"/>
        <v>71.400000000000006</v>
      </c>
      <c r="U158" s="184"/>
      <c r="V158" s="184"/>
    </row>
    <row r="159" spans="1:22" ht="11.25" customHeight="1" x14ac:dyDescent="0.2">
      <c r="A159" s="26" t="s">
        <v>287</v>
      </c>
      <c r="B159" s="126" t="s">
        <v>288</v>
      </c>
      <c r="C159" s="52">
        <v>48.4</v>
      </c>
      <c r="D159" s="52">
        <v>50.7</v>
      </c>
      <c r="E159" s="52">
        <v>55.8</v>
      </c>
      <c r="F159" s="53">
        <v>60.6</v>
      </c>
      <c r="G159" s="54">
        <v>68.7</v>
      </c>
      <c r="H159" s="54">
        <v>78.7</v>
      </c>
      <c r="I159" s="129">
        <v>82.3</v>
      </c>
      <c r="J159" s="129">
        <f t="shared" si="17"/>
        <v>82.3</v>
      </c>
      <c r="K159" s="3"/>
      <c r="L159" s="52">
        <v>36.200000000000003</v>
      </c>
      <c r="M159" s="52">
        <v>38.799999999999997</v>
      </c>
      <c r="N159" s="52">
        <v>42.3</v>
      </c>
      <c r="O159" s="53">
        <v>43.1</v>
      </c>
      <c r="P159" s="54">
        <v>47.5</v>
      </c>
      <c r="Q159" s="54">
        <v>51.7</v>
      </c>
      <c r="R159" s="129">
        <v>54.4</v>
      </c>
      <c r="S159" s="129">
        <f t="shared" si="18"/>
        <v>58.1</v>
      </c>
      <c r="U159" s="184"/>
      <c r="V159" s="184"/>
    </row>
    <row r="160" spans="1:22" ht="11.25" customHeight="1" x14ac:dyDescent="0.2">
      <c r="A160" s="24" t="s">
        <v>289</v>
      </c>
      <c r="B160" s="126" t="s">
        <v>290</v>
      </c>
      <c r="C160" s="52">
        <v>63</v>
      </c>
      <c r="D160" s="52">
        <v>65.3</v>
      </c>
      <c r="E160" s="52">
        <v>69.099999999999994</v>
      </c>
      <c r="F160" s="53">
        <v>71.900000000000006</v>
      </c>
      <c r="G160" s="54">
        <v>77.5</v>
      </c>
      <c r="H160" s="54">
        <v>79.900000000000006</v>
      </c>
      <c r="I160" s="129">
        <v>82.8</v>
      </c>
      <c r="J160" s="129">
        <f t="shared" si="17"/>
        <v>83.9</v>
      </c>
      <c r="K160" s="3"/>
      <c r="L160" s="52">
        <v>52.7</v>
      </c>
      <c r="M160" s="52">
        <v>54</v>
      </c>
      <c r="N160" s="52">
        <v>56.8</v>
      </c>
      <c r="O160" s="53">
        <v>58.8</v>
      </c>
      <c r="P160" s="54">
        <v>62</v>
      </c>
      <c r="Q160" s="54">
        <v>63.5</v>
      </c>
      <c r="R160" s="129">
        <v>64.2</v>
      </c>
      <c r="S160" s="129">
        <f t="shared" si="18"/>
        <v>67.5</v>
      </c>
      <c r="U160" s="184"/>
      <c r="V160" s="184"/>
    </row>
    <row r="161" spans="1:22" ht="11.25" customHeight="1" x14ac:dyDescent="0.2">
      <c r="A161" s="24" t="s">
        <v>291</v>
      </c>
      <c r="B161" s="126" t="s">
        <v>292</v>
      </c>
      <c r="C161" s="52">
        <v>65</v>
      </c>
      <c r="D161" s="52">
        <v>63.3</v>
      </c>
      <c r="E161" s="52">
        <v>64.099999999999994</v>
      </c>
      <c r="F161" s="53">
        <v>68.400000000000006</v>
      </c>
      <c r="G161" s="54">
        <v>72.5</v>
      </c>
      <c r="H161" s="54">
        <v>75.099999999999994</v>
      </c>
      <c r="I161" s="129">
        <v>77</v>
      </c>
      <c r="J161" s="129">
        <f t="shared" si="17"/>
        <v>76.599999999999994</v>
      </c>
      <c r="K161" s="3"/>
      <c r="L161" s="52">
        <v>51.6</v>
      </c>
      <c r="M161" s="52">
        <v>53.4</v>
      </c>
      <c r="N161" s="52">
        <v>52.9</v>
      </c>
      <c r="O161" s="53">
        <v>54.9</v>
      </c>
      <c r="P161" s="54">
        <v>60.7</v>
      </c>
      <c r="Q161" s="54">
        <v>60.1</v>
      </c>
      <c r="R161" s="129">
        <v>57.2</v>
      </c>
      <c r="S161" s="129">
        <f t="shared" si="18"/>
        <v>61.3</v>
      </c>
      <c r="U161" s="184"/>
      <c r="V161" s="184"/>
    </row>
    <row r="162" spans="1:22" ht="11.25" customHeight="1" x14ac:dyDescent="0.2">
      <c r="A162" s="24" t="s">
        <v>293</v>
      </c>
      <c r="B162" s="126" t="s">
        <v>294</v>
      </c>
      <c r="C162" s="52">
        <v>58.9</v>
      </c>
      <c r="D162" s="52">
        <v>61.1</v>
      </c>
      <c r="E162" s="52">
        <v>65.099999999999994</v>
      </c>
      <c r="F162" s="53">
        <v>67.900000000000006</v>
      </c>
      <c r="G162" s="54">
        <v>72.3</v>
      </c>
      <c r="H162" s="54">
        <v>78</v>
      </c>
      <c r="I162" s="129">
        <v>79.400000000000006</v>
      </c>
      <c r="J162" s="129">
        <f t="shared" si="17"/>
        <v>79</v>
      </c>
      <c r="K162" s="3"/>
      <c r="L162" s="52">
        <v>47.7</v>
      </c>
      <c r="M162" s="52">
        <v>49</v>
      </c>
      <c r="N162" s="52">
        <v>51.5</v>
      </c>
      <c r="O162" s="53">
        <v>52.2</v>
      </c>
      <c r="P162" s="54">
        <v>55.3</v>
      </c>
      <c r="Q162" s="54">
        <v>58.6</v>
      </c>
      <c r="R162" s="129">
        <v>57.5</v>
      </c>
      <c r="S162" s="129">
        <f t="shared" si="18"/>
        <v>59.9</v>
      </c>
      <c r="U162" s="184"/>
      <c r="V162" s="184"/>
    </row>
    <row r="163" spans="1:22" ht="11.25" customHeight="1" x14ac:dyDescent="0.2">
      <c r="A163" s="24" t="s">
        <v>295</v>
      </c>
      <c r="B163" s="126" t="s">
        <v>296</v>
      </c>
      <c r="C163" s="52">
        <v>64.2</v>
      </c>
      <c r="D163" s="52">
        <v>64.7</v>
      </c>
      <c r="E163" s="52">
        <v>69.900000000000006</v>
      </c>
      <c r="F163" s="53">
        <v>76.400000000000006</v>
      </c>
      <c r="G163" s="54">
        <v>80</v>
      </c>
      <c r="H163" s="54">
        <v>85</v>
      </c>
      <c r="I163" s="129">
        <v>86.6</v>
      </c>
      <c r="J163" s="129">
        <f t="shared" si="17"/>
        <v>86.9</v>
      </c>
      <c r="K163" s="3"/>
      <c r="L163" s="52">
        <v>52.8</v>
      </c>
      <c r="M163" s="52">
        <v>54.9</v>
      </c>
      <c r="N163" s="52">
        <v>57.9</v>
      </c>
      <c r="O163" s="53">
        <v>59.7</v>
      </c>
      <c r="P163" s="54">
        <v>63.6</v>
      </c>
      <c r="Q163" s="54">
        <v>63.3</v>
      </c>
      <c r="R163" s="129">
        <v>63.5</v>
      </c>
      <c r="S163" s="129">
        <f t="shared" si="18"/>
        <v>68.3</v>
      </c>
      <c r="U163" s="184"/>
      <c r="V163" s="184"/>
    </row>
    <row r="164" spans="1:22" s="3" customFormat="1" ht="11.25" customHeight="1" x14ac:dyDescent="0.2">
      <c r="A164" s="24" t="s">
        <v>297</v>
      </c>
      <c r="B164" s="126" t="s">
        <v>298</v>
      </c>
      <c r="C164" s="52">
        <v>64.5</v>
      </c>
      <c r="D164" s="52">
        <v>66.400000000000006</v>
      </c>
      <c r="E164" s="52">
        <v>70.7</v>
      </c>
      <c r="F164" s="53">
        <v>73.599999999999994</v>
      </c>
      <c r="G164" s="54">
        <v>78.400000000000006</v>
      </c>
      <c r="H164" s="54">
        <v>83.7</v>
      </c>
      <c r="I164" s="129">
        <v>84.5</v>
      </c>
      <c r="J164" s="129">
        <f t="shared" si="17"/>
        <v>85.5</v>
      </c>
      <c r="L164" s="52">
        <v>57.7</v>
      </c>
      <c r="M164" s="52">
        <v>57.6</v>
      </c>
      <c r="N164" s="52">
        <v>61</v>
      </c>
      <c r="O164" s="53">
        <v>63.2</v>
      </c>
      <c r="P164" s="54">
        <v>65.599999999999994</v>
      </c>
      <c r="Q164" s="54">
        <v>67.599999999999994</v>
      </c>
      <c r="R164" s="129">
        <v>65.7</v>
      </c>
      <c r="S164" s="129">
        <f t="shared" si="18"/>
        <v>70.599999999999994</v>
      </c>
      <c r="U164" s="184"/>
      <c r="V164" s="184"/>
    </row>
    <row r="165" spans="1:22" s="51" customFormat="1" ht="11.25" customHeight="1" x14ac:dyDescent="0.2">
      <c r="A165" s="3"/>
      <c r="B165" s="126"/>
      <c r="C165" s="50"/>
      <c r="D165" s="50"/>
      <c r="E165" s="27"/>
      <c r="F165" s="49"/>
      <c r="G165" s="49"/>
      <c r="H165" s="49"/>
      <c r="J165" s="129"/>
      <c r="K165" s="27"/>
      <c r="L165" s="27"/>
      <c r="M165" s="27"/>
      <c r="N165" s="27"/>
      <c r="O165" s="49"/>
      <c r="P165" s="49"/>
      <c r="Q165" s="49"/>
      <c r="S165" s="129"/>
      <c r="U165" s="184"/>
      <c r="V165" s="184"/>
    </row>
    <row r="166" spans="1:22" ht="11.25" customHeight="1" x14ac:dyDescent="0.2">
      <c r="A166" s="16" t="s">
        <v>388</v>
      </c>
      <c r="B166" s="16" t="s">
        <v>299</v>
      </c>
      <c r="C166" s="19">
        <v>58.2</v>
      </c>
      <c r="D166" s="19">
        <v>59.5</v>
      </c>
      <c r="E166" s="19">
        <v>63.6</v>
      </c>
      <c r="F166" s="49">
        <v>67.900000000000006</v>
      </c>
      <c r="G166" s="50">
        <v>72.7</v>
      </c>
      <c r="H166" s="50">
        <v>76.8</v>
      </c>
      <c r="I166" s="50">
        <v>79.8</v>
      </c>
      <c r="J166" s="50">
        <f t="shared" ref="J166:J182" si="19">IF(ISERROR(VLOOKUP($A166,T16Percentage,26,0)),".",VLOOKUP($A166,T16Percentage,26,0))</f>
        <v>79.8</v>
      </c>
      <c r="K166" s="3"/>
      <c r="L166" s="19">
        <v>46.2</v>
      </c>
      <c r="M166" s="19">
        <v>47.2</v>
      </c>
      <c r="N166" s="19">
        <v>49.3</v>
      </c>
      <c r="O166" s="49">
        <v>51.8</v>
      </c>
      <c r="P166" s="50">
        <v>55.4</v>
      </c>
      <c r="Q166" s="50">
        <v>57.9</v>
      </c>
      <c r="R166" s="50">
        <v>57.5</v>
      </c>
      <c r="S166" s="50">
        <f t="shared" ref="S166:S182" si="20">IF(ISERROR(VLOOKUP(A166,T16Percentage,27,0)),".",VLOOKUP(A166,T16Percentage,27,0))</f>
        <v>59.5</v>
      </c>
      <c r="U166" s="184"/>
      <c r="V166" s="184"/>
    </row>
    <row r="167" spans="1:22" ht="11.25" customHeight="1" x14ac:dyDescent="0.2">
      <c r="A167" s="30" t="s">
        <v>302</v>
      </c>
      <c r="B167" s="126" t="s">
        <v>303</v>
      </c>
      <c r="C167" s="52">
        <v>66.900000000000006</v>
      </c>
      <c r="D167" s="52">
        <v>66.099999999999994</v>
      </c>
      <c r="E167" s="52">
        <v>69.400000000000006</v>
      </c>
      <c r="F167" s="53">
        <v>76.2</v>
      </c>
      <c r="G167" s="54">
        <v>77.5</v>
      </c>
      <c r="H167" s="54">
        <v>81.2</v>
      </c>
      <c r="I167" s="129">
        <v>76.5</v>
      </c>
      <c r="J167" s="129">
        <f t="shared" si="19"/>
        <v>82.2</v>
      </c>
      <c r="K167" s="3"/>
      <c r="L167" s="52">
        <v>52</v>
      </c>
      <c r="M167" s="52">
        <v>50.6</v>
      </c>
      <c r="N167" s="52">
        <v>57.2</v>
      </c>
      <c r="O167" s="53">
        <v>59.9</v>
      </c>
      <c r="P167" s="54">
        <v>61</v>
      </c>
      <c r="Q167" s="54">
        <v>64.2</v>
      </c>
      <c r="R167" s="129">
        <v>57.5</v>
      </c>
      <c r="S167" s="129">
        <f t="shared" si="20"/>
        <v>63.6</v>
      </c>
      <c r="U167" s="184"/>
      <c r="V167" s="184"/>
    </row>
    <row r="168" spans="1:22" ht="11.25" customHeight="1" x14ac:dyDescent="0.2">
      <c r="A168" s="31" t="s">
        <v>304</v>
      </c>
      <c r="B168" s="126" t="s">
        <v>305</v>
      </c>
      <c r="C168" s="52">
        <v>54.7</v>
      </c>
      <c r="D168" s="52">
        <v>59.6</v>
      </c>
      <c r="E168" s="52">
        <v>64.2</v>
      </c>
      <c r="F168" s="53">
        <v>67.400000000000006</v>
      </c>
      <c r="G168" s="54">
        <v>72.5</v>
      </c>
      <c r="H168" s="54">
        <v>74.3</v>
      </c>
      <c r="I168" s="129">
        <v>79.5</v>
      </c>
      <c r="J168" s="129">
        <f t="shared" si="19"/>
        <v>86.1</v>
      </c>
      <c r="K168" s="3"/>
      <c r="L168" s="52">
        <v>43.6</v>
      </c>
      <c r="M168" s="52">
        <v>48.2</v>
      </c>
      <c r="N168" s="52">
        <v>48.9</v>
      </c>
      <c r="O168" s="53">
        <v>51.5</v>
      </c>
      <c r="P168" s="54">
        <v>56.5</v>
      </c>
      <c r="Q168" s="54">
        <v>57.4</v>
      </c>
      <c r="R168" s="129">
        <v>60.7</v>
      </c>
      <c r="S168" s="129">
        <f t="shared" si="20"/>
        <v>63</v>
      </c>
      <c r="U168" s="184"/>
      <c r="V168" s="184"/>
    </row>
    <row r="169" spans="1:22" ht="11.25" customHeight="1" x14ac:dyDescent="0.2">
      <c r="A169" s="31" t="s">
        <v>306</v>
      </c>
      <c r="B169" s="126" t="s">
        <v>307</v>
      </c>
      <c r="C169" s="52">
        <v>43.8</v>
      </c>
      <c r="D169" s="52">
        <v>46.9</v>
      </c>
      <c r="E169" s="52">
        <v>54.9</v>
      </c>
      <c r="F169" s="53">
        <v>61.7</v>
      </c>
      <c r="G169" s="54">
        <v>71.900000000000006</v>
      </c>
      <c r="H169" s="54">
        <v>78</v>
      </c>
      <c r="I169" s="129">
        <v>81.5</v>
      </c>
      <c r="J169" s="129">
        <f t="shared" si="19"/>
        <v>81.2</v>
      </c>
      <c r="K169" s="3"/>
      <c r="L169" s="52">
        <v>30.4</v>
      </c>
      <c r="M169" s="52">
        <v>31.5</v>
      </c>
      <c r="N169" s="52">
        <v>35.5</v>
      </c>
      <c r="O169" s="53">
        <v>40.200000000000003</v>
      </c>
      <c r="P169" s="54">
        <v>46.2</v>
      </c>
      <c r="Q169" s="54">
        <v>50.2</v>
      </c>
      <c r="R169" s="129">
        <v>51.6</v>
      </c>
      <c r="S169" s="129">
        <f t="shared" si="20"/>
        <v>52.3</v>
      </c>
      <c r="U169" s="184"/>
      <c r="V169" s="184"/>
    </row>
    <row r="170" spans="1:22" ht="11.25" customHeight="1" x14ac:dyDescent="0.2">
      <c r="A170" s="31" t="s">
        <v>308</v>
      </c>
      <c r="B170" s="126" t="s">
        <v>309</v>
      </c>
      <c r="C170" s="52">
        <v>57.3</v>
      </c>
      <c r="D170" s="52">
        <v>58.5</v>
      </c>
      <c r="E170" s="52">
        <v>61.4</v>
      </c>
      <c r="F170" s="53">
        <v>68.7</v>
      </c>
      <c r="G170" s="54">
        <v>73</v>
      </c>
      <c r="H170" s="54">
        <v>77.400000000000006</v>
      </c>
      <c r="I170" s="129">
        <v>79.400000000000006</v>
      </c>
      <c r="J170" s="129">
        <f t="shared" si="19"/>
        <v>77.900000000000006</v>
      </c>
      <c r="K170" s="3"/>
      <c r="L170" s="52">
        <v>43.9</v>
      </c>
      <c r="M170" s="52">
        <v>44</v>
      </c>
      <c r="N170" s="52">
        <v>43.5</v>
      </c>
      <c r="O170" s="53">
        <v>48.9</v>
      </c>
      <c r="P170" s="54">
        <v>53.8</v>
      </c>
      <c r="Q170" s="54">
        <v>55</v>
      </c>
      <c r="R170" s="129">
        <v>55.4</v>
      </c>
      <c r="S170" s="129">
        <f t="shared" si="20"/>
        <v>59.6</v>
      </c>
      <c r="U170" s="184"/>
      <c r="V170" s="184"/>
    </row>
    <row r="171" spans="1:22" ht="11.25" customHeight="1" x14ac:dyDescent="0.2">
      <c r="A171" s="31" t="s">
        <v>310</v>
      </c>
      <c r="B171" s="126" t="s">
        <v>311</v>
      </c>
      <c r="C171" s="52">
        <v>58</v>
      </c>
      <c r="D171" s="52">
        <v>57.3</v>
      </c>
      <c r="E171" s="52">
        <v>63.5</v>
      </c>
      <c r="F171" s="53">
        <v>65.900000000000006</v>
      </c>
      <c r="G171" s="54">
        <v>68.7</v>
      </c>
      <c r="H171" s="54">
        <v>73.8</v>
      </c>
      <c r="I171" s="129">
        <v>77.900000000000006</v>
      </c>
      <c r="J171" s="129">
        <f t="shared" si="19"/>
        <v>78</v>
      </c>
      <c r="K171" s="3"/>
      <c r="L171" s="52">
        <v>46.2</v>
      </c>
      <c r="M171" s="52">
        <v>46.6</v>
      </c>
      <c r="N171" s="52">
        <v>49.5</v>
      </c>
      <c r="O171" s="53">
        <v>51.8</v>
      </c>
      <c r="P171" s="54">
        <v>54.7</v>
      </c>
      <c r="Q171" s="54">
        <v>58.4</v>
      </c>
      <c r="R171" s="129">
        <v>58.5</v>
      </c>
      <c r="S171" s="129">
        <f t="shared" si="20"/>
        <v>59.6</v>
      </c>
      <c r="U171" s="184"/>
      <c r="V171" s="184"/>
    </row>
    <row r="172" spans="1:22" ht="11.25" customHeight="1" x14ac:dyDescent="0.2">
      <c r="A172" s="31" t="s">
        <v>312</v>
      </c>
      <c r="B172" s="126" t="s">
        <v>313</v>
      </c>
      <c r="C172" s="52">
        <v>62.2</v>
      </c>
      <c r="D172" s="52">
        <v>64</v>
      </c>
      <c r="E172" s="52">
        <v>67.099999999999994</v>
      </c>
      <c r="F172" s="53">
        <v>70</v>
      </c>
      <c r="G172" s="54">
        <v>74.3</v>
      </c>
      <c r="H172" s="54">
        <v>75.099999999999994</v>
      </c>
      <c r="I172" s="129">
        <v>76.3</v>
      </c>
      <c r="J172" s="129">
        <f t="shared" si="19"/>
        <v>76</v>
      </c>
      <c r="K172" s="3"/>
      <c r="L172" s="52">
        <v>50</v>
      </c>
      <c r="M172" s="52">
        <v>49.9</v>
      </c>
      <c r="N172" s="52">
        <v>53.3</v>
      </c>
      <c r="O172" s="53">
        <v>54.6</v>
      </c>
      <c r="P172" s="54">
        <v>59.4</v>
      </c>
      <c r="Q172" s="54">
        <v>59.5</v>
      </c>
      <c r="R172" s="129">
        <v>54.1</v>
      </c>
      <c r="S172" s="129">
        <f t="shared" si="20"/>
        <v>58.9</v>
      </c>
      <c r="U172" s="184"/>
      <c r="V172" s="184"/>
    </row>
    <row r="173" spans="1:22" ht="12.75" customHeight="1" x14ac:dyDescent="0.2">
      <c r="A173" s="31" t="s">
        <v>314</v>
      </c>
      <c r="B173" s="126" t="s">
        <v>315</v>
      </c>
      <c r="C173" s="52">
        <v>63.9</v>
      </c>
      <c r="D173" s="52">
        <v>64.7</v>
      </c>
      <c r="E173" s="52">
        <v>67.599999999999994</v>
      </c>
      <c r="F173" s="53">
        <v>71.2</v>
      </c>
      <c r="G173" s="54">
        <v>76.099999999999994</v>
      </c>
      <c r="H173" s="54">
        <v>79.400000000000006</v>
      </c>
      <c r="I173" s="129">
        <v>82</v>
      </c>
      <c r="J173" s="129">
        <f t="shared" si="19"/>
        <v>83</v>
      </c>
      <c r="K173" s="3"/>
      <c r="L173" s="52">
        <v>53.8</v>
      </c>
      <c r="M173" s="52">
        <v>54.4</v>
      </c>
      <c r="N173" s="52">
        <v>56.8</v>
      </c>
      <c r="O173" s="53">
        <v>58</v>
      </c>
      <c r="P173" s="54">
        <v>60.1</v>
      </c>
      <c r="Q173" s="54">
        <v>62.9</v>
      </c>
      <c r="R173" s="129">
        <v>62.3</v>
      </c>
      <c r="S173" s="129">
        <f t="shared" si="20"/>
        <v>61.8</v>
      </c>
      <c r="U173" s="184"/>
      <c r="V173" s="184"/>
    </row>
    <row r="174" spans="1:22" ht="11.25" customHeight="1" x14ac:dyDescent="0.2">
      <c r="A174" s="29" t="s">
        <v>300</v>
      </c>
      <c r="B174" s="126" t="s">
        <v>301</v>
      </c>
      <c r="C174" s="52">
        <v>85.2</v>
      </c>
      <c r="D174" s="52">
        <v>88.2</v>
      </c>
      <c r="E174" s="52">
        <v>87</v>
      </c>
      <c r="F174" s="53">
        <v>80</v>
      </c>
      <c r="G174" s="54">
        <v>90.9</v>
      </c>
      <c r="H174" s="129">
        <v>73.7</v>
      </c>
      <c r="I174" s="129">
        <v>100</v>
      </c>
      <c r="J174" s="129">
        <f t="shared" si="19"/>
        <v>85.7</v>
      </c>
      <c r="K174" s="3"/>
      <c r="L174" s="52">
        <v>77.8</v>
      </c>
      <c r="M174" s="52">
        <v>64.7</v>
      </c>
      <c r="N174" s="52">
        <v>69.599999999999994</v>
      </c>
      <c r="O174" s="53">
        <v>80</v>
      </c>
      <c r="P174" s="54">
        <v>68.2</v>
      </c>
      <c r="Q174" s="129">
        <v>68.400000000000006</v>
      </c>
      <c r="R174" s="129">
        <v>86.4</v>
      </c>
      <c r="S174" s="129">
        <f t="shared" si="20"/>
        <v>81</v>
      </c>
      <c r="U174" s="184"/>
      <c r="V174" s="184"/>
    </row>
    <row r="175" spans="1:22" ht="11.25" customHeight="1" x14ac:dyDescent="0.2">
      <c r="A175" s="31" t="s">
        <v>316</v>
      </c>
      <c r="B175" s="126" t="s">
        <v>317</v>
      </c>
      <c r="C175" s="52">
        <v>58.4</v>
      </c>
      <c r="D175" s="52">
        <v>60.3</v>
      </c>
      <c r="E175" s="52">
        <v>63.6</v>
      </c>
      <c r="F175" s="53">
        <v>69.400000000000006</v>
      </c>
      <c r="G175" s="54">
        <v>75.900000000000006</v>
      </c>
      <c r="H175" s="54">
        <v>78.900000000000006</v>
      </c>
      <c r="I175" s="129">
        <v>81</v>
      </c>
      <c r="J175" s="129">
        <f t="shared" si="19"/>
        <v>77.099999999999994</v>
      </c>
      <c r="K175" s="3"/>
      <c r="L175" s="52">
        <v>47.4</v>
      </c>
      <c r="M175" s="52">
        <v>48.5</v>
      </c>
      <c r="N175" s="52">
        <v>50.5</v>
      </c>
      <c r="O175" s="53">
        <v>52</v>
      </c>
      <c r="P175" s="54">
        <v>56.1</v>
      </c>
      <c r="Q175" s="54">
        <v>57.5</v>
      </c>
      <c r="R175" s="129">
        <v>58.8</v>
      </c>
      <c r="S175" s="129">
        <f t="shared" si="20"/>
        <v>58.5</v>
      </c>
      <c r="U175" s="184"/>
      <c r="V175" s="184"/>
    </row>
    <row r="176" spans="1:22" ht="11.25" customHeight="1" x14ac:dyDescent="0.2">
      <c r="A176" s="31" t="s">
        <v>318</v>
      </c>
      <c r="B176" s="126" t="s">
        <v>319</v>
      </c>
      <c r="C176" s="52">
        <v>59.8</v>
      </c>
      <c r="D176" s="52">
        <v>60.1</v>
      </c>
      <c r="E176" s="52">
        <v>67.3</v>
      </c>
      <c r="F176" s="53">
        <v>72.599999999999994</v>
      </c>
      <c r="G176" s="54">
        <v>77.7</v>
      </c>
      <c r="H176" s="54">
        <v>81</v>
      </c>
      <c r="I176" s="129">
        <v>84.9</v>
      </c>
      <c r="J176" s="129">
        <f t="shared" si="19"/>
        <v>85.9</v>
      </c>
      <c r="K176" s="3"/>
      <c r="L176" s="52">
        <v>42.5</v>
      </c>
      <c r="M176" s="52">
        <v>44.1</v>
      </c>
      <c r="N176" s="52">
        <v>46.3</v>
      </c>
      <c r="O176" s="53">
        <v>49.1</v>
      </c>
      <c r="P176" s="54">
        <v>54.2</v>
      </c>
      <c r="Q176" s="54">
        <v>56.8</v>
      </c>
      <c r="R176" s="129">
        <v>57.5</v>
      </c>
      <c r="S176" s="129">
        <f t="shared" si="20"/>
        <v>60.8</v>
      </c>
      <c r="U176" s="184"/>
      <c r="V176" s="184"/>
    </row>
    <row r="177" spans="1:22" ht="11.25" customHeight="1" x14ac:dyDescent="0.2">
      <c r="A177" s="31" t="s">
        <v>320</v>
      </c>
      <c r="B177" s="126" t="s">
        <v>321</v>
      </c>
      <c r="C177" s="52">
        <v>63.1</v>
      </c>
      <c r="D177" s="52">
        <v>66</v>
      </c>
      <c r="E177" s="52">
        <v>66.8</v>
      </c>
      <c r="F177" s="53">
        <v>69.2</v>
      </c>
      <c r="G177" s="54">
        <v>68</v>
      </c>
      <c r="H177" s="54">
        <v>75.099999999999994</v>
      </c>
      <c r="I177" s="129">
        <v>80.400000000000006</v>
      </c>
      <c r="J177" s="129">
        <f t="shared" si="19"/>
        <v>79.7</v>
      </c>
      <c r="K177" s="3"/>
      <c r="L177" s="52">
        <v>52</v>
      </c>
      <c r="M177" s="52">
        <v>54.5</v>
      </c>
      <c r="N177" s="52">
        <v>56.5</v>
      </c>
      <c r="O177" s="53">
        <v>56.5</v>
      </c>
      <c r="P177" s="54">
        <v>55.3</v>
      </c>
      <c r="Q177" s="54">
        <v>57.2</v>
      </c>
      <c r="R177" s="129">
        <v>58.8</v>
      </c>
      <c r="S177" s="129">
        <f t="shared" si="20"/>
        <v>62.3</v>
      </c>
      <c r="U177" s="184"/>
      <c r="V177" s="184"/>
    </row>
    <row r="178" spans="1:22" ht="11.25" customHeight="1" x14ac:dyDescent="0.2">
      <c r="A178" s="31" t="s">
        <v>322</v>
      </c>
      <c r="B178" s="126" t="s">
        <v>323</v>
      </c>
      <c r="C178" s="52">
        <v>56.6</v>
      </c>
      <c r="D178" s="52">
        <v>58.5</v>
      </c>
      <c r="E178" s="52">
        <v>60.5</v>
      </c>
      <c r="F178" s="53">
        <v>63</v>
      </c>
      <c r="G178" s="54">
        <v>68.599999999999994</v>
      </c>
      <c r="H178" s="54">
        <v>76.099999999999994</v>
      </c>
      <c r="I178" s="129">
        <v>80.400000000000006</v>
      </c>
      <c r="J178" s="129">
        <f t="shared" si="19"/>
        <v>79.099999999999994</v>
      </c>
      <c r="K178" s="3"/>
      <c r="L178" s="52">
        <v>44.4</v>
      </c>
      <c r="M178" s="52">
        <v>46.8</v>
      </c>
      <c r="N178" s="52">
        <v>46.8</v>
      </c>
      <c r="O178" s="53">
        <v>49</v>
      </c>
      <c r="P178" s="54">
        <v>54</v>
      </c>
      <c r="Q178" s="54">
        <v>57</v>
      </c>
      <c r="R178" s="129">
        <v>56.5</v>
      </c>
      <c r="S178" s="129">
        <f t="shared" si="20"/>
        <v>58</v>
      </c>
      <c r="U178" s="184"/>
      <c r="V178" s="184"/>
    </row>
    <row r="179" spans="1:22" ht="11.25" customHeight="1" x14ac:dyDescent="0.2">
      <c r="A179" s="31" t="s">
        <v>324</v>
      </c>
      <c r="B179" s="126" t="s">
        <v>325</v>
      </c>
      <c r="C179" s="52">
        <v>54.9</v>
      </c>
      <c r="D179" s="52">
        <v>56.2</v>
      </c>
      <c r="E179" s="52">
        <v>63.6</v>
      </c>
      <c r="F179" s="53">
        <v>68.7</v>
      </c>
      <c r="G179" s="54">
        <v>75.099999999999994</v>
      </c>
      <c r="H179" s="54">
        <v>77.2</v>
      </c>
      <c r="I179" s="129">
        <v>81.7</v>
      </c>
      <c r="J179" s="129">
        <f t="shared" si="19"/>
        <v>79.900000000000006</v>
      </c>
      <c r="K179" s="3"/>
      <c r="L179" s="52">
        <v>44.4</v>
      </c>
      <c r="M179" s="52">
        <v>45.4</v>
      </c>
      <c r="N179" s="52">
        <v>48.1</v>
      </c>
      <c r="O179" s="53">
        <v>49.2</v>
      </c>
      <c r="P179" s="54">
        <v>56</v>
      </c>
      <c r="Q179" s="54">
        <v>55.5</v>
      </c>
      <c r="R179" s="129">
        <v>56.4</v>
      </c>
      <c r="S179" s="129">
        <f t="shared" si="20"/>
        <v>56.7</v>
      </c>
      <c r="U179" s="184"/>
      <c r="V179" s="184"/>
    </row>
    <row r="180" spans="1:22" ht="11.25" customHeight="1" x14ac:dyDescent="0.2">
      <c r="A180" s="31" t="s">
        <v>326</v>
      </c>
      <c r="B180" s="126" t="s">
        <v>327</v>
      </c>
      <c r="C180" s="52">
        <v>53.5</v>
      </c>
      <c r="D180" s="52">
        <v>54.3</v>
      </c>
      <c r="E180" s="52">
        <v>55.2</v>
      </c>
      <c r="F180" s="53">
        <v>62.4</v>
      </c>
      <c r="G180" s="54">
        <v>70.400000000000006</v>
      </c>
      <c r="H180" s="54">
        <v>73.5</v>
      </c>
      <c r="I180" s="129">
        <v>76.8</v>
      </c>
      <c r="J180" s="129">
        <f t="shared" si="19"/>
        <v>75.8</v>
      </c>
      <c r="K180" s="3"/>
      <c r="L180" s="52">
        <v>40.700000000000003</v>
      </c>
      <c r="M180" s="52">
        <v>41.4</v>
      </c>
      <c r="N180" s="52">
        <v>40.9</v>
      </c>
      <c r="O180" s="53">
        <v>45.6</v>
      </c>
      <c r="P180" s="54">
        <v>49.9</v>
      </c>
      <c r="Q180" s="54">
        <v>52.4</v>
      </c>
      <c r="R180" s="129">
        <v>52.7</v>
      </c>
      <c r="S180" s="129">
        <f t="shared" si="20"/>
        <v>56.4</v>
      </c>
      <c r="U180" s="184"/>
      <c r="V180" s="184"/>
    </row>
    <row r="181" spans="1:22" ht="11.25" customHeight="1" x14ac:dyDescent="0.2">
      <c r="A181" s="31" t="s">
        <v>328</v>
      </c>
      <c r="B181" s="126" t="s">
        <v>329</v>
      </c>
      <c r="C181" s="52">
        <v>54.2</v>
      </c>
      <c r="D181" s="52">
        <v>60.9</v>
      </c>
      <c r="E181" s="52">
        <v>62.8</v>
      </c>
      <c r="F181" s="53">
        <v>66.8</v>
      </c>
      <c r="G181" s="54">
        <v>75.099999999999994</v>
      </c>
      <c r="H181" s="54">
        <v>80.900000000000006</v>
      </c>
      <c r="I181" s="129">
        <v>82.4</v>
      </c>
      <c r="J181" s="129">
        <f t="shared" si="19"/>
        <v>81</v>
      </c>
      <c r="K181" s="3"/>
      <c r="L181" s="52">
        <v>45.5</v>
      </c>
      <c r="M181" s="52">
        <v>50.6</v>
      </c>
      <c r="N181" s="52">
        <v>48.1</v>
      </c>
      <c r="O181" s="53">
        <v>53.7</v>
      </c>
      <c r="P181" s="54">
        <v>54.1</v>
      </c>
      <c r="Q181" s="54">
        <v>57.2</v>
      </c>
      <c r="R181" s="129">
        <v>60.5</v>
      </c>
      <c r="S181" s="129">
        <f t="shared" si="20"/>
        <v>60.9</v>
      </c>
      <c r="U181" s="184"/>
      <c r="V181" s="184"/>
    </row>
    <row r="182" spans="1:22" ht="11.25" customHeight="1" x14ac:dyDescent="0.2">
      <c r="A182" s="31" t="s">
        <v>330</v>
      </c>
      <c r="B182" s="126" t="s">
        <v>331</v>
      </c>
      <c r="C182" s="52">
        <v>58.2</v>
      </c>
      <c r="D182" s="52">
        <v>59.6</v>
      </c>
      <c r="E182" s="52">
        <v>64.8</v>
      </c>
      <c r="F182" s="53">
        <v>68.599999999999994</v>
      </c>
      <c r="G182" s="54">
        <v>70.900000000000006</v>
      </c>
      <c r="H182" s="54">
        <v>75.099999999999994</v>
      </c>
      <c r="I182" s="129">
        <v>78.7</v>
      </c>
      <c r="J182" s="129">
        <f t="shared" si="19"/>
        <v>79.8</v>
      </c>
      <c r="K182" s="3"/>
      <c r="L182" s="52">
        <v>48.5</v>
      </c>
      <c r="M182" s="52">
        <v>49.6</v>
      </c>
      <c r="N182" s="52">
        <v>53.2</v>
      </c>
      <c r="O182" s="53">
        <v>55.4</v>
      </c>
      <c r="P182" s="54">
        <v>55.8</v>
      </c>
      <c r="Q182" s="54">
        <v>60.5</v>
      </c>
      <c r="R182" s="129">
        <v>59.3</v>
      </c>
      <c r="S182" s="129">
        <f t="shared" si="20"/>
        <v>61</v>
      </c>
      <c r="U182" s="184"/>
      <c r="V182" s="184"/>
    </row>
    <row r="183" spans="1:22" s="3" customFormat="1" ht="11.25" customHeight="1" x14ac:dyDescent="0.2">
      <c r="C183" s="2"/>
      <c r="D183" s="2"/>
      <c r="E183" s="2"/>
      <c r="F183" s="2"/>
      <c r="G183" s="2"/>
      <c r="H183" s="2"/>
      <c r="J183" s="129"/>
      <c r="L183" s="2"/>
      <c r="M183" s="2"/>
      <c r="N183" s="2"/>
      <c r="O183" s="2"/>
      <c r="P183" s="2"/>
      <c r="Q183" s="2"/>
      <c r="S183" s="129"/>
      <c r="U183" s="184"/>
      <c r="V183" s="184"/>
    </row>
    <row r="184" spans="1:22" s="51" customFormat="1" ht="12.75" customHeight="1" x14ac:dyDescent="0.2">
      <c r="A184" s="56" t="s">
        <v>444</v>
      </c>
      <c r="B184" s="33"/>
      <c r="C184" s="19">
        <v>57.5</v>
      </c>
      <c r="D184" s="19">
        <v>60.1</v>
      </c>
      <c r="E184" s="19">
        <v>64.599999999999994</v>
      </c>
      <c r="F184" s="49">
        <v>70</v>
      </c>
      <c r="G184" s="50">
        <v>76.3</v>
      </c>
      <c r="H184" s="50">
        <v>80.7</v>
      </c>
      <c r="I184" s="50">
        <v>83.2</v>
      </c>
      <c r="J184" s="50">
        <f>IF(ISERROR(VLOOKUP($A184,T16Percentage,26,0)),".",VLOOKUP($A184,T16Percentage,26,0))</f>
        <v>83.1</v>
      </c>
      <c r="K184" s="49"/>
      <c r="L184" s="19">
        <v>44.1</v>
      </c>
      <c r="M184" s="19">
        <v>45.9</v>
      </c>
      <c r="N184" s="19">
        <v>48.4</v>
      </c>
      <c r="O184" s="49">
        <v>50.9</v>
      </c>
      <c r="P184" s="50">
        <v>55.3</v>
      </c>
      <c r="Q184" s="50">
        <v>58.4</v>
      </c>
      <c r="R184" s="50">
        <v>59.1</v>
      </c>
      <c r="S184" s="50">
        <f>IF(ISERROR(VLOOKUP(A184,T16Percentage,27,0)),".",VLOOKUP(A184,T16Percentage,27,0))</f>
        <v>60.8</v>
      </c>
      <c r="U184" s="184"/>
      <c r="V184" s="184"/>
    </row>
    <row r="185" spans="1:22" ht="11.25" customHeight="1" x14ac:dyDescent="0.2">
      <c r="A185" s="56"/>
      <c r="B185" s="56"/>
      <c r="C185" s="56"/>
      <c r="D185" s="56"/>
      <c r="E185" s="2"/>
      <c r="F185" s="57"/>
      <c r="G185" s="2"/>
      <c r="H185" s="2"/>
      <c r="J185" s="27"/>
      <c r="K185" s="3"/>
      <c r="L185" s="2"/>
      <c r="M185" s="2"/>
      <c r="N185" s="2"/>
      <c r="O185" s="57"/>
      <c r="P185" s="2"/>
      <c r="Q185" s="2"/>
      <c r="S185" s="27"/>
      <c r="U185" s="184"/>
      <c r="V185" s="184"/>
    </row>
    <row r="186" spans="1:22" ht="11.25" customHeight="1" x14ac:dyDescent="0.2">
      <c r="A186" s="17" t="s">
        <v>461</v>
      </c>
      <c r="B186" s="33" t="s">
        <v>332</v>
      </c>
      <c r="C186" s="58">
        <v>59</v>
      </c>
      <c r="D186" s="58">
        <v>61.4</v>
      </c>
      <c r="E186" s="58">
        <v>65.3</v>
      </c>
      <c r="F186" s="58">
        <v>70</v>
      </c>
      <c r="G186" s="59">
        <v>75.400000000000006</v>
      </c>
      <c r="H186" s="50">
        <v>79.599999999999994</v>
      </c>
      <c r="I186" s="50">
        <v>81.900000000000006</v>
      </c>
      <c r="J186" s="50">
        <f>IF(ISERROR(VLOOKUP($A186,T16Percentage,26,0)),".",VLOOKUP($A186,T16Percentage,26,0))</f>
        <v>81.8</v>
      </c>
      <c r="L186" s="58">
        <v>45.6</v>
      </c>
      <c r="M186" s="58">
        <v>46.3</v>
      </c>
      <c r="N186" s="58">
        <v>47.6</v>
      </c>
      <c r="O186" s="58">
        <v>49.8</v>
      </c>
      <c r="P186" s="59">
        <v>53.5</v>
      </c>
      <c r="Q186" s="50">
        <v>59</v>
      </c>
      <c r="R186" s="50">
        <v>59.4</v>
      </c>
      <c r="S186" s="50">
        <f>IF(ISERROR(VLOOKUP(A186,T16Percentage,27,0)),".",VLOOKUP(A186,T16Percentage,27,0))</f>
        <v>59.2</v>
      </c>
      <c r="U186" s="184"/>
      <c r="V186" s="184"/>
    </row>
    <row r="187" spans="1:22" ht="12.75" x14ac:dyDescent="0.2">
      <c r="A187" s="60"/>
      <c r="B187" s="60"/>
      <c r="C187" s="60"/>
      <c r="D187" s="60"/>
      <c r="E187" s="61"/>
      <c r="F187" s="62"/>
      <c r="G187" s="62"/>
      <c r="H187" s="44"/>
      <c r="I187" s="182"/>
      <c r="J187" s="44"/>
      <c r="K187" s="62"/>
      <c r="L187" s="62"/>
      <c r="M187" s="62"/>
      <c r="N187" s="62"/>
      <c r="O187" s="62"/>
      <c r="P187" s="62"/>
      <c r="Q187" s="44"/>
      <c r="R187" s="44"/>
      <c r="S187" s="130"/>
      <c r="U187" s="184"/>
      <c r="V187" s="184"/>
    </row>
    <row r="188" spans="1:22" ht="11.25" customHeight="1" x14ac:dyDescent="0.2">
      <c r="A188" s="63"/>
      <c r="B188" s="63"/>
      <c r="C188" s="64"/>
      <c r="D188" s="63"/>
      <c r="E188" s="128"/>
      <c r="F188" s="147"/>
      <c r="G188" s="147"/>
      <c r="H188" s="147"/>
      <c r="I188" s="147"/>
      <c r="J188" s="147"/>
      <c r="K188" s="147"/>
      <c r="L188" s="147"/>
      <c r="M188" s="147"/>
      <c r="N188" s="147"/>
      <c r="O188" s="147"/>
      <c r="P188" s="147"/>
      <c r="Q188" s="147"/>
      <c r="R188" s="147"/>
      <c r="S188" s="140" t="s">
        <v>371</v>
      </c>
      <c r="U188" s="184"/>
      <c r="V188" s="184"/>
    </row>
    <row r="189" spans="1:22" ht="22.5" customHeight="1" x14ac:dyDescent="0.2">
      <c r="A189" s="504" t="s">
        <v>440</v>
      </c>
      <c r="B189" s="504"/>
      <c r="C189" s="504"/>
      <c r="D189" s="504"/>
      <c r="E189" s="504"/>
      <c r="F189" s="504"/>
      <c r="G189" s="504"/>
      <c r="H189" s="504"/>
      <c r="I189" s="504"/>
      <c r="J189" s="504"/>
      <c r="K189" s="504"/>
      <c r="L189" s="504"/>
      <c r="M189" s="504"/>
      <c r="N189" s="504"/>
      <c r="O189" s="504"/>
      <c r="P189" s="504"/>
      <c r="Q189" s="504"/>
      <c r="R189" s="504"/>
      <c r="S189" s="504"/>
      <c r="U189" s="184"/>
      <c r="V189" s="184"/>
    </row>
    <row r="190" spans="1:22" ht="11.25" customHeight="1" x14ac:dyDescent="0.2">
      <c r="A190" s="466" t="s">
        <v>436</v>
      </c>
      <c r="B190" s="466"/>
      <c r="C190" s="466"/>
      <c r="D190" s="466"/>
      <c r="E190" s="466"/>
      <c r="F190" s="162"/>
      <c r="G190" s="162"/>
      <c r="H190" s="162"/>
      <c r="I190" s="162"/>
      <c r="J190" s="162"/>
      <c r="K190" s="162"/>
      <c r="L190" s="162"/>
      <c r="M190" s="162"/>
      <c r="N190" s="162"/>
      <c r="O190" s="162"/>
      <c r="P190" s="162"/>
      <c r="Q190" s="162"/>
      <c r="R190" s="162"/>
      <c r="U190" s="184"/>
      <c r="V190" s="184"/>
    </row>
    <row r="191" spans="1:22" ht="11.25" customHeight="1" x14ac:dyDescent="0.2">
      <c r="A191" s="507" t="s">
        <v>441</v>
      </c>
      <c r="B191" s="507"/>
      <c r="C191" s="507"/>
      <c r="D191" s="507"/>
      <c r="E191" s="507"/>
      <c r="F191" s="507"/>
      <c r="G191" s="507"/>
      <c r="H191" s="507"/>
      <c r="I191" s="507"/>
      <c r="J191" s="507"/>
      <c r="K191" s="507"/>
      <c r="L191" s="507"/>
      <c r="M191" s="507"/>
      <c r="N191" s="507"/>
      <c r="O191" s="507"/>
      <c r="P191" s="162"/>
      <c r="Q191" s="153"/>
      <c r="R191" s="153"/>
      <c r="U191" s="184"/>
      <c r="V191" s="184"/>
    </row>
    <row r="192" spans="1:22" ht="22.5" customHeight="1" x14ac:dyDescent="0.2">
      <c r="A192" s="479" t="s">
        <v>458</v>
      </c>
      <c r="B192" s="479"/>
      <c r="C192" s="479"/>
      <c r="D192" s="479"/>
      <c r="E192" s="479"/>
      <c r="F192" s="479"/>
      <c r="G192" s="479"/>
      <c r="H192" s="479"/>
      <c r="I192" s="479"/>
      <c r="J192" s="479"/>
      <c r="K192" s="479"/>
      <c r="L192" s="479"/>
      <c r="M192" s="479"/>
      <c r="N192" s="479"/>
      <c r="O192" s="479"/>
      <c r="P192" s="479"/>
      <c r="Q192" s="479"/>
      <c r="R192" s="479"/>
      <c r="S192" s="479"/>
    </row>
    <row r="193" spans="1:10" ht="12.75" x14ac:dyDescent="0.2">
      <c r="A193" s="507" t="s">
        <v>463</v>
      </c>
      <c r="B193" s="507"/>
      <c r="C193" s="507"/>
      <c r="D193" s="507"/>
      <c r="E193" s="507"/>
      <c r="F193" s="507"/>
      <c r="G193" s="507"/>
      <c r="H193" s="507"/>
      <c r="I193" s="507"/>
      <c r="J193" s="507"/>
    </row>
    <row r="195" spans="1:10" x14ac:dyDescent="0.25">
      <c r="A195" s="3" t="s">
        <v>349</v>
      </c>
    </row>
  </sheetData>
  <mergeCells count="13">
    <mergeCell ref="A1:S1"/>
    <mergeCell ref="C2:D2"/>
    <mergeCell ref="G2:P2"/>
    <mergeCell ref="A5:A7"/>
    <mergeCell ref="B5:B7"/>
    <mergeCell ref="C5:S5"/>
    <mergeCell ref="C6:H6"/>
    <mergeCell ref="L6:Q6"/>
    <mergeCell ref="A192:S192"/>
    <mergeCell ref="A193:J193"/>
    <mergeCell ref="A189:S189"/>
    <mergeCell ref="A190:E190"/>
    <mergeCell ref="A191:O191"/>
  </mergeCells>
  <conditionalFormatting sqref="A167:A182">
    <cfRule type="cellIs" dxfId="5" priority="1" stopIfTrue="1" operator="equal">
      <formula>"x"</formula>
    </cfRule>
  </conditionalFormatting>
  <pageMargins left="0.74803149606299213" right="0.74803149606299213" top="0.98425196850393704" bottom="0.98425196850393704" header="0.51181102362204722" footer="0.51181102362204722"/>
  <pageSetup paperSize="9" scale="65"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8D006-5395-4DAB-92FD-6246DCD4577E}">
  <sheetPr codeName="Sheet20">
    <tabColor indexed="42"/>
  </sheetPr>
  <dimension ref="A1:S344"/>
  <sheetViews>
    <sheetView showGridLines="0" zoomScaleNormal="100" workbookViewId="0">
      <selection sqref="A1:H1"/>
    </sheetView>
  </sheetViews>
  <sheetFormatPr defaultRowHeight="12" x14ac:dyDescent="0.2"/>
  <cols>
    <col min="1" max="1" width="26.28515625" style="42" customWidth="1"/>
    <col min="2" max="2" width="8.7109375" style="42" customWidth="1"/>
    <col min="3" max="3" width="10.7109375" style="42" customWidth="1"/>
    <col min="4" max="4" width="1.7109375" style="42" customWidth="1"/>
    <col min="5" max="6" width="8.85546875" style="42" customWidth="1"/>
    <col min="7" max="7" width="1.7109375" style="42" customWidth="1"/>
    <col min="8" max="12" width="9.7109375" style="42" customWidth="1"/>
    <col min="13" max="13" width="1.7109375" style="42" customWidth="1"/>
    <col min="14" max="18" width="9.7109375" style="42" customWidth="1"/>
    <col min="19" max="256" width="11.42578125" style="42" customWidth="1"/>
    <col min="257" max="16384" width="9.140625" style="42"/>
  </cols>
  <sheetData>
    <row r="1" spans="1:19" ht="12.75" customHeight="1" x14ac:dyDescent="0.2">
      <c r="A1" s="461" t="s">
        <v>372</v>
      </c>
      <c r="B1" s="461"/>
      <c r="C1" s="461"/>
      <c r="D1" s="461"/>
      <c r="E1" s="461"/>
      <c r="F1" s="461"/>
      <c r="G1" s="461"/>
      <c r="H1" s="461"/>
    </row>
    <row r="2" spans="1:19" ht="12.75" customHeight="1" x14ac:dyDescent="0.2">
      <c r="A2" s="171" t="s">
        <v>434</v>
      </c>
      <c r="B2" s="185"/>
      <c r="C2" s="185"/>
      <c r="D2" s="160"/>
    </row>
    <row r="3" spans="1:19" ht="12.75" customHeight="1" x14ac:dyDescent="0.2">
      <c r="A3" s="1" t="s">
        <v>9</v>
      </c>
      <c r="B3" s="1"/>
      <c r="I3" s="8"/>
    </row>
    <row r="4" spans="1:19" ht="12.75" customHeight="1" x14ac:dyDescent="0.2">
      <c r="A4" s="1"/>
      <c r="B4" s="1"/>
      <c r="I4" s="45"/>
    </row>
    <row r="5" spans="1:19" s="2" customFormat="1" ht="11.25" customHeight="1" x14ac:dyDescent="0.2">
      <c r="A5" s="518" t="s">
        <v>378</v>
      </c>
      <c r="B5" s="518" t="s">
        <v>379</v>
      </c>
      <c r="C5" s="505" t="s">
        <v>365</v>
      </c>
      <c r="D5" s="163"/>
      <c r="E5" s="529" t="s">
        <v>350</v>
      </c>
      <c r="F5" s="529"/>
      <c r="G5" s="186"/>
      <c r="H5" s="529" t="s">
        <v>340</v>
      </c>
      <c r="I5" s="529"/>
      <c r="J5" s="529"/>
      <c r="K5" s="529"/>
      <c r="L5" s="529"/>
      <c r="M5" s="529"/>
      <c r="N5" s="529"/>
      <c r="O5" s="529"/>
      <c r="P5" s="529"/>
      <c r="Q5" s="529"/>
      <c r="R5" s="529"/>
    </row>
    <row r="6" spans="1:19" s="2" customFormat="1" ht="21.75" customHeight="1" x14ac:dyDescent="0.2">
      <c r="A6" s="519"/>
      <c r="B6" s="519"/>
      <c r="C6" s="528"/>
      <c r="D6" s="187"/>
      <c r="E6" s="528" t="s">
        <v>341</v>
      </c>
      <c r="F6" s="528" t="s">
        <v>342</v>
      </c>
      <c r="G6" s="187"/>
      <c r="H6" s="530" t="s">
        <v>343</v>
      </c>
      <c r="I6" s="530"/>
      <c r="J6" s="530"/>
      <c r="K6" s="530"/>
      <c r="L6" s="530"/>
      <c r="M6" s="187"/>
      <c r="N6" s="530" t="s">
        <v>351</v>
      </c>
      <c r="O6" s="530"/>
      <c r="P6" s="530"/>
      <c r="Q6" s="530"/>
      <c r="R6" s="530"/>
    </row>
    <row r="7" spans="1:19" s="2" customFormat="1" ht="24" customHeight="1" x14ac:dyDescent="0.2">
      <c r="A7" s="520"/>
      <c r="B7" s="520"/>
      <c r="C7" s="506"/>
      <c r="D7" s="164"/>
      <c r="E7" s="506"/>
      <c r="F7" s="506"/>
      <c r="G7" s="164"/>
      <c r="H7" s="164" t="s">
        <v>7</v>
      </c>
      <c r="I7" s="164" t="s">
        <v>8</v>
      </c>
      <c r="J7" s="164" t="s">
        <v>344</v>
      </c>
      <c r="K7" s="188" t="s">
        <v>345</v>
      </c>
      <c r="L7" s="164" t="s">
        <v>346</v>
      </c>
      <c r="M7" s="164"/>
      <c r="N7" s="164" t="s">
        <v>7</v>
      </c>
      <c r="O7" s="164" t="s">
        <v>8</v>
      </c>
      <c r="P7" s="164" t="s">
        <v>344</v>
      </c>
      <c r="Q7" s="188" t="s">
        <v>345</v>
      </c>
      <c r="R7" s="164" t="s">
        <v>346</v>
      </c>
    </row>
    <row r="8" spans="1:19" s="57" customFormat="1" ht="11.25" customHeight="1" x14ac:dyDescent="0.2">
      <c r="A8" s="69"/>
      <c r="B8" s="69"/>
      <c r="C8" s="70"/>
      <c r="D8" s="71"/>
      <c r="E8" s="72"/>
      <c r="F8" s="72"/>
      <c r="G8" s="73"/>
      <c r="H8" s="74"/>
      <c r="I8" s="74"/>
      <c r="J8" s="74"/>
      <c r="K8" s="74"/>
      <c r="L8" s="74"/>
      <c r="N8" s="75"/>
      <c r="O8" s="75"/>
      <c r="P8" s="75"/>
      <c r="Q8" s="75"/>
      <c r="R8" s="75"/>
    </row>
    <row r="9" spans="1:19" ht="11.25" customHeight="1" x14ac:dyDescent="0.2">
      <c r="A9" s="16" t="s">
        <v>380</v>
      </c>
      <c r="B9" s="17" t="s">
        <v>17</v>
      </c>
      <c r="C9" s="76">
        <v>28794</v>
      </c>
      <c r="E9" s="132">
        <v>32.9</v>
      </c>
      <c r="F9" s="132">
        <v>19.7</v>
      </c>
      <c r="H9" s="132">
        <v>96.2</v>
      </c>
      <c r="I9" s="132">
        <v>97.4</v>
      </c>
      <c r="J9" s="132">
        <v>57.1</v>
      </c>
      <c r="K9" s="132">
        <v>57.8</v>
      </c>
      <c r="L9" s="132">
        <v>41.8</v>
      </c>
      <c r="N9" s="132">
        <v>66.3</v>
      </c>
      <c r="O9" s="132">
        <v>69.3</v>
      </c>
      <c r="P9" s="132">
        <v>75</v>
      </c>
      <c r="Q9" s="132">
        <v>65</v>
      </c>
      <c r="R9" s="132">
        <v>63.3</v>
      </c>
      <c r="S9" s="80"/>
    </row>
    <row r="10" spans="1:19" ht="11.25" customHeight="1" x14ac:dyDescent="0.2">
      <c r="A10" s="125" t="s">
        <v>354</v>
      </c>
      <c r="B10" s="126" t="s">
        <v>20</v>
      </c>
      <c r="C10" s="131">
        <v>5469</v>
      </c>
      <c r="E10" s="133">
        <v>38.799999999999997</v>
      </c>
      <c r="F10" s="133">
        <v>21.1</v>
      </c>
      <c r="H10" s="133">
        <v>96.8</v>
      </c>
      <c r="I10" s="133">
        <v>98</v>
      </c>
      <c r="J10" s="133">
        <v>56.1</v>
      </c>
      <c r="K10" s="133">
        <v>59.5</v>
      </c>
      <c r="L10" s="133">
        <v>47.6</v>
      </c>
      <c r="N10" s="133">
        <v>70.7</v>
      </c>
      <c r="O10" s="133">
        <v>71</v>
      </c>
      <c r="P10" s="133">
        <v>77.599999999999994</v>
      </c>
      <c r="Q10" s="133">
        <v>65.5</v>
      </c>
      <c r="R10" s="133">
        <v>60.8</v>
      </c>
      <c r="S10" s="80"/>
    </row>
    <row r="11" spans="1:19" ht="11.25" customHeight="1" x14ac:dyDescent="0.2">
      <c r="A11" s="125" t="s">
        <v>18</v>
      </c>
      <c r="B11" s="126" t="s">
        <v>19</v>
      </c>
      <c r="C11" s="131">
        <v>1158</v>
      </c>
      <c r="E11" s="133">
        <v>29.4</v>
      </c>
      <c r="F11" s="133">
        <v>17.100000000000001</v>
      </c>
      <c r="H11" s="133">
        <v>97.1</v>
      </c>
      <c r="I11" s="133">
        <v>98</v>
      </c>
      <c r="J11" s="133">
        <v>53.1</v>
      </c>
      <c r="K11" s="133">
        <v>53.8</v>
      </c>
      <c r="L11" s="133">
        <v>43.5</v>
      </c>
      <c r="N11" s="133">
        <v>71.2</v>
      </c>
      <c r="O11" s="133">
        <v>72</v>
      </c>
      <c r="P11" s="133">
        <v>77.400000000000006</v>
      </c>
      <c r="Q11" s="133">
        <v>67.599999999999994</v>
      </c>
      <c r="R11" s="133">
        <v>62.9</v>
      </c>
      <c r="S11" s="80"/>
    </row>
    <row r="12" spans="1:19" ht="11.25" customHeight="1" x14ac:dyDescent="0.2">
      <c r="A12" s="125" t="s">
        <v>21</v>
      </c>
      <c r="B12" s="126" t="s">
        <v>22</v>
      </c>
      <c r="C12" s="131">
        <v>2175</v>
      </c>
      <c r="E12" s="133">
        <v>35.1</v>
      </c>
      <c r="F12" s="133">
        <v>24</v>
      </c>
      <c r="H12" s="133">
        <v>97</v>
      </c>
      <c r="I12" s="133">
        <v>97.8</v>
      </c>
      <c r="J12" s="133">
        <v>55</v>
      </c>
      <c r="K12" s="133">
        <v>61</v>
      </c>
      <c r="L12" s="133">
        <v>40.6</v>
      </c>
      <c r="N12" s="133">
        <v>69</v>
      </c>
      <c r="O12" s="133">
        <v>70.2</v>
      </c>
      <c r="P12" s="133">
        <v>80.5</v>
      </c>
      <c r="Q12" s="133">
        <v>66.8</v>
      </c>
      <c r="R12" s="133">
        <v>73.8</v>
      </c>
      <c r="S12" s="80"/>
    </row>
    <row r="13" spans="1:19" ht="11.25" customHeight="1" x14ac:dyDescent="0.2">
      <c r="A13" s="125" t="s">
        <v>23</v>
      </c>
      <c r="B13" s="126" t="s">
        <v>24</v>
      </c>
      <c r="C13" s="131">
        <v>1167</v>
      </c>
      <c r="E13" s="133">
        <v>36.5</v>
      </c>
      <c r="F13" s="133">
        <v>18.3</v>
      </c>
      <c r="H13" s="133">
        <v>97</v>
      </c>
      <c r="I13" s="133">
        <v>97.4</v>
      </c>
      <c r="J13" s="133">
        <v>65.3</v>
      </c>
      <c r="K13" s="133">
        <v>60.2</v>
      </c>
      <c r="L13" s="133">
        <v>39.6</v>
      </c>
      <c r="N13" s="133">
        <v>64.5</v>
      </c>
      <c r="O13" s="133">
        <v>71.900000000000006</v>
      </c>
      <c r="P13" s="133">
        <v>63.4</v>
      </c>
      <c r="Q13" s="133">
        <v>71.900000000000006</v>
      </c>
      <c r="R13" s="133">
        <v>53.2</v>
      </c>
      <c r="S13" s="80"/>
    </row>
    <row r="14" spans="1:19" ht="11.25" customHeight="1" x14ac:dyDescent="0.2">
      <c r="A14" s="125" t="s">
        <v>25</v>
      </c>
      <c r="B14" s="126" t="s">
        <v>26</v>
      </c>
      <c r="C14" s="131">
        <v>1510</v>
      </c>
      <c r="E14" s="133">
        <v>16.399999999999999</v>
      </c>
      <c r="F14" s="133">
        <v>10.5</v>
      </c>
      <c r="H14" s="133">
        <v>95</v>
      </c>
      <c r="I14" s="133">
        <v>96.5</v>
      </c>
      <c r="J14" s="133">
        <v>50.7</v>
      </c>
      <c r="K14" s="133">
        <v>38.5</v>
      </c>
      <c r="L14" s="133">
        <v>23.8</v>
      </c>
      <c r="N14" s="133">
        <v>58.4</v>
      </c>
      <c r="O14" s="133">
        <v>61.1</v>
      </c>
      <c r="P14" s="133">
        <v>67.2</v>
      </c>
      <c r="Q14" s="133">
        <v>68.5</v>
      </c>
      <c r="R14" s="133">
        <v>63.8</v>
      </c>
      <c r="S14" s="80"/>
    </row>
    <row r="15" spans="1:19" ht="11.25" customHeight="1" x14ac:dyDescent="0.2">
      <c r="A15" s="125" t="s">
        <v>27</v>
      </c>
      <c r="B15" s="126" t="s">
        <v>28</v>
      </c>
      <c r="C15" s="131">
        <v>2578</v>
      </c>
      <c r="E15" s="133">
        <v>30.2</v>
      </c>
      <c r="F15" s="133">
        <v>21.6</v>
      </c>
      <c r="H15" s="133">
        <v>95.7</v>
      </c>
      <c r="I15" s="133">
        <v>96.4</v>
      </c>
      <c r="J15" s="133">
        <v>49</v>
      </c>
      <c r="K15" s="133">
        <v>48.1</v>
      </c>
      <c r="L15" s="133">
        <v>42.7</v>
      </c>
      <c r="N15" s="133">
        <v>62.8</v>
      </c>
      <c r="O15" s="133">
        <v>69.5</v>
      </c>
      <c r="P15" s="133">
        <v>77.8</v>
      </c>
      <c r="Q15" s="133">
        <v>70.900000000000006</v>
      </c>
      <c r="R15" s="133">
        <v>69.7</v>
      </c>
      <c r="S15" s="80"/>
    </row>
    <row r="16" spans="1:19" ht="11.25" customHeight="1" x14ac:dyDescent="0.2">
      <c r="A16" s="125" t="s">
        <v>29</v>
      </c>
      <c r="B16" s="126" t="s">
        <v>30</v>
      </c>
      <c r="C16" s="131">
        <v>2151</v>
      </c>
      <c r="E16" s="133">
        <v>29.6</v>
      </c>
      <c r="F16" s="133">
        <v>21.6</v>
      </c>
      <c r="H16" s="133">
        <v>95.6</v>
      </c>
      <c r="I16" s="133">
        <v>97.7</v>
      </c>
      <c r="J16" s="133">
        <v>56.1</v>
      </c>
      <c r="K16" s="133">
        <v>67.8</v>
      </c>
      <c r="L16" s="133">
        <v>39.4</v>
      </c>
      <c r="N16" s="133">
        <v>71.5</v>
      </c>
      <c r="O16" s="133">
        <v>74</v>
      </c>
      <c r="P16" s="133">
        <v>84.2</v>
      </c>
      <c r="Q16" s="133">
        <v>67.7</v>
      </c>
      <c r="R16" s="133">
        <v>70.2</v>
      </c>
      <c r="S16" s="80"/>
    </row>
    <row r="17" spans="1:19" ht="11.25" customHeight="1" x14ac:dyDescent="0.2">
      <c r="A17" s="125" t="s">
        <v>31</v>
      </c>
      <c r="B17" s="126" t="s">
        <v>32</v>
      </c>
      <c r="C17" s="131">
        <v>3588</v>
      </c>
      <c r="E17" s="133">
        <v>33.9</v>
      </c>
      <c r="F17" s="133">
        <v>20.6</v>
      </c>
      <c r="H17" s="133">
        <v>95.9</v>
      </c>
      <c r="I17" s="133">
        <v>96.5</v>
      </c>
      <c r="J17" s="133">
        <v>67.3</v>
      </c>
      <c r="K17" s="133">
        <v>57.8</v>
      </c>
      <c r="L17" s="133">
        <v>44.6</v>
      </c>
      <c r="N17" s="133">
        <v>60.8</v>
      </c>
      <c r="O17" s="133">
        <v>67.599999999999994</v>
      </c>
      <c r="P17" s="133">
        <v>70.400000000000006</v>
      </c>
      <c r="Q17" s="133">
        <v>64.400000000000006</v>
      </c>
      <c r="R17" s="133">
        <v>61.1</v>
      </c>
      <c r="S17" s="80"/>
    </row>
    <row r="18" spans="1:19" ht="11.25" customHeight="1" x14ac:dyDescent="0.2">
      <c r="A18" s="125" t="s">
        <v>33</v>
      </c>
      <c r="B18" s="126" t="s">
        <v>34</v>
      </c>
      <c r="C18" s="131">
        <v>1846</v>
      </c>
      <c r="E18" s="133">
        <v>23.9</v>
      </c>
      <c r="F18" s="133">
        <v>14.9</v>
      </c>
      <c r="H18" s="133">
        <v>96</v>
      </c>
      <c r="I18" s="133">
        <v>97.1</v>
      </c>
      <c r="J18" s="133">
        <v>61.4</v>
      </c>
      <c r="K18" s="133">
        <v>54.5</v>
      </c>
      <c r="L18" s="133">
        <v>30.8</v>
      </c>
      <c r="N18" s="133">
        <v>62.8</v>
      </c>
      <c r="O18" s="133">
        <v>63.9</v>
      </c>
      <c r="P18" s="133">
        <v>69.099999999999994</v>
      </c>
      <c r="Q18" s="133">
        <v>62.3</v>
      </c>
      <c r="R18" s="133">
        <v>65.2</v>
      </c>
      <c r="S18" s="80"/>
    </row>
    <row r="19" spans="1:19" ht="11.25" customHeight="1" x14ac:dyDescent="0.2">
      <c r="A19" s="125" t="s">
        <v>35</v>
      </c>
      <c r="B19" s="126" t="s">
        <v>36</v>
      </c>
      <c r="C19" s="131">
        <v>1736</v>
      </c>
      <c r="E19" s="133">
        <v>32.1</v>
      </c>
      <c r="F19" s="133">
        <v>16.600000000000001</v>
      </c>
      <c r="H19" s="133">
        <v>97.5</v>
      </c>
      <c r="I19" s="133">
        <v>97.9</v>
      </c>
      <c r="J19" s="133">
        <v>54.8</v>
      </c>
      <c r="K19" s="133">
        <v>54.3</v>
      </c>
      <c r="L19" s="133">
        <v>39.9</v>
      </c>
      <c r="N19" s="133">
        <v>65.400000000000006</v>
      </c>
      <c r="O19" s="133">
        <v>70.7</v>
      </c>
      <c r="P19" s="133">
        <v>81.3</v>
      </c>
      <c r="Q19" s="133">
        <v>69.099999999999994</v>
      </c>
      <c r="R19" s="133">
        <v>53.3</v>
      </c>
      <c r="S19" s="80"/>
    </row>
    <row r="20" spans="1:19" ht="11.25" customHeight="1" x14ac:dyDescent="0.2">
      <c r="A20" s="125" t="s">
        <v>37</v>
      </c>
      <c r="B20" s="126" t="s">
        <v>38</v>
      </c>
      <c r="C20" s="131">
        <v>2182</v>
      </c>
      <c r="E20" s="133">
        <v>30.1</v>
      </c>
      <c r="F20" s="133">
        <v>19.600000000000001</v>
      </c>
      <c r="H20" s="133">
        <v>95.1</v>
      </c>
      <c r="I20" s="133">
        <v>96.2</v>
      </c>
      <c r="J20" s="133">
        <v>57.1</v>
      </c>
      <c r="K20" s="133">
        <v>66.2</v>
      </c>
      <c r="L20" s="133">
        <v>44.5</v>
      </c>
      <c r="N20" s="133">
        <v>63.4</v>
      </c>
      <c r="O20" s="133">
        <v>69.2</v>
      </c>
      <c r="P20" s="133">
        <v>73.2</v>
      </c>
      <c r="Q20" s="133">
        <v>60.8</v>
      </c>
      <c r="R20" s="133">
        <v>64</v>
      </c>
      <c r="S20" s="80"/>
    </row>
    <row r="21" spans="1:19" ht="11.25" customHeight="1" x14ac:dyDescent="0.2">
      <c r="A21" s="125" t="s">
        <v>39</v>
      </c>
      <c r="B21" s="126" t="s">
        <v>40</v>
      </c>
      <c r="C21" s="131">
        <v>3234</v>
      </c>
      <c r="E21" s="133">
        <v>40.200000000000003</v>
      </c>
      <c r="F21" s="133">
        <v>21.1</v>
      </c>
      <c r="H21" s="133">
        <v>95.9</v>
      </c>
      <c r="I21" s="133">
        <v>98.2</v>
      </c>
      <c r="J21" s="133">
        <v>56</v>
      </c>
      <c r="K21" s="133">
        <v>62.1</v>
      </c>
      <c r="L21" s="133">
        <v>44.9</v>
      </c>
      <c r="N21" s="133">
        <v>69.099999999999994</v>
      </c>
      <c r="O21" s="133">
        <v>68.5</v>
      </c>
      <c r="P21" s="133">
        <v>74</v>
      </c>
      <c r="Q21" s="133">
        <v>56</v>
      </c>
      <c r="R21" s="133">
        <v>62</v>
      </c>
      <c r="S21" s="80"/>
    </row>
    <row r="22" spans="1:19" ht="11.25" customHeight="1" x14ac:dyDescent="0.2">
      <c r="A22" s="3"/>
      <c r="B22" s="126"/>
      <c r="S22" s="80"/>
    </row>
    <row r="23" spans="1:19" ht="11.25" customHeight="1" x14ac:dyDescent="0.2">
      <c r="A23" s="16" t="s">
        <v>381</v>
      </c>
      <c r="B23" s="17" t="s">
        <v>41</v>
      </c>
      <c r="C23" s="76">
        <v>80245</v>
      </c>
      <c r="D23" s="1"/>
      <c r="E23" s="132">
        <v>35.5</v>
      </c>
      <c r="F23" s="132">
        <v>22.6</v>
      </c>
      <c r="G23" s="1"/>
      <c r="H23" s="132">
        <v>96.8</v>
      </c>
      <c r="I23" s="132">
        <v>97.7</v>
      </c>
      <c r="J23" s="132">
        <v>63.5</v>
      </c>
      <c r="K23" s="132">
        <v>58.5</v>
      </c>
      <c r="L23" s="132">
        <v>47.6</v>
      </c>
      <c r="M23" s="1"/>
      <c r="N23" s="132">
        <v>67.599999999999994</v>
      </c>
      <c r="O23" s="132">
        <v>70.8</v>
      </c>
      <c r="P23" s="132">
        <v>74.3</v>
      </c>
      <c r="Q23" s="132">
        <v>67.2</v>
      </c>
      <c r="R23" s="132">
        <v>69.2</v>
      </c>
      <c r="S23" s="80"/>
    </row>
    <row r="24" spans="1:19" ht="11.25" customHeight="1" x14ac:dyDescent="0.2">
      <c r="A24" s="125" t="s">
        <v>42</v>
      </c>
      <c r="B24" s="126" t="s">
        <v>43</v>
      </c>
      <c r="C24" s="131">
        <v>1781</v>
      </c>
      <c r="E24" s="133">
        <v>29.5</v>
      </c>
      <c r="F24" s="133">
        <v>17.7</v>
      </c>
      <c r="H24" s="133">
        <v>96.4</v>
      </c>
      <c r="I24" s="133">
        <v>97</v>
      </c>
      <c r="J24" s="133">
        <v>69.8</v>
      </c>
      <c r="K24" s="133">
        <v>55.2</v>
      </c>
      <c r="L24" s="133">
        <v>35.4</v>
      </c>
      <c r="N24" s="133">
        <v>67.3</v>
      </c>
      <c r="O24" s="133">
        <v>73</v>
      </c>
      <c r="P24" s="133">
        <v>71.7</v>
      </c>
      <c r="Q24" s="133">
        <v>65.599999999999994</v>
      </c>
      <c r="R24" s="133">
        <v>65.900000000000006</v>
      </c>
      <c r="S24" s="80"/>
    </row>
    <row r="25" spans="1:19" ht="11.25" customHeight="1" x14ac:dyDescent="0.2">
      <c r="A25" s="125" t="s">
        <v>44</v>
      </c>
      <c r="B25" s="126" t="s">
        <v>45</v>
      </c>
      <c r="C25" s="131">
        <v>1653</v>
      </c>
      <c r="E25" s="133">
        <v>22.6</v>
      </c>
      <c r="F25" s="133">
        <v>12.6</v>
      </c>
      <c r="H25" s="133">
        <v>95</v>
      </c>
      <c r="I25" s="133">
        <v>97.2</v>
      </c>
      <c r="J25" s="133">
        <v>64.400000000000006</v>
      </c>
      <c r="K25" s="133">
        <v>48.3</v>
      </c>
      <c r="L25" s="133">
        <v>33.6</v>
      </c>
      <c r="N25" s="133">
        <v>56.3</v>
      </c>
      <c r="O25" s="133">
        <v>58.1</v>
      </c>
      <c r="P25" s="133">
        <v>55.3</v>
      </c>
      <c r="Q25" s="133">
        <v>56.4</v>
      </c>
      <c r="R25" s="133">
        <v>62</v>
      </c>
      <c r="S25" s="80"/>
    </row>
    <row r="26" spans="1:19" ht="11.25" customHeight="1" x14ac:dyDescent="0.2">
      <c r="A26" s="125" t="s">
        <v>46</v>
      </c>
      <c r="B26" s="126" t="s">
        <v>47</v>
      </c>
      <c r="C26" s="131">
        <v>3522</v>
      </c>
      <c r="E26" s="133">
        <v>30.8</v>
      </c>
      <c r="F26" s="133">
        <v>18.3</v>
      </c>
      <c r="H26" s="133">
        <v>97.8</v>
      </c>
      <c r="I26" s="133">
        <v>98.4</v>
      </c>
      <c r="J26" s="133">
        <v>58.4</v>
      </c>
      <c r="K26" s="133">
        <v>56.7</v>
      </c>
      <c r="L26" s="133">
        <v>45.4</v>
      </c>
      <c r="N26" s="133">
        <v>67.099999999999994</v>
      </c>
      <c r="O26" s="133">
        <v>72.900000000000006</v>
      </c>
      <c r="P26" s="133">
        <v>79.3</v>
      </c>
      <c r="Q26" s="133">
        <v>63.7</v>
      </c>
      <c r="R26" s="133">
        <v>60.3</v>
      </c>
      <c r="S26" s="80"/>
    </row>
    <row r="27" spans="1:19" ht="11.25" customHeight="1" x14ac:dyDescent="0.2">
      <c r="A27" s="125" t="s">
        <v>48</v>
      </c>
      <c r="B27" s="126" t="s">
        <v>49</v>
      </c>
      <c r="C27" s="131">
        <v>2199</v>
      </c>
      <c r="E27" s="133">
        <v>38</v>
      </c>
      <c r="F27" s="133">
        <v>25.6</v>
      </c>
      <c r="H27" s="133">
        <v>97.9</v>
      </c>
      <c r="I27" s="133">
        <v>98.5</v>
      </c>
      <c r="J27" s="133">
        <v>67.599999999999994</v>
      </c>
      <c r="K27" s="133">
        <v>66.2</v>
      </c>
      <c r="L27" s="133">
        <v>58.1</v>
      </c>
      <c r="N27" s="133">
        <v>69.3</v>
      </c>
      <c r="O27" s="133">
        <v>74.7</v>
      </c>
      <c r="P27" s="133">
        <v>77.900000000000006</v>
      </c>
      <c r="Q27" s="133">
        <v>66.3</v>
      </c>
      <c r="R27" s="133">
        <v>68.599999999999994</v>
      </c>
      <c r="S27" s="80"/>
    </row>
    <row r="28" spans="1:19" ht="11.25" customHeight="1" x14ac:dyDescent="0.2">
      <c r="A28" s="125" t="s">
        <v>50</v>
      </c>
      <c r="B28" s="126" t="s">
        <v>51</v>
      </c>
      <c r="C28" s="131">
        <v>4108</v>
      </c>
      <c r="E28" s="133">
        <v>37.200000000000003</v>
      </c>
      <c r="F28" s="133">
        <v>24.9</v>
      </c>
      <c r="H28" s="133">
        <v>97.7</v>
      </c>
      <c r="I28" s="133">
        <v>99.2</v>
      </c>
      <c r="J28" s="133">
        <v>70.2</v>
      </c>
      <c r="K28" s="133">
        <v>66.099999999999994</v>
      </c>
      <c r="L28" s="133">
        <v>48.3</v>
      </c>
      <c r="N28" s="133">
        <v>68.5</v>
      </c>
      <c r="O28" s="133">
        <v>74.099999999999994</v>
      </c>
      <c r="P28" s="133">
        <v>75</v>
      </c>
      <c r="Q28" s="133">
        <v>72.2</v>
      </c>
      <c r="R28" s="133">
        <v>71.5</v>
      </c>
      <c r="S28" s="80"/>
    </row>
    <row r="29" spans="1:19" ht="11.25" customHeight="1" x14ac:dyDescent="0.2">
      <c r="A29" s="125" t="s">
        <v>52</v>
      </c>
      <c r="B29" s="126" t="s">
        <v>53</v>
      </c>
      <c r="C29" s="131">
        <v>3835</v>
      </c>
      <c r="E29" s="133">
        <v>32.1</v>
      </c>
      <c r="F29" s="133">
        <v>22.4</v>
      </c>
      <c r="H29" s="133">
        <v>97.1</v>
      </c>
      <c r="I29" s="133">
        <v>97.9</v>
      </c>
      <c r="J29" s="133">
        <v>64.8</v>
      </c>
      <c r="K29" s="133">
        <v>56.4</v>
      </c>
      <c r="L29" s="133">
        <v>46.9</v>
      </c>
      <c r="N29" s="133">
        <v>71.3</v>
      </c>
      <c r="O29" s="133">
        <v>72</v>
      </c>
      <c r="P29" s="133">
        <v>72.900000000000006</v>
      </c>
      <c r="Q29" s="133">
        <v>70.599999999999994</v>
      </c>
      <c r="R29" s="133">
        <v>74.3</v>
      </c>
      <c r="S29" s="80"/>
    </row>
    <row r="30" spans="1:19" ht="11.25" customHeight="1" x14ac:dyDescent="0.2">
      <c r="A30" s="125" t="s">
        <v>54</v>
      </c>
      <c r="B30" s="126" t="s">
        <v>55</v>
      </c>
      <c r="C30" s="131">
        <v>5736</v>
      </c>
      <c r="E30" s="133">
        <v>30.7</v>
      </c>
      <c r="F30" s="133">
        <v>20.8</v>
      </c>
      <c r="H30" s="133">
        <v>96.6</v>
      </c>
      <c r="I30" s="133">
        <v>97.2</v>
      </c>
      <c r="J30" s="133">
        <v>68.099999999999994</v>
      </c>
      <c r="K30" s="133">
        <v>59.6</v>
      </c>
      <c r="L30" s="133">
        <v>37.299999999999997</v>
      </c>
      <c r="N30" s="133">
        <v>65</v>
      </c>
      <c r="O30" s="133">
        <v>67.7</v>
      </c>
      <c r="P30" s="133">
        <v>72.7</v>
      </c>
      <c r="Q30" s="133">
        <v>68.900000000000006</v>
      </c>
      <c r="R30" s="133">
        <v>70.900000000000006</v>
      </c>
      <c r="S30" s="80"/>
    </row>
    <row r="31" spans="1:19" ht="11.25" customHeight="1" x14ac:dyDescent="0.2">
      <c r="A31" s="125" t="s">
        <v>56</v>
      </c>
      <c r="B31" s="126" t="s">
        <v>57</v>
      </c>
      <c r="C31" s="131">
        <v>1428</v>
      </c>
      <c r="E31" s="133">
        <v>45</v>
      </c>
      <c r="F31" s="133">
        <v>23.6</v>
      </c>
      <c r="H31" s="133">
        <v>96.1</v>
      </c>
      <c r="I31" s="133">
        <v>98</v>
      </c>
      <c r="J31" s="133">
        <v>52.5</v>
      </c>
      <c r="K31" s="133">
        <v>68</v>
      </c>
      <c r="L31" s="133">
        <v>55.1</v>
      </c>
      <c r="N31" s="133">
        <v>71.7</v>
      </c>
      <c r="O31" s="133">
        <v>70</v>
      </c>
      <c r="P31" s="133">
        <v>72.8</v>
      </c>
      <c r="Q31" s="133">
        <v>55.4</v>
      </c>
      <c r="R31" s="133">
        <v>66.5</v>
      </c>
      <c r="S31" s="80"/>
    </row>
    <row r="32" spans="1:19" ht="11.25" customHeight="1" x14ac:dyDescent="0.2">
      <c r="A32" s="125" t="s">
        <v>58</v>
      </c>
      <c r="B32" s="126" t="s">
        <v>59</v>
      </c>
      <c r="C32" s="131">
        <v>1391</v>
      </c>
      <c r="E32" s="133">
        <v>19.3</v>
      </c>
      <c r="F32" s="133">
        <v>10.4</v>
      </c>
      <c r="H32" s="133">
        <v>94.7</v>
      </c>
      <c r="I32" s="133">
        <v>94.5</v>
      </c>
      <c r="J32" s="133">
        <v>34.700000000000003</v>
      </c>
      <c r="K32" s="133">
        <v>43.6</v>
      </c>
      <c r="L32" s="133">
        <v>36.799999999999997</v>
      </c>
      <c r="N32" s="133">
        <v>54.3</v>
      </c>
      <c r="O32" s="133">
        <v>55</v>
      </c>
      <c r="P32" s="133">
        <v>70.5</v>
      </c>
      <c r="Q32" s="133">
        <v>47.3</v>
      </c>
      <c r="R32" s="133">
        <v>54.5</v>
      </c>
      <c r="S32" s="80"/>
    </row>
    <row r="33" spans="1:19" ht="11.25" customHeight="1" x14ac:dyDescent="0.2">
      <c r="A33" s="125" t="s">
        <v>60</v>
      </c>
      <c r="B33" s="126" t="s">
        <v>61</v>
      </c>
      <c r="C33" s="131">
        <v>13231</v>
      </c>
      <c r="E33" s="133">
        <v>38.299999999999997</v>
      </c>
      <c r="F33" s="133">
        <v>24.5</v>
      </c>
      <c r="H33" s="133">
        <v>96.5</v>
      </c>
      <c r="I33" s="133">
        <v>97.4</v>
      </c>
      <c r="J33" s="133">
        <v>66.900000000000006</v>
      </c>
      <c r="K33" s="133">
        <v>60.7</v>
      </c>
      <c r="L33" s="133">
        <v>49.6</v>
      </c>
      <c r="N33" s="133">
        <v>68.099999999999994</v>
      </c>
      <c r="O33" s="133">
        <v>72.8</v>
      </c>
      <c r="P33" s="133">
        <v>74.5</v>
      </c>
      <c r="Q33" s="133">
        <v>69.5</v>
      </c>
      <c r="R33" s="133">
        <v>67.3</v>
      </c>
      <c r="S33" s="80"/>
    </row>
    <row r="34" spans="1:19" ht="11.25" customHeight="1" x14ac:dyDescent="0.2">
      <c r="A34" s="125" t="s">
        <v>62</v>
      </c>
      <c r="B34" s="126" t="s">
        <v>63</v>
      </c>
      <c r="C34" s="131">
        <v>5102</v>
      </c>
      <c r="E34" s="133">
        <v>34.799999999999997</v>
      </c>
      <c r="F34" s="133">
        <v>21.2</v>
      </c>
      <c r="H34" s="133">
        <v>95.6</v>
      </c>
      <c r="I34" s="133">
        <v>96.9</v>
      </c>
      <c r="J34" s="133">
        <v>54.7</v>
      </c>
      <c r="K34" s="133">
        <v>51.9</v>
      </c>
      <c r="L34" s="133">
        <v>49</v>
      </c>
      <c r="N34" s="133">
        <v>65.2</v>
      </c>
      <c r="O34" s="133">
        <v>65.2</v>
      </c>
      <c r="P34" s="133">
        <v>70.400000000000006</v>
      </c>
      <c r="Q34" s="133">
        <v>64.099999999999994</v>
      </c>
      <c r="R34" s="133">
        <v>71.599999999999994</v>
      </c>
      <c r="S34" s="80"/>
    </row>
    <row r="35" spans="1:19" ht="11.25" customHeight="1" x14ac:dyDescent="0.2">
      <c r="A35" s="125" t="s">
        <v>64</v>
      </c>
      <c r="B35" s="126" t="s">
        <v>65</v>
      </c>
      <c r="C35" s="131">
        <v>4510</v>
      </c>
      <c r="E35" s="133">
        <v>31.9</v>
      </c>
      <c r="F35" s="133">
        <v>19.2</v>
      </c>
      <c r="H35" s="133">
        <v>95.3</v>
      </c>
      <c r="I35" s="133">
        <v>96.4</v>
      </c>
      <c r="J35" s="133">
        <v>52.1</v>
      </c>
      <c r="K35" s="133">
        <v>51.1</v>
      </c>
      <c r="L35" s="133">
        <v>44.3</v>
      </c>
      <c r="N35" s="133">
        <v>61.4</v>
      </c>
      <c r="O35" s="133">
        <v>63.3</v>
      </c>
      <c r="P35" s="133">
        <v>71.099999999999994</v>
      </c>
      <c r="Q35" s="133">
        <v>63.7</v>
      </c>
      <c r="R35" s="133">
        <v>69.8</v>
      </c>
      <c r="S35" s="80"/>
    </row>
    <row r="36" spans="1:19" ht="11.25" customHeight="1" x14ac:dyDescent="0.2">
      <c r="A36" s="125" t="s">
        <v>66</v>
      </c>
      <c r="B36" s="126" t="s">
        <v>67</v>
      </c>
      <c r="C36" s="131">
        <v>3101</v>
      </c>
      <c r="E36" s="133">
        <v>24.2</v>
      </c>
      <c r="F36" s="133">
        <v>14.4</v>
      </c>
      <c r="H36" s="133">
        <v>96.9</v>
      </c>
      <c r="I36" s="133">
        <v>97.8</v>
      </c>
      <c r="J36" s="133">
        <v>59.9</v>
      </c>
      <c r="K36" s="133">
        <v>50.3</v>
      </c>
      <c r="L36" s="133">
        <v>32.799999999999997</v>
      </c>
      <c r="N36" s="133">
        <v>63.6</v>
      </c>
      <c r="O36" s="133">
        <v>69.7</v>
      </c>
      <c r="P36" s="133">
        <v>72.099999999999994</v>
      </c>
      <c r="Q36" s="133">
        <v>61.8</v>
      </c>
      <c r="R36" s="133">
        <v>63.9</v>
      </c>
      <c r="S36" s="80"/>
    </row>
    <row r="37" spans="1:19" ht="11.25" customHeight="1" x14ac:dyDescent="0.2">
      <c r="A37" s="125" t="s">
        <v>68</v>
      </c>
      <c r="B37" s="126" t="s">
        <v>69</v>
      </c>
      <c r="C37" s="131">
        <v>2435</v>
      </c>
      <c r="E37" s="133">
        <v>34.700000000000003</v>
      </c>
      <c r="F37" s="133">
        <v>18</v>
      </c>
      <c r="H37" s="133">
        <v>96.8</v>
      </c>
      <c r="I37" s="133">
        <v>97.5</v>
      </c>
      <c r="J37" s="133">
        <v>60.9</v>
      </c>
      <c r="K37" s="133">
        <v>55.6</v>
      </c>
      <c r="L37" s="133">
        <v>51.4</v>
      </c>
      <c r="N37" s="133">
        <v>64.5</v>
      </c>
      <c r="O37" s="133">
        <v>68.099999999999994</v>
      </c>
      <c r="P37" s="133">
        <v>77.599999999999994</v>
      </c>
      <c r="Q37" s="133">
        <v>62.3</v>
      </c>
      <c r="R37" s="133">
        <v>61.6</v>
      </c>
      <c r="S37" s="80"/>
    </row>
    <row r="38" spans="1:19" ht="11.25" customHeight="1" x14ac:dyDescent="0.2">
      <c r="A38" s="125" t="s">
        <v>70</v>
      </c>
      <c r="B38" s="126" t="s">
        <v>71</v>
      </c>
      <c r="C38" s="131">
        <v>2238</v>
      </c>
      <c r="E38" s="133">
        <v>30.9</v>
      </c>
      <c r="F38" s="133">
        <v>17.100000000000001</v>
      </c>
      <c r="H38" s="133">
        <v>95.6</v>
      </c>
      <c r="I38" s="133">
        <v>97.1</v>
      </c>
      <c r="J38" s="133">
        <v>51.4</v>
      </c>
      <c r="K38" s="133">
        <v>52.1</v>
      </c>
      <c r="L38" s="133">
        <v>44.1</v>
      </c>
      <c r="N38" s="133">
        <v>65.5</v>
      </c>
      <c r="O38" s="133">
        <v>65.400000000000006</v>
      </c>
      <c r="P38" s="133">
        <v>67</v>
      </c>
      <c r="Q38" s="133">
        <v>58.3</v>
      </c>
      <c r="R38" s="133">
        <v>67.3</v>
      </c>
      <c r="S38" s="80"/>
    </row>
    <row r="39" spans="1:19" ht="11.25" customHeight="1" x14ac:dyDescent="0.2">
      <c r="A39" s="125" t="s">
        <v>72</v>
      </c>
      <c r="B39" s="126" t="s">
        <v>73</v>
      </c>
      <c r="C39" s="131">
        <v>3481</v>
      </c>
      <c r="E39" s="133">
        <v>37.299999999999997</v>
      </c>
      <c r="F39" s="133">
        <v>23.9</v>
      </c>
      <c r="H39" s="133">
        <v>98.1</v>
      </c>
      <c r="I39" s="133">
        <v>98.2</v>
      </c>
      <c r="J39" s="133">
        <v>59.7</v>
      </c>
      <c r="K39" s="133">
        <v>62</v>
      </c>
      <c r="L39" s="133">
        <v>50.5</v>
      </c>
      <c r="N39" s="133">
        <v>69.3</v>
      </c>
      <c r="O39" s="133">
        <v>72.3</v>
      </c>
      <c r="P39" s="133">
        <v>76.5</v>
      </c>
      <c r="Q39" s="133">
        <v>67.8</v>
      </c>
      <c r="R39" s="133">
        <v>75.599999999999994</v>
      </c>
      <c r="S39" s="80"/>
    </row>
    <row r="40" spans="1:19" ht="11.25" customHeight="1" x14ac:dyDescent="0.2">
      <c r="A40" s="125" t="s">
        <v>74</v>
      </c>
      <c r="B40" s="126" t="s">
        <v>75</v>
      </c>
      <c r="C40" s="131">
        <v>1942</v>
      </c>
      <c r="E40" s="133">
        <v>28.2</v>
      </c>
      <c r="F40" s="133">
        <v>17.899999999999999</v>
      </c>
      <c r="H40" s="133">
        <v>97</v>
      </c>
      <c r="I40" s="133">
        <v>98</v>
      </c>
      <c r="J40" s="133">
        <v>52.2</v>
      </c>
      <c r="K40" s="133">
        <v>53.8</v>
      </c>
      <c r="L40" s="133">
        <v>43.5</v>
      </c>
      <c r="N40" s="133">
        <v>62.1</v>
      </c>
      <c r="O40" s="133">
        <v>68.5</v>
      </c>
      <c r="P40" s="133">
        <v>80.7</v>
      </c>
      <c r="Q40" s="133">
        <v>66.599999999999994</v>
      </c>
      <c r="R40" s="133">
        <v>64.099999999999994</v>
      </c>
      <c r="S40" s="80"/>
    </row>
    <row r="41" spans="1:19" ht="11.25" customHeight="1" x14ac:dyDescent="0.2">
      <c r="A41" s="125" t="s">
        <v>76</v>
      </c>
      <c r="B41" s="126" t="s">
        <v>77</v>
      </c>
      <c r="C41" s="131">
        <v>2984</v>
      </c>
      <c r="E41" s="133">
        <v>44.3</v>
      </c>
      <c r="F41" s="133">
        <v>28.9</v>
      </c>
      <c r="H41" s="133">
        <v>97.5</v>
      </c>
      <c r="I41" s="133">
        <v>97.7</v>
      </c>
      <c r="J41" s="133">
        <v>70.099999999999994</v>
      </c>
      <c r="K41" s="133">
        <v>65.599999999999994</v>
      </c>
      <c r="L41" s="133">
        <v>53.6</v>
      </c>
      <c r="N41" s="133">
        <v>71.8</v>
      </c>
      <c r="O41" s="133">
        <v>77.3</v>
      </c>
      <c r="P41" s="133">
        <v>78.400000000000006</v>
      </c>
      <c r="Q41" s="133">
        <v>71.2</v>
      </c>
      <c r="R41" s="133">
        <v>70.900000000000006</v>
      </c>
      <c r="S41" s="80"/>
    </row>
    <row r="42" spans="1:19" ht="11.25" customHeight="1" x14ac:dyDescent="0.2">
      <c r="A42" s="125" t="s">
        <v>78</v>
      </c>
      <c r="B42" s="126" t="s">
        <v>79</v>
      </c>
      <c r="C42" s="131">
        <v>2708</v>
      </c>
      <c r="E42" s="133">
        <v>35.6</v>
      </c>
      <c r="F42" s="133">
        <v>19.600000000000001</v>
      </c>
      <c r="H42" s="133">
        <v>96.7</v>
      </c>
      <c r="I42" s="133">
        <v>97.5</v>
      </c>
      <c r="J42" s="133">
        <v>64.099999999999994</v>
      </c>
      <c r="K42" s="133">
        <v>57</v>
      </c>
      <c r="L42" s="133">
        <v>48.2</v>
      </c>
      <c r="N42" s="133">
        <v>68.400000000000006</v>
      </c>
      <c r="O42" s="133">
        <v>69.7</v>
      </c>
      <c r="P42" s="133">
        <v>67.900000000000006</v>
      </c>
      <c r="Q42" s="133">
        <v>62</v>
      </c>
      <c r="R42" s="133">
        <v>57.9</v>
      </c>
      <c r="S42" s="80"/>
    </row>
    <row r="43" spans="1:19" ht="11.25" customHeight="1" x14ac:dyDescent="0.2">
      <c r="A43" s="125" t="s">
        <v>80</v>
      </c>
      <c r="B43" s="126" t="s">
        <v>81</v>
      </c>
      <c r="C43" s="131">
        <v>2913</v>
      </c>
      <c r="E43" s="133">
        <v>45.3</v>
      </c>
      <c r="F43" s="133">
        <v>36.4</v>
      </c>
      <c r="H43" s="133">
        <v>98</v>
      </c>
      <c r="I43" s="133">
        <v>98.9</v>
      </c>
      <c r="J43" s="133">
        <v>74.7</v>
      </c>
      <c r="K43" s="133">
        <v>65.8</v>
      </c>
      <c r="L43" s="133">
        <v>59.3</v>
      </c>
      <c r="N43" s="133">
        <v>75.5</v>
      </c>
      <c r="O43" s="133">
        <v>81</v>
      </c>
      <c r="P43" s="133">
        <v>86.8</v>
      </c>
      <c r="Q43" s="133">
        <v>78.099999999999994</v>
      </c>
      <c r="R43" s="133">
        <v>80.599999999999994</v>
      </c>
      <c r="S43" s="80"/>
    </row>
    <row r="44" spans="1:19" ht="11.25" customHeight="1" x14ac:dyDescent="0.2">
      <c r="A44" s="125" t="s">
        <v>82</v>
      </c>
      <c r="B44" s="126" t="s">
        <v>83</v>
      </c>
      <c r="C44" s="131">
        <v>2455</v>
      </c>
      <c r="E44" s="133">
        <v>46</v>
      </c>
      <c r="F44" s="133">
        <v>27.6</v>
      </c>
      <c r="H44" s="133">
        <v>98</v>
      </c>
      <c r="I44" s="133">
        <v>98.4</v>
      </c>
      <c r="J44" s="133">
        <v>77.8</v>
      </c>
      <c r="K44" s="133">
        <v>65.2</v>
      </c>
      <c r="L44" s="133">
        <v>52.9</v>
      </c>
      <c r="N44" s="133">
        <v>74.400000000000006</v>
      </c>
      <c r="O44" s="133">
        <v>75.099999999999994</v>
      </c>
      <c r="P44" s="133">
        <v>67.5</v>
      </c>
      <c r="Q44" s="133">
        <v>71</v>
      </c>
      <c r="R44" s="133">
        <v>69.5</v>
      </c>
      <c r="S44" s="80"/>
    </row>
    <row r="45" spans="1:19" ht="11.25" customHeight="1" x14ac:dyDescent="0.2">
      <c r="A45" s="125" t="s">
        <v>84</v>
      </c>
      <c r="B45" s="126" t="s">
        <v>85</v>
      </c>
      <c r="C45" s="131">
        <v>3763</v>
      </c>
      <c r="E45" s="133">
        <v>39.799999999999997</v>
      </c>
      <c r="F45" s="133">
        <v>24.4</v>
      </c>
      <c r="H45" s="133">
        <v>98.1</v>
      </c>
      <c r="I45" s="133">
        <v>98.4</v>
      </c>
      <c r="J45" s="133">
        <v>72.2</v>
      </c>
      <c r="K45" s="133">
        <v>58.4</v>
      </c>
      <c r="L45" s="133">
        <v>53.4</v>
      </c>
      <c r="N45" s="133">
        <v>72.8</v>
      </c>
      <c r="O45" s="133">
        <v>72.400000000000006</v>
      </c>
      <c r="P45" s="133">
        <v>72.400000000000006</v>
      </c>
      <c r="Q45" s="133">
        <v>67.2</v>
      </c>
      <c r="R45" s="133">
        <v>69.599999999999994</v>
      </c>
      <c r="S45" s="80"/>
    </row>
    <row r="46" spans="1:19" ht="11.25" customHeight="1" x14ac:dyDescent="0.2">
      <c r="A46" s="125" t="s">
        <v>86</v>
      </c>
      <c r="B46" s="126" t="s">
        <v>87</v>
      </c>
      <c r="C46" s="131">
        <v>3729</v>
      </c>
      <c r="E46" s="133">
        <v>42</v>
      </c>
      <c r="F46" s="133">
        <v>31.8</v>
      </c>
      <c r="H46" s="133">
        <v>96.9</v>
      </c>
      <c r="I46" s="133">
        <v>98.1</v>
      </c>
      <c r="J46" s="133">
        <v>64.599999999999994</v>
      </c>
      <c r="K46" s="133">
        <v>62.6</v>
      </c>
      <c r="L46" s="133">
        <v>56</v>
      </c>
      <c r="N46" s="133">
        <v>72.400000000000006</v>
      </c>
      <c r="O46" s="133">
        <v>75.7</v>
      </c>
      <c r="P46" s="133">
        <v>84.3</v>
      </c>
      <c r="Q46" s="133">
        <v>71.3</v>
      </c>
      <c r="R46" s="133">
        <v>78.7</v>
      </c>
      <c r="S46" s="80"/>
    </row>
    <row r="47" spans="1:19" ht="11.25" customHeight="1" x14ac:dyDescent="0.2">
      <c r="A47" s="3"/>
      <c r="B47" s="126"/>
      <c r="S47" s="80"/>
    </row>
    <row r="48" spans="1:19" ht="11.25" customHeight="1" x14ac:dyDescent="0.2">
      <c r="A48" s="16" t="s">
        <v>382</v>
      </c>
      <c r="B48" s="17" t="s">
        <v>88</v>
      </c>
      <c r="C48" s="76">
        <v>58261</v>
      </c>
      <c r="D48" s="1"/>
      <c r="E48" s="132">
        <v>31.2</v>
      </c>
      <c r="F48" s="132">
        <v>19.899999999999999</v>
      </c>
      <c r="G48" s="1"/>
      <c r="H48" s="132">
        <v>97.2</v>
      </c>
      <c r="I48" s="132">
        <v>98</v>
      </c>
      <c r="J48" s="132">
        <v>62.6</v>
      </c>
      <c r="K48" s="132">
        <v>55.6</v>
      </c>
      <c r="L48" s="132">
        <v>42.1</v>
      </c>
      <c r="M48" s="1"/>
      <c r="N48" s="132">
        <v>67</v>
      </c>
      <c r="O48" s="132">
        <v>69.8</v>
      </c>
      <c r="P48" s="132">
        <v>71</v>
      </c>
      <c r="Q48" s="132">
        <v>66</v>
      </c>
      <c r="R48" s="132">
        <v>67.5</v>
      </c>
      <c r="S48" s="80"/>
    </row>
    <row r="49" spans="1:19" ht="11.25" customHeight="1" x14ac:dyDescent="0.2">
      <c r="A49" s="125" t="s">
        <v>89</v>
      </c>
      <c r="B49" s="126" t="s">
        <v>90</v>
      </c>
      <c r="C49" s="131">
        <v>2556</v>
      </c>
      <c r="E49" s="133">
        <v>19.8</v>
      </c>
      <c r="F49" s="133">
        <v>11.3</v>
      </c>
      <c r="H49" s="133">
        <v>98.1</v>
      </c>
      <c r="I49" s="133">
        <v>98.5</v>
      </c>
      <c r="J49" s="133">
        <v>59.8</v>
      </c>
      <c r="K49" s="133">
        <v>54.8</v>
      </c>
      <c r="L49" s="133">
        <v>26.6</v>
      </c>
      <c r="N49" s="133">
        <v>57.5</v>
      </c>
      <c r="O49" s="133">
        <v>60.3</v>
      </c>
      <c r="P49" s="133">
        <v>56.2</v>
      </c>
      <c r="Q49" s="133">
        <v>54.7</v>
      </c>
      <c r="R49" s="133">
        <v>67.2</v>
      </c>
      <c r="S49" s="80"/>
    </row>
    <row r="50" spans="1:19" ht="11.25" customHeight="1" x14ac:dyDescent="0.2">
      <c r="A50" s="125" t="s">
        <v>91</v>
      </c>
      <c r="B50" s="126" t="s">
        <v>92</v>
      </c>
      <c r="C50" s="131">
        <v>5620</v>
      </c>
      <c r="E50" s="133">
        <v>27.5</v>
      </c>
      <c r="F50" s="133">
        <v>17.2</v>
      </c>
      <c r="H50" s="133">
        <v>97.4</v>
      </c>
      <c r="I50" s="133">
        <v>97.4</v>
      </c>
      <c r="J50" s="133">
        <v>54.2</v>
      </c>
      <c r="K50" s="133">
        <v>50</v>
      </c>
      <c r="L50" s="133">
        <v>42.5</v>
      </c>
      <c r="N50" s="133">
        <v>61.9</v>
      </c>
      <c r="O50" s="133">
        <v>63.9</v>
      </c>
      <c r="P50" s="133">
        <v>71.2</v>
      </c>
      <c r="Q50" s="133">
        <v>61.5</v>
      </c>
      <c r="R50" s="133">
        <v>64.8</v>
      </c>
      <c r="S50" s="80"/>
    </row>
    <row r="51" spans="1:19" ht="11.25" customHeight="1" x14ac:dyDescent="0.2">
      <c r="A51" s="125" t="s">
        <v>93</v>
      </c>
      <c r="B51" s="126" t="s">
        <v>94</v>
      </c>
      <c r="C51" s="131">
        <v>2606</v>
      </c>
      <c r="E51" s="133">
        <v>35.9</v>
      </c>
      <c r="F51" s="133">
        <v>24.6</v>
      </c>
      <c r="H51" s="133">
        <v>97.9</v>
      </c>
      <c r="I51" s="133">
        <v>98.9</v>
      </c>
      <c r="J51" s="133">
        <v>65.400000000000006</v>
      </c>
      <c r="K51" s="133">
        <v>60.4</v>
      </c>
      <c r="L51" s="133">
        <v>43.6</v>
      </c>
      <c r="N51" s="133">
        <v>72.3</v>
      </c>
      <c r="O51" s="133">
        <v>75</v>
      </c>
      <c r="P51" s="133">
        <v>77.099999999999994</v>
      </c>
      <c r="Q51" s="133">
        <v>70.3</v>
      </c>
      <c r="R51" s="133">
        <v>74</v>
      </c>
      <c r="S51" s="80"/>
    </row>
    <row r="52" spans="1:19" ht="11.25" customHeight="1" x14ac:dyDescent="0.2">
      <c r="A52" s="125" t="s">
        <v>95</v>
      </c>
      <c r="B52" s="126" t="s">
        <v>96</v>
      </c>
      <c r="C52" s="131">
        <v>3437</v>
      </c>
      <c r="E52" s="133">
        <v>24.3</v>
      </c>
      <c r="F52" s="133">
        <v>14.4</v>
      </c>
      <c r="H52" s="133">
        <v>96.2</v>
      </c>
      <c r="I52" s="133">
        <v>97.5</v>
      </c>
      <c r="J52" s="133">
        <v>58.3</v>
      </c>
      <c r="K52" s="133">
        <v>50.7</v>
      </c>
      <c r="L52" s="133">
        <v>32.299999999999997</v>
      </c>
      <c r="N52" s="133">
        <v>65.2</v>
      </c>
      <c r="O52" s="133">
        <v>66.5</v>
      </c>
      <c r="P52" s="133">
        <v>67.400000000000006</v>
      </c>
      <c r="Q52" s="133">
        <v>61.7</v>
      </c>
      <c r="R52" s="133">
        <v>64</v>
      </c>
      <c r="S52" s="80"/>
    </row>
    <row r="53" spans="1:19" ht="11.25" customHeight="1" x14ac:dyDescent="0.2">
      <c r="A53" s="125" t="s">
        <v>97</v>
      </c>
      <c r="B53" s="126" t="s">
        <v>98</v>
      </c>
      <c r="C53" s="131">
        <v>3881</v>
      </c>
      <c r="E53" s="133">
        <v>35.6</v>
      </c>
      <c r="F53" s="133">
        <v>22.3</v>
      </c>
      <c r="H53" s="133">
        <v>98.2</v>
      </c>
      <c r="I53" s="133">
        <v>98.7</v>
      </c>
      <c r="J53" s="133">
        <v>70.599999999999994</v>
      </c>
      <c r="K53" s="133">
        <v>64.2</v>
      </c>
      <c r="L53" s="133">
        <v>44.9</v>
      </c>
      <c r="N53" s="133">
        <v>69.099999999999994</v>
      </c>
      <c r="O53" s="133">
        <v>72.400000000000006</v>
      </c>
      <c r="P53" s="133">
        <v>70.7</v>
      </c>
      <c r="Q53" s="133">
        <v>68.400000000000006</v>
      </c>
      <c r="R53" s="133">
        <v>67.400000000000006</v>
      </c>
      <c r="S53" s="80"/>
    </row>
    <row r="54" spans="1:19" ht="11.25" customHeight="1" x14ac:dyDescent="0.2">
      <c r="A54" s="125" t="s">
        <v>99</v>
      </c>
      <c r="B54" s="126" t="s">
        <v>100</v>
      </c>
      <c r="C54" s="131">
        <v>2458</v>
      </c>
      <c r="E54" s="133">
        <v>25.5</v>
      </c>
      <c r="F54" s="133">
        <v>13.1</v>
      </c>
      <c r="H54" s="133">
        <v>96.3</v>
      </c>
      <c r="I54" s="133">
        <v>97.9</v>
      </c>
      <c r="J54" s="133">
        <v>42.8</v>
      </c>
      <c r="K54" s="133">
        <v>52</v>
      </c>
      <c r="L54" s="133">
        <v>37.5</v>
      </c>
      <c r="N54" s="133">
        <v>58.5</v>
      </c>
      <c r="O54" s="133">
        <v>60.9</v>
      </c>
      <c r="P54" s="133">
        <v>67.8</v>
      </c>
      <c r="Q54" s="133">
        <v>45.4</v>
      </c>
      <c r="R54" s="133">
        <v>59.4</v>
      </c>
      <c r="S54" s="80"/>
    </row>
    <row r="55" spans="1:19" ht="11.25" customHeight="1" x14ac:dyDescent="0.2">
      <c r="A55" s="125" t="s">
        <v>101</v>
      </c>
      <c r="B55" s="126" t="s">
        <v>102</v>
      </c>
      <c r="C55" s="131">
        <v>4637</v>
      </c>
      <c r="E55" s="133">
        <v>34.9</v>
      </c>
      <c r="F55" s="133">
        <v>21.9</v>
      </c>
      <c r="H55" s="133">
        <v>98.2</v>
      </c>
      <c r="I55" s="133">
        <v>98.6</v>
      </c>
      <c r="J55" s="133">
        <v>70.7</v>
      </c>
      <c r="K55" s="133">
        <v>59.8</v>
      </c>
      <c r="L55" s="133">
        <v>46.2</v>
      </c>
      <c r="N55" s="133">
        <v>70.599999999999994</v>
      </c>
      <c r="O55" s="133">
        <v>72.5</v>
      </c>
      <c r="P55" s="133">
        <v>69.2</v>
      </c>
      <c r="Q55" s="133">
        <v>61.9</v>
      </c>
      <c r="R55" s="133">
        <v>69.099999999999994</v>
      </c>
      <c r="S55" s="80"/>
    </row>
    <row r="56" spans="1:19" ht="11.25" customHeight="1" x14ac:dyDescent="0.2">
      <c r="A56" s="125" t="s">
        <v>103</v>
      </c>
      <c r="B56" s="126" t="s">
        <v>104</v>
      </c>
      <c r="C56" s="131">
        <v>7823</v>
      </c>
      <c r="E56" s="133">
        <v>30.5</v>
      </c>
      <c r="F56" s="133">
        <v>19.100000000000001</v>
      </c>
      <c r="H56" s="133">
        <v>97.3</v>
      </c>
      <c r="I56" s="133">
        <v>97.8</v>
      </c>
      <c r="J56" s="133">
        <v>62.6</v>
      </c>
      <c r="K56" s="133">
        <v>53.3</v>
      </c>
      <c r="L56" s="133">
        <v>41.6</v>
      </c>
      <c r="N56" s="133">
        <v>63.6</v>
      </c>
      <c r="O56" s="133">
        <v>68.3</v>
      </c>
      <c r="P56" s="133">
        <v>69.7</v>
      </c>
      <c r="Q56" s="133">
        <v>67.8</v>
      </c>
      <c r="R56" s="133">
        <v>67.5</v>
      </c>
      <c r="S56" s="80"/>
    </row>
    <row r="57" spans="1:19" ht="11.25" customHeight="1" x14ac:dyDescent="0.2">
      <c r="A57" s="125" t="s">
        <v>105</v>
      </c>
      <c r="B57" s="126" t="s">
        <v>106</v>
      </c>
      <c r="C57" s="131">
        <v>1845</v>
      </c>
      <c r="E57" s="133">
        <v>26.9</v>
      </c>
      <c r="F57" s="133">
        <v>16.899999999999999</v>
      </c>
      <c r="H57" s="133">
        <v>96.3</v>
      </c>
      <c r="I57" s="133">
        <v>97.6</v>
      </c>
      <c r="J57" s="133">
        <v>46.5</v>
      </c>
      <c r="K57" s="133">
        <v>50.8</v>
      </c>
      <c r="L57" s="133">
        <v>35.1</v>
      </c>
      <c r="N57" s="133">
        <v>66</v>
      </c>
      <c r="O57" s="133">
        <v>68.5</v>
      </c>
      <c r="P57" s="133">
        <v>80.3</v>
      </c>
      <c r="Q57" s="133">
        <v>59.4</v>
      </c>
      <c r="R57" s="133">
        <v>61.9</v>
      </c>
      <c r="S57" s="80"/>
    </row>
    <row r="58" spans="1:19" ht="11.25" customHeight="1" x14ac:dyDescent="0.2">
      <c r="A58" s="125" t="s">
        <v>107</v>
      </c>
      <c r="B58" s="126" t="s">
        <v>108</v>
      </c>
      <c r="C58" s="131">
        <v>1945</v>
      </c>
      <c r="E58" s="133">
        <v>33.9</v>
      </c>
      <c r="F58" s="133">
        <v>19.399999999999999</v>
      </c>
      <c r="H58" s="133">
        <v>98.4</v>
      </c>
      <c r="I58" s="133">
        <v>98.5</v>
      </c>
      <c r="J58" s="133">
        <v>55</v>
      </c>
      <c r="K58" s="133">
        <v>55.9</v>
      </c>
      <c r="L58" s="133">
        <v>45.8</v>
      </c>
      <c r="N58" s="133">
        <v>61.7</v>
      </c>
      <c r="O58" s="133">
        <v>72.5</v>
      </c>
      <c r="P58" s="133">
        <v>76.099999999999994</v>
      </c>
      <c r="Q58" s="133">
        <v>67.900000000000006</v>
      </c>
      <c r="R58" s="133">
        <v>57.8</v>
      </c>
      <c r="S58" s="80"/>
    </row>
    <row r="59" spans="1:19" ht="11.25" customHeight="1" x14ac:dyDescent="0.2">
      <c r="A59" s="125" t="s">
        <v>109</v>
      </c>
      <c r="B59" s="126" t="s">
        <v>110</v>
      </c>
      <c r="C59" s="131">
        <v>6780</v>
      </c>
      <c r="E59" s="133">
        <v>40.200000000000003</v>
      </c>
      <c r="F59" s="133">
        <v>29</v>
      </c>
      <c r="H59" s="133">
        <v>97.2</v>
      </c>
      <c r="I59" s="133">
        <v>98.3</v>
      </c>
      <c r="J59" s="133">
        <v>75.900000000000006</v>
      </c>
      <c r="K59" s="133">
        <v>65</v>
      </c>
      <c r="L59" s="133">
        <v>50.6</v>
      </c>
      <c r="N59" s="133">
        <v>71</v>
      </c>
      <c r="O59" s="133">
        <v>76.7</v>
      </c>
      <c r="P59" s="133">
        <v>74.400000000000006</v>
      </c>
      <c r="Q59" s="133">
        <v>72.900000000000006</v>
      </c>
      <c r="R59" s="133">
        <v>76.599999999999994</v>
      </c>
      <c r="S59" s="80"/>
    </row>
    <row r="60" spans="1:19" ht="11.25" customHeight="1" x14ac:dyDescent="0.2">
      <c r="A60" s="125" t="s">
        <v>111</v>
      </c>
      <c r="B60" s="126" t="s">
        <v>112</v>
      </c>
      <c r="C60" s="131">
        <v>3496</v>
      </c>
      <c r="E60" s="133">
        <v>29.4</v>
      </c>
      <c r="F60" s="133">
        <v>19.100000000000001</v>
      </c>
      <c r="H60" s="133">
        <v>96.2</v>
      </c>
      <c r="I60" s="133">
        <v>97.5</v>
      </c>
      <c r="J60" s="133">
        <v>62.4</v>
      </c>
      <c r="K60" s="133">
        <v>50.3</v>
      </c>
      <c r="L60" s="133">
        <v>40.200000000000003</v>
      </c>
      <c r="N60" s="133">
        <v>71</v>
      </c>
      <c r="O60" s="133">
        <v>71.099999999999994</v>
      </c>
      <c r="P60" s="133">
        <v>73.099999999999994</v>
      </c>
      <c r="Q60" s="133">
        <v>73.900000000000006</v>
      </c>
      <c r="R60" s="133">
        <v>65.400000000000006</v>
      </c>
      <c r="S60" s="80"/>
    </row>
    <row r="61" spans="1:19" ht="11.25" customHeight="1" x14ac:dyDescent="0.2">
      <c r="A61" s="125" t="s">
        <v>113</v>
      </c>
      <c r="B61" s="126" t="s">
        <v>114</v>
      </c>
      <c r="C61" s="131">
        <v>5529</v>
      </c>
      <c r="E61" s="133">
        <v>31.6</v>
      </c>
      <c r="F61" s="133">
        <v>19</v>
      </c>
      <c r="H61" s="133">
        <v>95.8</v>
      </c>
      <c r="I61" s="133">
        <v>96.9</v>
      </c>
      <c r="J61" s="133">
        <v>64.900000000000006</v>
      </c>
      <c r="K61" s="133">
        <v>51.8</v>
      </c>
      <c r="L61" s="133">
        <v>41.8</v>
      </c>
      <c r="N61" s="133">
        <v>65.7</v>
      </c>
      <c r="O61" s="133">
        <v>67.599999999999994</v>
      </c>
      <c r="P61" s="133">
        <v>64.3</v>
      </c>
      <c r="Q61" s="133">
        <v>67.900000000000006</v>
      </c>
      <c r="R61" s="133">
        <v>64.599999999999994</v>
      </c>
      <c r="S61" s="80"/>
    </row>
    <row r="62" spans="1:19" ht="11.25" customHeight="1" x14ac:dyDescent="0.2">
      <c r="A62" s="125" t="s">
        <v>115</v>
      </c>
      <c r="B62" s="126" t="s">
        <v>116</v>
      </c>
      <c r="C62" s="131">
        <v>3922</v>
      </c>
      <c r="E62" s="133">
        <v>24.9</v>
      </c>
      <c r="F62" s="133">
        <v>17</v>
      </c>
      <c r="H62" s="133">
        <v>97.6</v>
      </c>
      <c r="I62" s="133">
        <v>98.3</v>
      </c>
      <c r="J62" s="133">
        <v>52.9</v>
      </c>
      <c r="K62" s="133">
        <v>50.9</v>
      </c>
      <c r="L62" s="133">
        <v>36.5</v>
      </c>
      <c r="N62" s="133">
        <v>73.900000000000006</v>
      </c>
      <c r="O62" s="133">
        <v>73.400000000000006</v>
      </c>
      <c r="P62" s="133">
        <v>79.3</v>
      </c>
      <c r="Q62" s="133">
        <v>66.400000000000006</v>
      </c>
      <c r="R62" s="133">
        <v>70.8</v>
      </c>
      <c r="S62" s="80"/>
    </row>
    <row r="63" spans="1:19" ht="11.25" customHeight="1" x14ac:dyDescent="0.2">
      <c r="A63" s="125" t="s">
        <v>117</v>
      </c>
      <c r="B63" s="126" t="s">
        <v>118</v>
      </c>
      <c r="C63" s="131">
        <v>1726</v>
      </c>
      <c r="E63" s="133">
        <v>40.6</v>
      </c>
      <c r="F63" s="133">
        <v>26.4</v>
      </c>
      <c r="H63" s="133">
        <v>98.4</v>
      </c>
      <c r="I63" s="133">
        <v>98.6</v>
      </c>
      <c r="J63" s="133">
        <v>75.8</v>
      </c>
      <c r="K63" s="133">
        <v>62.7</v>
      </c>
      <c r="L63" s="133">
        <v>59.3</v>
      </c>
      <c r="N63" s="133">
        <v>76.8</v>
      </c>
      <c r="O63" s="133">
        <v>75.7</v>
      </c>
      <c r="P63" s="133">
        <v>75</v>
      </c>
      <c r="Q63" s="133">
        <v>73.5</v>
      </c>
      <c r="R63" s="133">
        <v>60.2</v>
      </c>
      <c r="S63" s="80"/>
    </row>
    <row r="64" spans="1:19" ht="11.25" customHeight="1" x14ac:dyDescent="0.2">
      <c r="A64" s="3"/>
      <c r="B64" s="126"/>
      <c r="S64" s="80"/>
    </row>
    <row r="65" spans="1:19" ht="11.25" customHeight="1" x14ac:dyDescent="0.2">
      <c r="A65" s="16" t="s">
        <v>385</v>
      </c>
      <c r="B65" s="17" t="s">
        <v>119</v>
      </c>
      <c r="C65" s="76">
        <v>50186</v>
      </c>
      <c r="D65" s="1"/>
      <c r="E65" s="132">
        <v>33.9</v>
      </c>
      <c r="F65" s="132">
        <v>20.9</v>
      </c>
      <c r="G65" s="1"/>
      <c r="H65" s="132">
        <v>96.8</v>
      </c>
      <c r="I65" s="132">
        <v>97.6</v>
      </c>
      <c r="J65" s="132">
        <v>65.2</v>
      </c>
      <c r="K65" s="132">
        <v>58</v>
      </c>
      <c r="L65" s="132">
        <v>46.8</v>
      </c>
      <c r="M65" s="1"/>
      <c r="N65" s="132">
        <v>66.7</v>
      </c>
      <c r="O65" s="132">
        <v>70.599999999999994</v>
      </c>
      <c r="P65" s="132">
        <v>71.099999999999994</v>
      </c>
      <c r="Q65" s="132">
        <v>65.5</v>
      </c>
      <c r="R65" s="132">
        <v>66.3</v>
      </c>
      <c r="S65" s="80"/>
    </row>
    <row r="66" spans="1:19" ht="11.25" customHeight="1" x14ac:dyDescent="0.2">
      <c r="A66" s="125" t="s">
        <v>120</v>
      </c>
      <c r="B66" s="126" t="s">
        <v>121</v>
      </c>
      <c r="C66" s="131">
        <v>2942</v>
      </c>
      <c r="E66" s="133">
        <v>30.1</v>
      </c>
      <c r="F66" s="133">
        <v>21.1</v>
      </c>
      <c r="H66" s="133">
        <v>96.4</v>
      </c>
      <c r="I66" s="133">
        <v>97.1</v>
      </c>
      <c r="J66" s="133">
        <v>59.7</v>
      </c>
      <c r="K66" s="133">
        <v>54.4</v>
      </c>
      <c r="L66" s="133">
        <v>44.3</v>
      </c>
      <c r="N66" s="133">
        <v>63.1</v>
      </c>
      <c r="O66" s="133">
        <v>67.900000000000006</v>
      </c>
      <c r="P66" s="133">
        <v>73.2</v>
      </c>
      <c r="Q66" s="133">
        <v>66.099999999999994</v>
      </c>
      <c r="R66" s="133">
        <v>68.900000000000006</v>
      </c>
      <c r="S66" s="80"/>
    </row>
    <row r="67" spans="1:19" ht="11.25" customHeight="1" x14ac:dyDescent="0.2">
      <c r="A67" s="125" t="s">
        <v>122</v>
      </c>
      <c r="B67" s="126" t="s">
        <v>123</v>
      </c>
      <c r="C67" s="131">
        <v>8384</v>
      </c>
      <c r="E67" s="133">
        <v>27.8</v>
      </c>
      <c r="F67" s="133">
        <v>18.2</v>
      </c>
      <c r="H67" s="133">
        <v>97.4</v>
      </c>
      <c r="I67" s="133">
        <v>98.1</v>
      </c>
      <c r="J67" s="133">
        <v>65.400000000000006</v>
      </c>
      <c r="K67" s="133">
        <v>57.8</v>
      </c>
      <c r="L67" s="133">
        <v>39.4</v>
      </c>
      <c r="N67" s="133">
        <v>65</v>
      </c>
      <c r="O67" s="133">
        <v>73.3</v>
      </c>
      <c r="P67" s="133">
        <v>71.2</v>
      </c>
      <c r="Q67" s="133">
        <v>67.5</v>
      </c>
      <c r="R67" s="133">
        <v>69.099999999999994</v>
      </c>
      <c r="S67" s="80"/>
    </row>
    <row r="68" spans="1:19" ht="11.25" customHeight="1" x14ac:dyDescent="0.2">
      <c r="A68" s="125" t="s">
        <v>124</v>
      </c>
      <c r="B68" s="126" t="s">
        <v>125</v>
      </c>
      <c r="C68" s="131">
        <v>3478</v>
      </c>
      <c r="E68" s="133">
        <v>34.9</v>
      </c>
      <c r="F68" s="133">
        <v>21</v>
      </c>
      <c r="H68" s="133">
        <v>94.6</v>
      </c>
      <c r="I68" s="133">
        <v>96.4</v>
      </c>
      <c r="J68" s="133">
        <v>65</v>
      </c>
      <c r="K68" s="133">
        <v>53.5</v>
      </c>
      <c r="L68" s="133">
        <v>49.7</v>
      </c>
      <c r="N68" s="133">
        <v>63.1</v>
      </c>
      <c r="O68" s="133">
        <v>65</v>
      </c>
      <c r="P68" s="133">
        <v>71.2</v>
      </c>
      <c r="Q68" s="133">
        <v>65.099999999999994</v>
      </c>
      <c r="R68" s="133">
        <v>67.5</v>
      </c>
      <c r="S68" s="80"/>
    </row>
    <row r="69" spans="1:19" ht="11.25" customHeight="1" x14ac:dyDescent="0.2">
      <c r="A69" s="125" t="s">
        <v>126</v>
      </c>
      <c r="B69" s="126" t="s">
        <v>127</v>
      </c>
      <c r="C69" s="131">
        <v>7275</v>
      </c>
      <c r="E69" s="133">
        <v>25.5</v>
      </c>
      <c r="F69" s="133">
        <v>16.5</v>
      </c>
      <c r="H69" s="133">
        <v>97.6</v>
      </c>
      <c r="I69" s="133">
        <v>97.7</v>
      </c>
      <c r="J69" s="133">
        <v>69.7</v>
      </c>
      <c r="K69" s="133">
        <v>46.4</v>
      </c>
      <c r="L69" s="133">
        <v>44.1</v>
      </c>
      <c r="N69" s="133">
        <v>68.400000000000006</v>
      </c>
      <c r="O69" s="133">
        <v>69.7</v>
      </c>
      <c r="P69" s="133">
        <v>74</v>
      </c>
      <c r="Q69" s="133">
        <v>66</v>
      </c>
      <c r="R69" s="133">
        <v>64.3</v>
      </c>
      <c r="S69" s="80"/>
    </row>
    <row r="70" spans="1:19" ht="11.25" customHeight="1" x14ac:dyDescent="0.2">
      <c r="A70" s="125" t="s">
        <v>128</v>
      </c>
      <c r="B70" s="126" t="s">
        <v>129</v>
      </c>
      <c r="C70" s="131">
        <v>8274</v>
      </c>
      <c r="E70" s="133">
        <v>44.9</v>
      </c>
      <c r="F70" s="133">
        <v>27.2</v>
      </c>
      <c r="H70" s="133">
        <v>97</v>
      </c>
      <c r="I70" s="133">
        <v>97.8</v>
      </c>
      <c r="J70" s="133">
        <v>71.5</v>
      </c>
      <c r="K70" s="133">
        <v>63.9</v>
      </c>
      <c r="L70" s="133">
        <v>56</v>
      </c>
      <c r="N70" s="133">
        <v>68</v>
      </c>
      <c r="O70" s="133">
        <v>73.599999999999994</v>
      </c>
      <c r="P70" s="133">
        <v>67.8</v>
      </c>
      <c r="Q70" s="133">
        <v>70.2</v>
      </c>
      <c r="R70" s="133">
        <v>66.400000000000006</v>
      </c>
      <c r="S70" s="80"/>
    </row>
    <row r="71" spans="1:19" ht="11.25" customHeight="1" x14ac:dyDescent="0.2">
      <c r="A71" s="125" t="s">
        <v>130</v>
      </c>
      <c r="B71" s="126" t="s">
        <v>131</v>
      </c>
      <c r="C71" s="131">
        <v>7972</v>
      </c>
      <c r="E71" s="133">
        <v>36.700000000000003</v>
      </c>
      <c r="F71" s="133">
        <v>20.9</v>
      </c>
      <c r="H71" s="133">
        <v>96.4</v>
      </c>
      <c r="I71" s="133">
        <v>97.4</v>
      </c>
      <c r="J71" s="133">
        <v>68.5</v>
      </c>
      <c r="K71" s="133">
        <v>64.3</v>
      </c>
      <c r="L71" s="133">
        <v>48.8</v>
      </c>
      <c r="N71" s="133">
        <v>67</v>
      </c>
      <c r="O71" s="133">
        <v>69.2</v>
      </c>
      <c r="P71" s="133">
        <v>65.599999999999994</v>
      </c>
      <c r="Q71" s="133">
        <v>60.5</v>
      </c>
      <c r="R71" s="133">
        <v>64.099999999999994</v>
      </c>
      <c r="S71" s="80"/>
    </row>
    <row r="72" spans="1:19" ht="11.25" customHeight="1" x14ac:dyDescent="0.2">
      <c r="A72" s="125" t="s">
        <v>132</v>
      </c>
      <c r="B72" s="126" t="s">
        <v>133</v>
      </c>
      <c r="C72" s="131">
        <v>2719</v>
      </c>
      <c r="E72" s="133">
        <v>26.9</v>
      </c>
      <c r="F72" s="133">
        <v>14.9</v>
      </c>
      <c r="H72" s="133">
        <v>93.6</v>
      </c>
      <c r="I72" s="133">
        <v>95.5</v>
      </c>
      <c r="J72" s="133">
        <v>46.6</v>
      </c>
      <c r="K72" s="133">
        <v>45.8</v>
      </c>
      <c r="L72" s="133">
        <v>42.2</v>
      </c>
      <c r="N72" s="133">
        <v>59.2</v>
      </c>
      <c r="O72" s="133">
        <v>60.5</v>
      </c>
      <c r="P72" s="133">
        <v>72.2</v>
      </c>
      <c r="Q72" s="133">
        <v>55.9</v>
      </c>
      <c r="R72" s="133">
        <v>63</v>
      </c>
      <c r="S72" s="80"/>
    </row>
    <row r="73" spans="1:19" ht="11.25" customHeight="1" x14ac:dyDescent="0.2">
      <c r="A73" s="125" t="s">
        <v>134</v>
      </c>
      <c r="B73" s="126" t="s">
        <v>135</v>
      </c>
      <c r="C73" s="131">
        <v>8669</v>
      </c>
      <c r="E73" s="133">
        <v>36</v>
      </c>
      <c r="F73" s="133">
        <v>22.7</v>
      </c>
      <c r="H73" s="133">
        <v>97.3</v>
      </c>
      <c r="I73" s="133">
        <v>98.2</v>
      </c>
      <c r="J73" s="133">
        <v>58.9</v>
      </c>
      <c r="K73" s="133">
        <v>62.3</v>
      </c>
      <c r="L73" s="133">
        <v>46.4</v>
      </c>
      <c r="N73" s="133">
        <v>69.900000000000006</v>
      </c>
      <c r="O73" s="133">
        <v>72.5</v>
      </c>
      <c r="P73" s="133">
        <v>76.2</v>
      </c>
      <c r="Q73" s="133">
        <v>65.400000000000006</v>
      </c>
      <c r="R73" s="133">
        <v>66.8</v>
      </c>
      <c r="S73" s="80"/>
    </row>
    <row r="74" spans="1:19" ht="11.25" customHeight="1" x14ac:dyDescent="0.2">
      <c r="A74" s="125" t="s">
        <v>136</v>
      </c>
      <c r="B74" s="126" t="s">
        <v>137</v>
      </c>
      <c r="C74" s="131">
        <v>473</v>
      </c>
      <c r="E74" s="133">
        <v>49.9</v>
      </c>
      <c r="F74" s="133">
        <v>29.8</v>
      </c>
      <c r="H74" s="133">
        <v>99.6</v>
      </c>
      <c r="I74" s="133">
        <v>99.6</v>
      </c>
      <c r="J74" s="133">
        <v>83.7</v>
      </c>
      <c r="K74" s="133">
        <v>77.599999999999994</v>
      </c>
      <c r="L74" s="133">
        <v>54.5</v>
      </c>
      <c r="N74" s="133">
        <v>71</v>
      </c>
      <c r="O74" s="133">
        <v>83.7</v>
      </c>
      <c r="P74" s="133">
        <v>80.099999999999994</v>
      </c>
      <c r="Q74" s="133">
        <v>68.7</v>
      </c>
      <c r="R74" s="133">
        <v>69</v>
      </c>
      <c r="S74" s="80"/>
    </row>
    <row r="75" spans="1:19" ht="11.25" customHeight="1" x14ac:dyDescent="0.2">
      <c r="A75" s="3"/>
      <c r="B75" s="126"/>
      <c r="S75" s="80"/>
    </row>
    <row r="76" spans="1:19" ht="11.25" customHeight="1" x14ac:dyDescent="0.2">
      <c r="A76" s="17" t="s">
        <v>386</v>
      </c>
      <c r="B76" s="17" t="s">
        <v>138</v>
      </c>
      <c r="C76" s="76">
        <v>64430</v>
      </c>
      <c r="D76" s="1"/>
      <c r="E76" s="132">
        <v>31.6</v>
      </c>
      <c r="F76" s="132">
        <v>19.7</v>
      </c>
      <c r="G76" s="1"/>
      <c r="H76" s="132">
        <v>96.6</v>
      </c>
      <c r="I76" s="132">
        <v>97.6</v>
      </c>
      <c r="J76" s="132">
        <v>63.5</v>
      </c>
      <c r="K76" s="132">
        <v>58.1</v>
      </c>
      <c r="L76" s="132">
        <v>43.6</v>
      </c>
      <c r="M76" s="1"/>
      <c r="N76" s="132">
        <v>67.900000000000006</v>
      </c>
      <c r="O76" s="132">
        <v>70.099999999999994</v>
      </c>
      <c r="P76" s="132">
        <v>72.400000000000006</v>
      </c>
      <c r="Q76" s="132">
        <v>65.8</v>
      </c>
      <c r="R76" s="132">
        <v>66.7</v>
      </c>
      <c r="S76" s="80"/>
    </row>
    <row r="77" spans="1:19" ht="11.25" customHeight="1" x14ac:dyDescent="0.2">
      <c r="A77" s="125" t="s">
        <v>139</v>
      </c>
      <c r="B77" s="126" t="s">
        <v>140</v>
      </c>
      <c r="C77" s="131">
        <v>12461</v>
      </c>
      <c r="E77" s="133">
        <v>33.4</v>
      </c>
      <c r="F77" s="133">
        <v>21.7</v>
      </c>
      <c r="H77" s="133">
        <v>96</v>
      </c>
      <c r="I77" s="133">
        <v>97.5</v>
      </c>
      <c r="J77" s="133">
        <v>58.2</v>
      </c>
      <c r="K77" s="133">
        <v>61.2</v>
      </c>
      <c r="L77" s="133">
        <v>47.3</v>
      </c>
      <c r="N77" s="133">
        <v>67.599999999999994</v>
      </c>
      <c r="O77" s="133">
        <v>70.599999999999994</v>
      </c>
      <c r="P77" s="133">
        <v>75.099999999999994</v>
      </c>
      <c r="Q77" s="133">
        <v>66.7</v>
      </c>
      <c r="R77" s="133">
        <v>71.2</v>
      </c>
      <c r="S77" s="80"/>
    </row>
    <row r="78" spans="1:19" ht="11.25" customHeight="1" x14ac:dyDescent="0.2">
      <c r="A78" s="125" t="s">
        <v>141</v>
      </c>
      <c r="B78" s="126" t="s">
        <v>142</v>
      </c>
      <c r="C78" s="131">
        <v>3588</v>
      </c>
      <c r="E78" s="133">
        <v>32.5</v>
      </c>
      <c r="F78" s="133">
        <v>18.100000000000001</v>
      </c>
      <c r="H78" s="133">
        <v>96.2</v>
      </c>
      <c r="I78" s="133">
        <v>97.7</v>
      </c>
      <c r="J78" s="133">
        <v>65.900000000000006</v>
      </c>
      <c r="K78" s="133">
        <v>54.3</v>
      </c>
      <c r="L78" s="133">
        <v>46.3</v>
      </c>
      <c r="N78" s="133">
        <v>64.7</v>
      </c>
      <c r="O78" s="133">
        <v>68.099999999999994</v>
      </c>
      <c r="P78" s="133">
        <v>63.3</v>
      </c>
      <c r="Q78" s="133">
        <v>60.4</v>
      </c>
      <c r="R78" s="133">
        <v>62.4</v>
      </c>
      <c r="S78" s="80"/>
    </row>
    <row r="79" spans="1:19" ht="11.25" customHeight="1" x14ac:dyDescent="0.2">
      <c r="A79" s="125" t="s">
        <v>143</v>
      </c>
      <c r="B79" s="126" t="s">
        <v>144</v>
      </c>
      <c r="C79" s="131">
        <v>3929</v>
      </c>
      <c r="E79" s="133">
        <v>27.6</v>
      </c>
      <c r="F79" s="133">
        <v>16.600000000000001</v>
      </c>
      <c r="H79" s="133">
        <v>96.8</v>
      </c>
      <c r="I79" s="133">
        <v>97.6</v>
      </c>
      <c r="J79" s="133">
        <v>68.3</v>
      </c>
      <c r="K79" s="133">
        <v>52.9</v>
      </c>
      <c r="L79" s="133">
        <v>43.4</v>
      </c>
      <c r="N79" s="133">
        <v>67.8</v>
      </c>
      <c r="O79" s="133">
        <v>69.2</v>
      </c>
      <c r="P79" s="133">
        <v>71.3</v>
      </c>
      <c r="Q79" s="133">
        <v>66.2</v>
      </c>
      <c r="R79" s="133">
        <v>63.6</v>
      </c>
      <c r="S79" s="80"/>
    </row>
    <row r="80" spans="1:19" ht="11.25" customHeight="1" x14ac:dyDescent="0.2">
      <c r="A80" s="125" t="s">
        <v>355</v>
      </c>
      <c r="B80" s="126" t="s">
        <v>145</v>
      </c>
      <c r="C80" s="131">
        <v>1825</v>
      </c>
      <c r="E80" s="133">
        <v>38.5</v>
      </c>
      <c r="F80" s="133">
        <v>22.7</v>
      </c>
      <c r="H80" s="133">
        <v>95.8</v>
      </c>
      <c r="I80" s="133">
        <v>97.1</v>
      </c>
      <c r="J80" s="133">
        <v>67.5</v>
      </c>
      <c r="K80" s="133">
        <v>62.5</v>
      </c>
      <c r="L80" s="133">
        <v>51</v>
      </c>
      <c r="N80" s="133">
        <v>63.3</v>
      </c>
      <c r="O80" s="133">
        <v>68.400000000000006</v>
      </c>
      <c r="P80" s="133">
        <v>75.2</v>
      </c>
      <c r="Q80" s="133">
        <v>65.5</v>
      </c>
      <c r="R80" s="133">
        <v>63.8</v>
      </c>
      <c r="S80" s="80"/>
    </row>
    <row r="81" spans="1:19" ht="11.25" customHeight="1" x14ac:dyDescent="0.2">
      <c r="A81" s="125" t="s">
        <v>146</v>
      </c>
      <c r="B81" s="126" t="s">
        <v>147</v>
      </c>
      <c r="C81" s="131">
        <v>3668</v>
      </c>
      <c r="E81" s="133">
        <v>17.2</v>
      </c>
      <c r="F81" s="133">
        <v>9.1</v>
      </c>
      <c r="H81" s="133">
        <v>97.2</v>
      </c>
      <c r="I81" s="133">
        <v>98.1</v>
      </c>
      <c r="J81" s="133">
        <v>55.8</v>
      </c>
      <c r="K81" s="133">
        <v>44.9</v>
      </c>
      <c r="L81" s="133">
        <v>28.1</v>
      </c>
      <c r="N81" s="133">
        <v>63.4</v>
      </c>
      <c r="O81" s="133">
        <v>63.3</v>
      </c>
      <c r="P81" s="133">
        <v>59.5</v>
      </c>
      <c r="Q81" s="133">
        <v>56.9</v>
      </c>
      <c r="R81" s="133">
        <v>55.9</v>
      </c>
      <c r="S81" s="80"/>
    </row>
    <row r="82" spans="1:19" ht="11.25" customHeight="1" x14ac:dyDescent="0.2">
      <c r="A82" s="125" t="s">
        <v>148</v>
      </c>
      <c r="B82" s="126" t="s">
        <v>149</v>
      </c>
      <c r="C82" s="131">
        <v>3258</v>
      </c>
      <c r="E82" s="133">
        <v>37.5</v>
      </c>
      <c r="F82" s="133">
        <v>23.4</v>
      </c>
      <c r="H82" s="133">
        <v>97.7</v>
      </c>
      <c r="I82" s="133">
        <v>97.9</v>
      </c>
      <c r="J82" s="133">
        <v>73.3</v>
      </c>
      <c r="K82" s="133">
        <v>68.7</v>
      </c>
      <c r="L82" s="133">
        <v>45.7</v>
      </c>
      <c r="N82" s="133">
        <v>67.900000000000006</v>
      </c>
      <c r="O82" s="133">
        <v>71.5</v>
      </c>
      <c r="P82" s="133">
        <v>73</v>
      </c>
      <c r="Q82" s="133">
        <v>67.400000000000006</v>
      </c>
      <c r="R82" s="133">
        <v>68</v>
      </c>
      <c r="S82" s="80"/>
    </row>
    <row r="83" spans="1:19" ht="11.25" customHeight="1" x14ac:dyDescent="0.2">
      <c r="A83" s="125" t="s">
        <v>150</v>
      </c>
      <c r="B83" s="126" t="s">
        <v>151</v>
      </c>
      <c r="C83" s="131">
        <v>3030</v>
      </c>
      <c r="E83" s="133">
        <v>39.1</v>
      </c>
      <c r="F83" s="133">
        <v>25.6</v>
      </c>
      <c r="H83" s="133">
        <v>98.3</v>
      </c>
      <c r="I83" s="133">
        <v>98.8</v>
      </c>
      <c r="J83" s="133">
        <v>69.599999999999994</v>
      </c>
      <c r="K83" s="133">
        <v>66.5</v>
      </c>
      <c r="L83" s="133">
        <v>50.4</v>
      </c>
      <c r="N83" s="133">
        <v>75.7</v>
      </c>
      <c r="O83" s="133">
        <v>75.2</v>
      </c>
      <c r="P83" s="133">
        <v>77.5</v>
      </c>
      <c r="Q83" s="133">
        <v>69.5</v>
      </c>
      <c r="R83" s="133">
        <v>71.2</v>
      </c>
      <c r="S83" s="80"/>
    </row>
    <row r="84" spans="1:19" ht="11.25" customHeight="1" x14ac:dyDescent="0.2">
      <c r="A84" s="125" t="s">
        <v>152</v>
      </c>
      <c r="B84" s="126" t="s">
        <v>153</v>
      </c>
      <c r="C84" s="131">
        <v>9704</v>
      </c>
      <c r="E84" s="133">
        <v>34</v>
      </c>
      <c r="F84" s="133">
        <v>19.600000000000001</v>
      </c>
      <c r="H84" s="133">
        <v>96.3</v>
      </c>
      <c r="I84" s="133">
        <v>97.6</v>
      </c>
      <c r="J84" s="133">
        <v>68.900000000000006</v>
      </c>
      <c r="K84" s="133">
        <v>62.2</v>
      </c>
      <c r="L84" s="133">
        <v>43.7</v>
      </c>
      <c r="N84" s="133">
        <v>68.2</v>
      </c>
      <c r="O84" s="133">
        <v>70.7</v>
      </c>
      <c r="P84" s="133">
        <v>69.900000000000006</v>
      </c>
      <c r="Q84" s="133">
        <v>64.2</v>
      </c>
      <c r="R84" s="133">
        <v>61.6</v>
      </c>
      <c r="S84" s="80"/>
    </row>
    <row r="85" spans="1:19" ht="11.25" customHeight="1" x14ac:dyDescent="0.2">
      <c r="A85" s="125" t="s">
        <v>154</v>
      </c>
      <c r="B85" s="126" t="s">
        <v>155</v>
      </c>
      <c r="C85" s="131">
        <v>2638</v>
      </c>
      <c r="E85" s="133">
        <v>29.3</v>
      </c>
      <c r="F85" s="133">
        <v>15.2</v>
      </c>
      <c r="H85" s="133">
        <v>96.4</v>
      </c>
      <c r="I85" s="133">
        <v>97</v>
      </c>
      <c r="J85" s="133">
        <v>49.8</v>
      </c>
      <c r="K85" s="133">
        <v>48.3</v>
      </c>
      <c r="L85" s="133">
        <v>40.5</v>
      </c>
      <c r="N85" s="133">
        <v>59.9</v>
      </c>
      <c r="O85" s="133">
        <v>59.9</v>
      </c>
      <c r="P85" s="133">
        <v>64.7</v>
      </c>
      <c r="Q85" s="133">
        <v>58.8</v>
      </c>
      <c r="R85" s="133">
        <v>58.2</v>
      </c>
      <c r="S85" s="80"/>
    </row>
    <row r="86" spans="1:19" ht="11.25" customHeight="1" x14ac:dyDescent="0.2">
      <c r="A86" s="125" t="s">
        <v>156</v>
      </c>
      <c r="B86" s="126" t="s">
        <v>157</v>
      </c>
      <c r="C86" s="131">
        <v>2098</v>
      </c>
      <c r="E86" s="133">
        <v>34.299999999999997</v>
      </c>
      <c r="F86" s="133">
        <v>22.1</v>
      </c>
      <c r="H86" s="133">
        <v>96.6</v>
      </c>
      <c r="I86" s="133">
        <v>97.4</v>
      </c>
      <c r="J86" s="133">
        <v>62.2</v>
      </c>
      <c r="K86" s="133">
        <v>59.4</v>
      </c>
      <c r="L86" s="133">
        <v>43.6</v>
      </c>
      <c r="N86" s="133">
        <v>66.5</v>
      </c>
      <c r="O86" s="133">
        <v>67.400000000000006</v>
      </c>
      <c r="P86" s="133">
        <v>72</v>
      </c>
      <c r="Q86" s="133">
        <v>66.099999999999994</v>
      </c>
      <c r="R86" s="133">
        <v>69.099999999999994</v>
      </c>
      <c r="S86" s="80"/>
    </row>
    <row r="87" spans="1:19" ht="11.25" customHeight="1" x14ac:dyDescent="0.2">
      <c r="A87" s="125" t="s">
        <v>158</v>
      </c>
      <c r="B87" s="126" t="s">
        <v>159</v>
      </c>
      <c r="C87" s="131">
        <v>3460</v>
      </c>
      <c r="E87" s="133">
        <v>26.9</v>
      </c>
      <c r="F87" s="133">
        <v>16.899999999999999</v>
      </c>
      <c r="H87" s="133">
        <v>96.6</v>
      </c>
      <c r="I87" s="133">
        <v>97.3</v>
      </c>
      <c r="J87" s="133">
        <v>55.1</v>
      </c>
      <c r="K87" s="133">
        <v>51.8</v>
      </c>
      <c r="L87" s="133">
        <v>38.299999999999997</v>
      </c>
      <c r="N87" s="133">
        <v>65.3</v>
      </c>
      <c r="O87" s="133">
        <v>69</v>
      </c>
      <c r="P87" s="133">
        <v>76</v>
      </c>
      <c r="Q87" s="133">
        <v>61.9</v>
      </c>
      <c r="R87" s="133">
        <v>65.900000000000006</v>
      </c>
      <c r="S87" s="80"/>
    </row>
    <row r="88" spans="1:19" ht="11.25" customHeight="1" x14ac:dyDescent="0.2">
      <c r="A88" s="125" t="s">
        <v>160</v>
      </c>
      <c r="B88" s="126" t="s">
        <v>161</v>
      </c>
      <c r="C88" s="131">
        <v>6062</v>
      </c>
      <c r="E88" s="133">
        <v>30.3</v>
      </c>
      <c r="F88" s="133">
        <v>21.8</v>
      </c>
      <c r="H88" s="133">
        <v>97.2</v>
      </c>
      <c r="I88" s="133">
        <v>97.7</v>
      </c>
      <c r="J88" s="133">
        <v>68</v>
      </c>
      <c r="K88" s="133">
        <v>62</v>
      </c>
      <c r="L88" s="133">
        <v>39.9</v>
      </c>
      <c r="N88" s="133">
        <v>73.400000000000006</v>
      </c>
      <c r="O88" s="133">
        <v>73.099999999999994</v>
      </c>
      <c r="P88" s="133">
        <v>77.099999999999994</v>
      </c>
      <c r="Q88" s="133">
        <v>69.900000000000006</v>
      </c>
      <c r="R88" s="133">
        <v>77.3</v>
      </c>
      <c r="S88" s="80"/>
    </row>
    <row r="89" spans="1:19" ht="11.25" customHeight="1" x14ac:dyDescent="0.2">
      <c r="A89" s="125" t="s">
        <v>162</v>
      </c>
      <c r="B89" s="126" t="s">
        <v>163</v>
      </c>
      <c r="C89" s="131">
        <v>2652</v>
      </c>
      <c r="E89" s="133">
        <v>25.1</v>
      </c>
      <c r="F89" s="133">
        <v>14.8</v>
      </c>
      <c r="H89" s="133">
        <v>95.6</v>
      </c>
      <c r="I89" s="133">
        <v>96.4</v>
      </c>
      <c r="J89" s="133">
        <v>57.9</v>
      </c>
      <c r="K89" s="133">
        <v>45.9</v>
      </c>
      <c r="L89" s="133">
        <v>38.700000000000003</v>
      </c>
      <c r="N89" s="133">
        <v>68.5</v>
      </c>
      <c r="O89" s="133">
        <v>71.099999999999994</v>
      </c>
      <c r="P89" s="133">
        <v>69.400000000000006</v>
      </c>
      <c r="Q89" s="133">
        <v>66.099999999999994</v>
      </c>
      <c r="R89" s="133">
        <v>62.8</v>
      </c>
      <c r="S89" s="80"/>
    </row>
    <row r="90" spans="1:19" ht="11.25" customHeight="1" x14ac:dyDescent="0.2">
      <c r="A90" s="125" t="s">
        <v>164</v>
      </c>
      <c r="B90" s="126" t="s">
        <v>165</v>
      </c>
      <c r="C90" s="131">
        <v>6057</v>
      </c>
      <c r="E90" s="133">
        <v>32.6</v>
      </c>
      <c r="F90" s="133">
        <v>21.7</v>
      </c>
      <c r="H90" s="133">
        <v>97.4</v>
      </c>
      <c r="I90" s="133">
        <v>98.1</v>
      </c>
      <c r="J90" s="133">
        <v>66</v>
      </c>
      <c r="K90" s="133">
        <v>56.6</v>
      </c>
      <c r="L90" s="133">
        <v>47.8</v>
      </c>
      <c r="N90" s="133">
        <v>69.900000000000006</v>
      </c>
      <c r="O90" s="133">
        <v>73.3</v>
      </c>
      <c r="P90" s="133">
        <v>77.3</v>
      </c>
      <c r="Q90" s="133">
        <v>70.599999999999994</v>
      </c>
      <c r="R90" s="133">
        <v>66.8</v>
      </c>
      <c r="S90" s="80"/>
    </row>
    <row r="91" spans="1:19" ht="11.25" customHeight="1" x14ac:dyDescent="0.2">
      <c r="A91" s="3"/>
      <c r="B91" s="126"/>
      <c r="S91" s="80"/>
    </row>
    <row r="92" spans="1:19" ht="11.25" customHeight="1" x14ac:dyDescent="0.2">
      <c r="A92" s="17" t="s">
        <v>383</v>
      </c>
      <c r="B92" s="17" t="s">
        <v>166</v>
      </c>
      <c r="C92" s="76">
        <v>64955</v>
      </c>
      <c r="D92" s="1"/>
      <c r="E92" s="132">
        <v>36.5</v>
      </c>
      <c r="F92" s="132">
        <v>22.9</v>
      </c>
      <c r="G92" s="1"/>
      <c r="H92" s="132">
        <v>96.6</v>
      </c>
      <c r="I92" s="132">
        <v>97.7</v>
      </c>
      <c r="J92" s="132">
        <v>71.099999999999994</v>
      </c>
      <c r="K92" s="132">
        <v>62.5</v>
      </c>
      <c r="L92" s="132">
        <v>46.9</v>
      </c>
      <c r="M92" s="1"/>
      <c r="N92" s="132">
        <v>67.3</v>
      </c>
      <c r="O92" s="132">
        <v>71.7</v>
      </c>
      <c r="P92" s="132">
        <v>68.3</v>
      </c>
      <c r="Q92" s="132">
        <v>66.400000000000006</v>
      </c>
      <c r="R92" s="132">
        <v>68.599999999999994</v>
      </c>
      <c r="S92" s="80"/>
    </row>
    <row r="93" spans="1:19" ht="11.25" customHeight="1" x14ac:dyDescent="0.2">
      <c r="A93" s="125" t="s">
        <v>167</v>
      </c>
      <c r="B93" s="126" t="s">
        <v>168</v>
      </c>
      <c r="C93" s="131">
        <v>1891</v>
      </c>
      <c r="E93" s="133">
        <v>27.1</v>
      </c>
      <c r="F93" s="133">
        <v>17.5</v>
      </c>
      <c r="H93" s="133">
        <v>98</v>
      </c>
      <c r="I93" s="133">
        <v>98.5</v>
      </c>
      <c r="J93" s="133">
        <v>71.400000000000006</v>
      </c>
      <c r="K93" s="133">
        <v>57.3</v>
      </c>
      <c r="L93" s="133">
        <v>38.299999999999997</v>
      </c>
      <c r="N93" s="133">
        <v>66.900000000000006</v>
      </c>
      <c r="O93" s="133">
        <v>71.2</v>
      </c>
      <c r="P93" s="133">
        <v>65.900000000000006</v>
      </c>
      <c r="Q93" s="133">
        <v>62.7</v>
      </c>
      <c r="R93" s="133">
        <v>68.400000000000006</v>
      </c>
      <c r="S93" s="80"/>
    </row>
    <row r="94" spans="1:19" ht="11.25" customHeight="1" x14ac:dyDescent="0.2">
      <c r="A94" s="125" t="s">
        <v>169</v>
      </c>
      <c r="B94" s="126" t="s">
        <v>170</v>
      </c>
      <c r="C94" s="131">
        <v>6058</v>
      </c>
      <c r="E94" s="133">
        <v>46.8</v>
      </c>
      <c r="F94" s="133">
        <v>29</v>
      </c>
      <c r="H94" s="133">
        <v>95.8</v>
      </c>
      <c r="I94" s="133">
        <v>96.7</v>
      </c>
      <c r="J94" s="133">
        <v>75.8</v>
      </c>
      <c r="K94" s="133">
        <v>67.599999999999994</v>
      </c>
      <c r="L94" s="133">
        <v>53.5</v>
      </c>
      <c r="N94" s="133">
        <v>69</v>
      </c>
      <c r="O94" s="133">
        <v>73.400000000000006</v>
      </c>
      <c r="P94" s="133">
        <v>70.900000000000006</v>
      </c>
      <c r="Q94" s="133">
        <v>70.099999999999994</v>
      </c>
      <c r="R94" s="133">
        <v>66.7</v>
      </c>
      <c r="S94" s="80"/>
    </row>
    <row r="95" spans="1:19" ht="11.25" customHeight="1" x14ac:dyDescent="0.2">
      <c r="A95" s="125" t="s">
        <v>171</v>
      </c>
      <c r="B95" s="126" t="s">
        <v>172</v>
      </c>
      <c r="C95" s="131">
        <v>2846</v>
      </c>
      <c r="E95" s="133">
        <v>31.8</v>
      </c>
      <c r="F95" s="133">
        <v>19.3</v>
      </c>
      <c r="H95" s="133">
        <v>96.6</v>
      </c>
      <c r="I95" s="133">
        <v>97.5</v>
      </c>
      <c r="J95" s="133">
        <v>64.3</v>
      </c>
      <c r="K95" s="133">
        <v>64.8</v>
      </c>
      <c r="L95" s="133">
        <v>41.4</v>
      </c>
      <c r="N95" s="133">
        <v>64.7</v>
      </c>
      <c r="O95" s="133">
        <v>71.599999999999994</v>
      </c>
      <c r="P95" s="133">
        <v>70.099999999999994</v>
      </c>
      <c r="Q95" s="133">
        <v>64.2</v>
      </c>
      <c r="R95" s="133">
        <v>64.900000000000006</v>
      </c>
      <c r="S95" s="80"/>
    </row>
    <row r="96" spans="1:19" ht="11.25" customHeight="1" x14ac:dyDescent="0.2">
      <c r="A96" s="125" t="s">
        <v>173</v>
      </c>
      <c r="B96" s="126" t="s">
        <v>174</v>
      </c>
      <c r="C96" s="131">
        <v>15702</v>
      </c>
      <c r="E96" s="133">
        <v>30.9</v>
      </c>
      <c r="F96" s="133">
        <v>19.5</v>
      </c>
      <c r="H96" s="133">
        <v>96.5</v>
      </c>
      <c r="I96" s="133">
        <v>97.8</v>
      </c>
      <c r="J96" s="133">
        <v>66.2</v>
      </c>
      <c r="K96" s="133">
        <v>57.3</v>
      </c>
      <c r="L96" s="133">
        <v>42.8</v>
      </c>
      <c r="N96" s="133">
        <v>67.900000000000006</v>
      </c>
      <c r="O96" s="133">
        <v>71.8</v>
      </c>
      <c r="P96" s="133">
        <v>67.900000000000006</v>
      </c>
      <c r="Q96" s="133">
        <v>66.900000000000006</v>
      </c>
      <c r="R96" s="133">
        <v>68.7</v>
      </c>
      <c r="S96" s="80"/>
    </row>
    <row r="97" spans="1:19" ht="11.25" customHeight="1" x14ac:dyDescent="0.2">
      <c r="A97" s="125" t="s">
        <v>175</v>
      </c>
      <c r="B97" s="126" t="s">
        <v>176</v>
      </c>
      <c r="C97" s="131">
        <v>12965</v>
      </c>
      <c r="E97" s="133">
        <v>48.8</v>
      </c>
      <c r="F97" s="133">
        <v>32.1</v>
      </c>
      <c r="H97" s="133">
        <v>97.4</v>
      </c>
      <c r="I97" s="133">
        <v>97.9</v>
      </c>
      <c r="J97" s="133">
        <v>76.8</v>
      </c>
      <c r="K97" s="133">
        <v>70.099999999999994</v>
      </c>
      <c r="L97" s="133">
        <v>59.3</v>
      </c>
      <c r="N97" s="133">
        <v>72.8</v>
      </c>
      <c r="O97" s="133">
        <v>76.599999999999994</v>
      </c>
      <c r="P97" s="133">
        <v>72.7</v>
      </c>
      <c r="Q97" s="133">
        <v>72.3</v>
      </c>
      <c r="R97" s="133">
        <v>73.099999999999994</v>
      </c>
      <c r="S97" s="80"/>
    </row>
    <row r="98" spans="1:19" ht="11.25" customHeight="1" x14ac:dyDescent="0.2">
      <c r="A98" s="125" t="s">
        <v>177</v>
      </c>
      <c r="B98" s="126" t="s">
        <v>178</v>
      </c>
      <c r="C98" s="131">
        <v>2436</v>
      </c>
      <c r="E98" s="133">
        <v>36.799999999999997</v>
      </c>
      <c r="F98" s="133">
        <v>19.7</v>
      </c>
      <c r="H98" s="133">
        <v>97.4</v>
      </c>
      <c r="I98" s="133">
        <v>98.4</v>
      </c>
      <c r="J98" s="133">
        <v>67.400000000000006</v>
      </c>
      <c r="K98" s="133">
        <v>59.4</v>
      </c>
      <c r="L98" s="133">
        <v>49.1</v>
      </c>
      <c r="N98" s="133">
        <v>66.400000000000006</v>
      </c>
      <c r="O98" s="133">
        <v>72.7</v>
      </c>
      <c r="P98" s="133">
        <v>66.5</v>
      </c>
      <c r="Q98" s="133">
        <v>63.2</v>
      </c>
      <c r="R98" s="133">
        <v>64.599999999999994</v>
      </c>
      <c r="S98" s="80"/>
    </row>
    <row r="99" spans="1:19" ht="11.25" customHeight="1" x14ac:dyDescent="0.2">
      <c r="A99" s="125" t="s">
        <v>179</v>
      </c>
      <c r="B99" s="126" t="s">
        <v>180</v>
      </c>
      <c r="C99" s="131">
        <v>8944</v>
      </c>
      <c r="E99" s="133">
        <v>31.9</v>
      </c>
      <c r="F99" s="133">
        <v>18.399999999999999</v>
      </c>
      <c r="H99" s="133">
        <v>96.1</v>
      </c>
      <c r="I99" s="133">
        <v>97.5</v>
      </c>
      <c r="J99" s="133">
        <v>76</v>
      </c>
      <c r="K99" s="133">
        <v>60.1</v>
      </c>
      <c r="L99" s="133">
        <v>43.2</v>
      </c>
      <c r="N99" s="133">
        <v>63.1</v>
      </c>
      <c r="O99" s="133">
        <v>67.400000000000006</v>
      </c>
      <c r="P99" s="133">
        <v>61.6</v>
      </c>
      <c r="Q99" s="133">
        <v>61.2</v>
      </c>
      <c r="R99" s="133">
        <v>62.9</v>
      </c>
      <c r="S99" s="80"/>
    </row>
    <row r="100" spans="1:19" ht="11.25" customHeight="1" x14ac:dyDescent="0.2">
      <c r="A100" s="125" t="s">
        <v>181</v>
      </c>
      <c r="B100" s="126" t="s">
        <v>182</v>
      </c>
      <c r="C100" s="131">
        <v>2246</v>
      </c>
      <c r="E100" s="133">
        <v>31.1</v>
      </c>
      <c r="F100" s="133">
        <v>17.899999999999999</v>
      </c>
      <c r="H100" s="133">
        <v>96.3</v>
      </c>
      <c r="I100" s="133">
        <v>97.1</v>
      </c>
      <c r="J100" s="133">
        <v>55</v>
      </c>
      <c r="K100" s="133">
        <v>57.9</v>
      </c>
      <c r="L100" s="133">
        <v>42.1</v>
      </c>
      <c r="N100" s="133">
        <v>64.2</v>
      </c>
      <c r="O100" s="133">
        <v>66.8</v>
      </c>
      <c r="P100" s="133">
        <v>74.7</v>
      </c>
      <c r="Q100" s="133">
        <v>60.9</v>
      </c>
      <c r="R100" s="133">
        <v>67.8</v>
      </c>
      <c r="S100" s="80"/>
    </row>
    <row r="101" spans="1:19" ht="11.25" customHeight="1" x14ac:dyDescent="0.2">
      <c r="A101" s="125" t="s">
        <v>183</v>
      </c>
      <c r="B101" s="126" t="s">
        <v>184</v>
      </c>
      <c r="C101" s="131">
        <v>2226</v>
      </c>
      <c r="E101" s="133">
        <v>33.299999999999997</v>
      </c>
      <c r="F101" s="133">
        <v>27.4</v>
      </c>
      <c r="H101" s="133">
        <v>95.1</v>
      </c>
      <c r="I101" s="133">
        <v>96</v>
      </c>
      <c r="J101" s="133">
        <v>65.5</v>
      </c>
      <c r="K101" s="133">
        <v>57.5</v>
      </c>
      <c r="L101" s="133">
        <v>41.4</v>
      </c>
      <c r="N101" s="133">
        <v>66.7</v>
      </c>
      <c r="O101" s="133">
        <v>72.599999999999994</v>
      </c>
      <c r="P101" s="133">
        <v>77.2</v>
      </c>
      <c r="Q101" s="133">
        <v>74.400000000000006</v>
      </c>
      <c r="R101" s="133">
        <v>83.5</v>
      </c>
      <c r="S101" s="80"/>
    </row>
    <row r="102" spans="1:19" ht="11.25" customHeight="1" x14ac:dyDescent="0.2">
      <c r="A102" s="125" t="s">
        <v>185</v>
      </c>
      <c r="B102" s="126" t="s">
        <v>186</v>
      </c>
      <c r="C102" s="131">
        <v>7795</v>
      </c>
      <c r="E102" s="133">
        <v>32.9</v>
      </c>
      <c r="F102" s="133">
        <v>19.899999999999999</v>
      </c>
      <c r="H102" s="133">
        <v>96.6</v>
      </c>
      <c r="I102" s="133">
        <v>98</v>
      </c>
      <c r="J102" s="133">
        <v>74.900000000000006</v>
      </c>
      <c r="K102" s="133">
        <v>65.5</v>
      </c>
      <c r="L102" s="133">
        <v>41.3</v>
      </c>
      <c r="N102" s="133">
        <v>62.8</v>
      </c>
      <c r="O102" s="133">
        <v>67.900000000000006</v>
      </c>
      <c r="P102" s="133">
        <v>62.5</v>
      </c>
      <c r="Q102" s="133">
        <v>59.8</v>
      </c>
      <c r="R102" s="133">
        <v>64.5</v>
      </c>
      <c r="S102" s="80"/>
    </row>
    <row r="103" spans="1:19" ht="11.25" customHeight="1" x14ac:dyDescent="0.2">
      <c r="A103" s="125" t="s">
        <v>187</v>
      </c>
      <c r="B103" s="126" t="s">
        <v>188</v>
      </c>
      <c r="C103" s="131">
        <v>1846</v>
      </c>
      <c r="E103" s="133">
        <v>29.7</v>
      </c>
      <c r="F103" s="133">
        <v>19.2</v>
      </c>
      <c r="H103" s="133">
        <v>97.3</v>
      </c>
      <c r="I103" s="133">
        <v>98.1</v>
      </c>
      <c r="J103" s="133">
        <v>59.5</v>
      </c>
      <c r="K103" s="133">
        <v>52.9</v>
      </c>
      <c r="L103" s="133">
        <v>40.299999999999997</v>
      </c>
      <c r="N103" s="133">
        <v>67.599999999999994</v>
      </c>
      <c r="O103" s="133">
        <v>70.5</v>
      </c>
      <c r="P103" s="133">
        <v>79.2</v>
      </c>
      <c r="Q103" s="133">
        <v>65.2</v>
      </c>
      <c r="R103" s="133">
        <v>70.8</v>
      </c>
      <c r="S103" s="80"/>
    </row>
    <row r="104" spans="1:19" ht="11.25" customHeight="1" x14ac:dyDescent="0.2">
      <c r="A104" s="3"/>
      <c r="B104" s="126"/>
      <c r="S104" s="80"/>
    </row>
    <row r="105" spans="1:19" ht="11.25" customHeight="1" x14ac:dyDescent="0.2">
      <c r="A105" s="17" t="s">
        <v>384</v>
      </c>
      <c r="B105" s="17" t="s">
        <v>189</v>
      </c>
      <c r="C105" s="76">
        <v>76274</v>
      </c>
      <c r="D105" s="16"/>
      <c r="E105" s="77">
        <v>42.6</v>
      </c>
      <c r="F105" s="77">
        <v>28.6</v>
      </c>
      <c r="G105" s="1"/>
      <c r="H105" s="77">
        <v>97</v>
      </c>
      <c r="I105" s="77">
        <v>97.8</v>
      </c>
      <c r="J105" s="77">
        <v>70.2</v>
      </c>
      <c r="K105" s="77">
        <v>65</v>
      </c>
      <c r="L105" s="77">
        <v>57.7</v>
      </c>
      <c r="N105" s="77">
        <v>72.7</v>
      </c>
      <c r="O105" s="77">
        <v>75.099999999999994</v>
      </c>
      <c r="P105" s="77">
        <v>75.5</v>
      </c>
      <c r="Q105" s="77">
        <v>69.2</v>
      </c>
      <c r="R105" s="77">
        <v>75.5</v>
      </c>
      <c r="S105" s="80"/>
    </row>
    <row r="106" spans="1:19" ht="11.25" customHeight="1" x14ac:dyDescent="0.2">
      <c r="A106" s="16" t="s">
        <v>190</v>
      </c>
      <c r="B106" s="17" t="s">
        <v>191</v>
      </c>
      <c r="C106" s="76">
        <v>24364</v>
      </c>
      <c r="D106" s="1"/>
      <c r="E106" s="132">
        <v>40</v>
      </c>
      <c r="F106" s="132">
        <v>25.8</v>
      </c>
      <c r="G106" s="1"/>
      <c r="H106" s="132">
        <v>96.7</v>
      </c>
      <c r="I106" s="132">
        <v>97.5</v>
      </c>
      <c r="J106" s="132">
        <v>68</v>
      </c>
      <c r="K106" s="132">
        <v>61.6</v>
      </c>
      <c r="L106" s="132">
        <v>56.8</v>
      </c>
      <c r="M106" s="1"/>
      <c r="N106" s="132">
        <v>71.2</v>
      </c>
      <c r="O106" s="132">
        <v>73.599999999999994</v>
      </c>
      <c r="P106" s="132">
        <v>72.599999999999994</v>
      </c>
      <c r="Q106" s="132">
        <v>67.5</v>
      </c>
      <c r="R106" s="132">
        <v>75.099999999999994</v>
      </c>
      <c r="S106" s="80"/>
    </row>
    <row r="107" spans="1:19" ht="11.25" customHeight="1" x14ac:dyDescent="0.2">
      <c r="A107" s="125" t="s">
        <v>192</v>
      </c>
      <c r="B107" s="126" t="s">
        <v>193</v>
      </c>
      <c r="C107" s="131">
        <v>1508</v>
      </c>
      <c r="E107" s="133">
        <v>40.1</v>
      </c>
      <c r="F107" s="133">
        <v>27.1</v>
      </c>
      <c r="H107" s="133">
        <v>96.5</v>
      </c>
      <c r="I107" s="133">
        <v>96.9</v>
      </c>
      <c r="J107" s="133">
        <v>69.400000000000006</v>
      </c>
      <c r="K107" s="133">
        <v>63.5</v>
      </c>
      <c r="L107" s="133">
        <v>60.5</v>
      </c>
      <c r="N107" s="133">
        <v>70</v>
      </c>
      <c r="O107" s="133">
        <v>71.099999999999994</v>
      </c>
      <c r="P107" s="133">
        <v>72.599999999999994</v>
      </c>
      <c r="Q107" s="133">
        <v>63.9</v>
      </c>
      <c r="R107" s="133">
        <v>72.599999999999994</v>
      </c>
      <c r="S107" s="80"/>
    </row>
    <row r="108" spans="1:19" ht="11.25" customHeight="1" x14ac:dyDescent="0.2">
      <c r="A108" s="125" t="s">
        <v>194</v>
      </c>
      <c r="B108" s="143" t="s">
        <v>195</v>
      </c>
      <c r="C108" s="138" t="s">
        <v>196</v>
      </c>
      <c r="E108" s="138" t="s">
        <v>196</v>
      </c>
      <c r="F108" s="138" t="s">
        <v>196</v>
      </c>
      <c r="H108" s="138" t="s">
        <v>196</v>
      </c>
      <c r="I108" s="138" t="s">
        <v>196</v>
      </c>
      <c r="J108" s="138" t="s">
        <v>196</v>
      </c>
      <c r="K108" s="138" t="s">
        <v>196</v>
      </c>
      <c r="L108" s="138" t="s">
        <v>196</v>
      </c>
      <c r="N108" s="138" t="s">
        <v>196</v>
      </c>
      <c r="O108" s="138" t="s">
        <v>196</v>
      </c>
      <c r="P108" s="138" t="s">
        <v>196</v>
      </c>
      <c r="Q108" s="138" t="s">
        <v>196</v>
      </c>
      <c r="R108" s="138" t="s">
        <v>196</v>
      </c>
      <c r="S108" s="80"/>
    </row>
    <row r="109" spans="1:19" ht="11.25" customHeight="1" x14ac:dyDescent="0.2">
      <c r="A109" s="125" t="s">
        <v>197</v>
      </c>
      <c r="B109" s="126" t="s">
        <v>198</v>
      </c>
      <c r="C109" s="131">
        <v>1649</v>
      </c>
      <c r="E109" s="133">
        <v>48</v>
      </c>
      <c r="F109" s="133">
        <v>33.4</v>
      </c>
      <c r="H109" s="133">
        <v>95.1</v>
      </c>
      <c r="I109" s="133">
        <v>97.3</v>
      </c>
      <c r="J109" s="133">
        <v>72.2</v>
      </c>
      <c r="K109" s="133">
        <v>65.099999999999994</v>
      </c>
      <c r="L109" s="133">
        <v>61.1</v>
      </c>
      <c r="N109" s="133">
        <v>67.5</v>
      </c>
      <c r="O109" s="133">
        <v>73.599999999999994</v>
      </c>
      <c r="P109" s="133">
        <v>69</v>
      </c>
      <c r="Q109" s="133">
        <v>74.5</v>
      </c>
      <c r="R109" s="133">
        <v>85.5</v>
      </c>
      <c r="S109" s="80"/>
    </row>
    <row r="110" spans="1:19" ht="11.25" customHeight="1" x14ac:dyDescent="0.2">
      <c r="A110" s="125" t="s">
        <v>199</v>
      </c>
      <c r="B110" s="126" t="s">
        <v>200</v>
      </c>
      <c r="C110" s="131">
        <v>1155</v>
      </c>
      <c r="E110" s="133">
        <v>49.2</v>
      </c>
      <c r="F110" s="133">
        <v>34.799999999999997</v>
      </c>
      <c r="H110" s="133">
        <v>97.4</v>
      </c>
      <c r="I110" s="133">
        <v>97.7</v>
      </c>
      <c r="J110" s="133">
        <v>76.3</v>
      </c>
      <c r="K110" s="133">
        <v>69.400000000000006</v>
      </c>
      <c r="L110" s="133">
        <v>65.2</v>
      </c>
      <c r="N110" s="133">
        <v>71.400000000000006</v>
      </c>
      <c r="O110" s="133">
        <v>78.099999999999994</v>
      </c>
      <c r="P110" s="133">
        <v>79.599999999999994</v>
      </c>
      <c r="Q110" s="133">
        <v>75.7</v>
      </c>
      <c r="R110" s="133">
        <v>79.8</v>
      </c>
      <c r="S110" s="80"/>
    </row>
    <row r="111" spans="1:19" ht="11.25" customHeight="1" x14ac:dyDescent="0.2">
      <c r="A111" s="125" t="s">
        <v>201</v>
      </c>
      <c r="B111" s="126" t="s">
        <v>202</v>
      </c>
      <c r="C111" s="131">
        <v>2183</v>
      </c>
      <c r="E111" s="133">
        <v>32.5</v>
      </c>
      <c r="F111" s="133">
        <v>23</v>
      </c>
      <c r="H111" s="133">
        <v>95.6</v>
      </c>
      <c r="I111" s="133">
        <v>96.9</v>
      </c>
      <c r="J111" s="133">
        <v>65.3</v>
      </c>
      <c r="K111" s="133">
        <v>56.1</v>
      </c>
      <c r="L111" s="133">
        <v>51.3</v>
      </c>
      <c r="N111" s="133">
        <v>69.900000000000006</v>
      </c>
      <c r="O111" s="133">
        <v>73.099999999999994</v>
      </c>
      <c r="P111" s="133">
        <v>77.099999999999994</v>
      </c>
      <c r="Q111" s="133">
        <v>69.599999999999994</v>
      </c>
      <c r="R111" s="133">
        <v>84.3</v>
      </c>
      <c r="S111" s="80"/>
    </row>
    <row r="112" spans="1:19" ht="11.25" customHeight="1" x14ac:dyDescent="0.2">
      <c r="A112" s="125" t="s">
        <v>203</v>
      </c>
      <c r="B112" s="126" t="s">
        <v>204</v>
      </c>
      <c r="C112" s="131">
        <v>1436</v>
      </c>
      <c r="E112" s="133">
        <v>38.5</v>
      </c>
      <c r="F112" s="133">
        <v>22.3</v>
      </c>
      <c r="H112" s="133">
        <v>97.6</v>
      </c>
      <c r="I112" s="133">
        <v>97.9</v>
      </c>
      <c r="J112" s="133">
        <v>71.8</v>
      </c>
      <c r="K112" s="133">
        <v>67.099999999999994</v>
      </c>
      <c r="L112" s="133">
        <v>54</v>
      </c>
      <c r="N112" s="133">
        <v>72.3</v>
      </c>
      <c r="O112" s="133">
        <v>73.400000000000006</v>
      </c>
      <c r="P112" s="133">
        <v>69.400000000000006</v>
      </c>
      <c r="Q112" s="133">
        <v>55.3</v>
      </c>
      <c r="R112" s="133">
        <v>75.3</v>
      </c>
      <c r="S112" s="80"/>
    </row>
    <row r="113" spans="1:19" ht="11.25" customHeight="1" x14ac:dyDescent="0.2">
      <c r="A113" s="125" t="s">
        <v>205</v>
      </c>
      <c r="B113" s="126" t="s">
        <v>206</v>
      </c>
      <c r="C113" s="131">
        <v>611</v>
      </c>
      <c r="E113" s="133">
        <v>44.4</v>
      </c>
      <c r="F113" s="133">
        <v>39.799999999999997</v>
      </c>
      <c r="H113" s="133">
        <v>96.6</v>
      </c>
      <c r="I113" s="133">
        <v>97.5</v>
      </c>
      <c r="J113" s="133">
        <v>65.599999999999994</v>
      </c>
      <c r="K113" s="133">
        <v>61.4</v>
      </c>
      <c r="L113" s="133">
        <v>66.099999999999994</v>
      </c>
      <c r="N113" s="133">
        <v>86.4</v>
      </c>
      <c r="O113" s="133">
        <v>83</v>
      </c>
      <c r="P113" s="133">
        <v>90.3</v>
      </c>
      <c r="Q113" s="133">
        <v>83.2</v>
      </c>
      <c r="R113" s="133">
        <v>91.3</v>
      </c>
      <c r="S113" s="80"/>
    </row>
    <row r="114" spans="1:19" ht="11.25" customHeight="1" x14ac:dyDescent="0.2">
      <c r="A114" s="125" t="s">
        <v>207</v>
      </c>
      <c r="B114" s="126" t="s">
        <v>208</v>
      </c>
      <c r="C114" s="131">
        <v>1881</v>
      </c>
      <c r="E114" s="133">
        <v>38</v>
      </c>
      <c r="F114" s="133">
        <v>22.9</v>
      </c>
      <c r="H114" s="133">
        <v>97</v>
      </c>
      <c r="I114" s="133">
        <v>97.5</v>
      </c>
      <c r="J114" s="133">
        <v>65.599999999999994</v>
      </c>
      <c r="K114" s="133">
        <v>64.2</v>
      </c>
      <c r="L114" s="133">
        <v>53.8</v>
      </c>
      <c r="N114" s="133">
        <v>73.599999999999994</v>
      </c>
      <c r="O114" s="133">
        <v>75.900000000000006</v>
      </c>
      <c r="P114" s="133">
        <v>73.3</v>
      </c>
      <c r="Q114" s="133">
        <v>64.7</v>
      </c>
      <c r="R114" s="133">
        <v>76.3</v>
      </c>
      <c r="S114" s="80"/>
    </row>
    <row r="115" spans="1:19" ht="11.25" customHeight="1" x14ac:dyDescent="0.2">
      <c r="A115" s="125" t="s">
        <v>209</v>
      </c>
      <c r="B115" s="126" t="s">
        <v>210</v>
      </c>
      <c r="C115" s="131">
        <v>2346</v>
      </c>
      <c r="E115" s="133">
        <v>30.7</v>
      </c>
      <c r="F115" s="133">
        <v>19.3</v>
      </c>
      <c r="H115" s="133">
        <v>95</v>
      </c>
      <c r="I115" s="133">
        <v>96.4</v>
      </c>
      <c r="J115" s="133">
        <v>68</v>
      </c>
      <c r="K115" s="133">
        <v>55.2</v>
      </c>
      <c r="L115" s="133">
        <v>42.8</v>
      </c>
      <c r="N115" s="133">
        <v>67</v>
      </c>
      <c r="O115" s="133">
        <v>68.3</v>
      </c>
      <c r="P115" s="133">
        <v>57.5</v>
      </c>
      <c r="Q115" s="133">
        <v>62.7</v>
      </c>
      <c r="R115" s="133">
        <v>79</v>
      </c>
      <c r="S115" s="80"/>
    </row>
    <row r="116" spans="1:19" ht="11.25" customHeight="1" x14ac:dyDescent="0.2">
      <c r="A116" s="125" t="s">
        <v>211</v>
      </c>
      <c r="B116" s="126" t="s">
        <v>212</v>
      </c>
      <c r="C116" s="131">
        <v>3468</v>
      </c>
      <c r="E116" s="133">
        <v>35.799999999999997</v>
      </c>
      <c r="F116" s="133">
        <v>23.1</v>
      </c>
      <c r="H116" s="133">
        <v>97.7</v>
      </c>
      <c r="I116" s="133">
        <v>98.1</v>
      </c>
      <c r="J116" s="133">
        <v>60</v>
      </c>
      <c r="K116" s="133">
        <v>56.6</v>
      </c>
      <c r="L116" s="133">
        <v>61.8</v>
      </c>
      <c r="N116" s="133">
        <v>66.3</v>
      </c>
      <c r="O116" s="133">
        <v>71.900000000000006</v>
      </c>
      <c r="P116" s="133">
        <v>75.7</v>
      </c>
      <c r="Q116" s="133">
        <v>64.900000000000006</v>
      </c>
      <c r="R116" s="133">
        <v>67.8</v>
      </c>
      <c r="S116" s="80"/>
    </row>
    <row r="117" spans="1:19" ht="11.25" customHeight="1" x14ac:dyDescent="0.2">
      <c r="A117" s="125" t="s">
        <v>213</v>
      </c>
      <c r="B117" s="126" t="s">
        <v>214</v>
      </c>
      <c r="C117" s="131">
        <v>2346</v>
      </c>
      <c r="E117" s="133">
        <v>41.7</v>
      </c>
      <c r="F117" s="133">
        <v>25</v>
      </c>
      <c r="H117" s="133">
        <v>97.1</v>
      </c>
      <c r="I117" s="133">
        <v>97.4</v>
      </c>
      <c r="J117" s="133">
        <v>69.5</v>
      </c>
      <c r="K117" s="133">
        <v>62</v>
      </c>
      <c r="L117" s="133">
        <v>57.6</v>
      </c>
      <c r="N117" s="133">
        <v>74.400000000000006</v>
      </c>
      <c r="O117" s="133">
        <v>74.099999999999994</v>
      </c>
      <c r="P117" s="133">
        <v>73.400000000000006</v>
      </c>
      <c r="Q117" s="133">
        <v>68.599999999999994</v>
      </c>
      <c r="R117" s="133">
        <v>67.5</v>
      </c>
      <c r="S117" s="80"/>
    </row>
    <row r="118" spans="1:19" ht="11.25" customHeight="1" x14ac:dyDescent="0.2">
      <c r="A118" s="125" t="s">
        <v>215</v>
      </c>
      <c r="B118" s="126" t="s">
        <v>216</v>
      </c>
      <c r="C118" s="131">
        <v>2521</v>
      </c>
      <c r="E118" s="133">
        <v>37.200000000000003</v>
      </c>
      <c r="F118" s="133">
        <v>22.7</v>
      </c>
      <c r="H118" s="133">
        <v>97.4</v>
      </c>
      <c r="I118" s="133">
        <v>98.2</v>
      </c>
      <c r="J118" s="133">
        <v>68.599999999999994</v>
      </c>
      <c r="K118" s="133">
        <v>58.9</v>
      </c>
      <c r="L118" s="133">
        <v>51.4</v>
      </c>
      <c r="N118" s="133">
        <v>72.7</v>
      </c>
      <c r="O118" s="133">
        <v>73.8</v>
      </c>
      <c r="P118" s="133">
        <v>71.599999999999994</v>
      </c>
      <c r="Q118" s="133">
        <v>65.8</v>
      </c>
      <c r="R118" s="133">
        <v>74.5</v>
      </c>
      <c r="S118" s="80"/>
    </row>
    <row r="119" spans="1:19" ht="11.25" customHeight="1" x14ac:dyDescent="0.2">
      <c r="A119" s="125" t="s">
        <v>217</v>
      </c>
      <c r="B119" s="126" t="s">
        <v>218</v>
      </c>
      <c r="C119" s="131">
        <v>1846</v>
      </c>
      <c r="E119" s="133">
        <v>50.6</v>
      </c>
      <c r="F119" s="133">
        <v>29.3</v>
      </c>
      <c r="H119" s="133">
        <v>95.8</v>
      </c>
      <c r="I119" s="133">
        <v>96.3</v>
      </c>
      <c r="J119" s="133">
        <v>68</v>
      </c>
      <c r="K119" s="133">
        <v>69.099999999999994</v>
      </c>
      <c r="L119" s="133">
        <v>62.3</v>
      </c>
      <c r="N119" s="133">
        <v>69.8</v>
      </c>
      <c r="O119" s="133">
        <v>73</v>
      </c>
      <c r="P119" s="133">
        <v>72.3</v>
      </c>
      <c r="Q119" s="133">
        <v>66.7</v>
      </c>
      <c r="R119" s="133">
        <v>68</v>
      </c>
      <c r="S119" s="80"/>
    </row>
    <row r="120" spans="1:19" ht="11.25" customHeight="1" x14ac:dyDescent="0.2">
      <c r="A120" s="125" t="s">
        <v>219</v>
      </c>
      <c r="B120" s="126" t="s">
        <v>220</v>
      </c>
      <c r="C120" s="131">
        <v>1414</v>
      </c>
      <c r="E120" s="133">
        <v>50.8</v>
      </c>
      <c r="F120" s="133">
        <v>33.5</v>
      </c>
      <c r="H120" s="133">
        <v>98.5</v>
      </c>
      <c r="I120" s="133">
        <v>98.8</v>
      </c>
      <c r="J120" s="133">
        <v>75.3</v>
      </c>
      <c r="K120" s="133">
        <v>65.8</v>
      </c>
      <c r="L120" s="133">
        <v>64.400000000000006</v>
      </c>
      <c r="N120" s="133">
        <v>79.7</v>
      </c>
      <c r="O120" s="133">
        <v>78.7</v>
      </c>
      <c r="P120" s="133">
        <v>78.099999999999994</v>
      </c>
      <c r="Q120" s="133">
        <v>76.900000000000006</v>
      </c>
      <c r="R120" s="133">
        <v>76.599999999999994</v>
      </c>
      <c r="S120" s="80"/>
    </row>
    <row r="121" spans="1:19" ht="11.25" customHeight="1" x14ac:dyDescent="0.2">
      <c r="A121" s="3"/>
      <c r="B121" s="126"/>
      <c r="S121" s="80"/>
    </row>
    <row r="122" spans="1:19" ht="11.25" customHeight="1" x14ac:dyDescent="0.2">
      <c r="A122" s="17" t="s">
        <v>221</v>
      </c>
      <c r="B122" s="17" t="s">
        <v>222</v>
      </c>
      <c r="C122" s="76">
        <v>51910</v>
      </c>
      <c r="D122" s="1"/>
      <c r="E122" s="132">
        <v>43.9</v>
      </c>
      <c r="F122" s="132">
        <v>29.9</v>
      </c>
      <c r="G122" s="1"/>
      <c r="H122" s="132">
        <v>97.1</v>
      </c>
      <c r="I122" s="132">
        <v>97.9</v>
      </c>
      <c r="J122" s="132">
        <v>71.2</v>
      </c>
      <c r="K122" s="132">
        <v>66.599999999999994</v>
      </c>
      <c r="L122" s="132">
        <v>58.1</v>
      </c>
      <c r="M122" s="1"/>
      <c r="N122" s="132">
        <v>73.5</v>
      </c>
      <c r="O122" s="132">
        <v>75.8</v>
      </c>
      <c r="P122" s="132">
        <v>76.8</v>
      </c>
      <c r="Q122" s="132">
        <v>69.900000000000006</v>
      </c>
      <c r="R122" s="132">
        <v>75.599999999999994</v>
      </c>
      <c r="S122" s="80"/>
    </row>
    <row r="123" spans="1:19" ht="11.25" customHeight="1" x14ac:dyDescent="0.2">
      <c r="A123" s="125" t="s">
        <v>223</v>
      </c>
      <c r="B123" s="126" t="s">
        <v>224</v>
      </c>
      <c r="C123" s="131">
        <v>2220</v>
      </c>
      <c r="E123" s="133">
        <v>22.6</v>
      </c>
      <c r="F123" s="133">
        <v>13.6</v>
      </c>
      <c r="H123" s="133">
        <v>95</v>
      </c>
      <c r="I123" s="133">
        <v>96.7</v>
      </c>
      <c r="J123" s="133">
        <v>59.3</v>
      </c>
      <c r="K123" s="133">
        <v>56.7</v>
      </c>
      <c r="L123" s="133">
        <v>38.5</v>
      </c>
      <c r="N123" s="133">
        <v>73.599999999999994</v>
      </c>
      <c r="O123" s="133">
        <v>66.400000000000006</v>
      </c>
      <c r="P123" s="133">
        <v>70.3</v>
      </c>
      <c r="Q123" s="133">
        <v>64.099999999999994</v>
      </c>
      <c r="R123" s="133">
        <v>67.5</v>
      </c>
      <c r="S123" s="80"/>
    </row>
    <row r="124" spans="1:19" ht="11.25" customHeight="1" x14ac:dyDescent="0.2">
      <c r="A124" s="125" t="s">
        <v>225</v>
      </c>
      <c r="B124" s="126" t="s">
        <v>226</v>
      </c>
      <c r="C124" s="131">
        <v>3485</v>
      </c>
      <c r="E124" s="133">
        <v>51.2</v>
      </c>
      <c r="F124" s="133">
        <v>40.6</v>
      </c>
      <c r="H124" s="133">
        <v>96.6</v>
      </c>
      <c r="I124" s="133">
        <v>98</v>
      </c>
      <c r="J124" s="133">
        <v>78.3</v>
      </c>
      <c r="K124" s="133">
        <v>74.3</v>
      </c>
      <c r="L124" s="133">
        <v>63.4</v>
      </c>
      <c r="N124" s="133">
        <v>77.3</v>
      </c>
      <c r="O124" s="133">
        <v>79.7</v>
      </c>
      <c r="P124" s="133">
        <v>80.900000000000006</v>
      </c>
      <c r="Q124" s="133">
        <v>77.5</v>
      </c>
      <c r="R124" s="133">
        <v>84.1</v>
      </c>
      <c r="S124" s="80"/>
    </row>
    <row r="125" spans="1:19" ht="11.25" customHeight="1" x14ac:dyDescent="0.2">
      <c r="A125" s="125" t="s">
        <v>227</v>
      </c>
      <c r="B125" s="126" t="s">
        <v>228</v>
      </c>
      <c r="C125" s="131">
        <v>3203</v>
      </c>
      <c r="E125" s="133">
        <v>38.5</v>
      </c>
      <c r="F125" s="133">
        <v>29.2</v>
      </c>
      <c r="H125" s="133">
        <v>97.8</v>
      </c>
      <c r="I125" s="133">
        <v>98.3</v>
      </c>
      <c r="J125" s="133">
        <v>60</v>
      </c>
      <c r="K125" s="133">
        <v>64.7</v>
      </c>
      <c r="L125" s="133">
        <v>52.6</v>
      </c>
      <c r="N125" s="133">
        <v>71</v>
      </c>
      <c r="O125" s="133">
        <v>76.3</v>
      </c>
      <c r="P125" s="133">
        <v>81.5</v>
      </c>
      <c r="Q125" s="133">
        <v>68.5</v>
      </c>
      <c r="R125" s="133">
        <v>77.8</v>
      </c>
      <c r="S125" s="80"/>
    </row>
    <row r="126" spans="1:19" ht="11.25" customHeight="1" x14ac:dyDescent="0.2">
      <c r="A126" s="125" t="s">
        <v>229</v>
      </c>
      <c r="B126" s="126" t="s">
        <v>230</v>
      </c>
      <c r="C126" s="131">
        <v>2898</v>
      </c>
      <c r="E126" s="133">
        <v>49.1</v>
      </c>
      <c r="F126" s="133">
        <v>33.1</v>
      </c>
      <c r="H126" s="133">
        <v>96.9</v>
      </c>
      <c r="I126" s="133">
        <v>98</v>
      </c>
      <c r="J126" s="133">
        <v>76</v>
      </c>
      <c r="K126" s="133">
        <v>67.599999999999994</v>
      </c>
      <c r="L126" s="133">
        <v>65.2</v>
      </c>
      <c r="N126" s="133">
        <v>70.099999999999994</v>
      </c>
      <c r="O126" s="133">
        <v>74.099999999999994</v>
      </c>
      <c r="P126" s="133">
        <v>74.099999999999994</v>
      </c>
      <c r="Q126" s="133">
        <v>66.8</v>
      </c>
      <c r="R126" s="133">
        <v>77.8</v>
      </c>
      <c r="S126" s="80"/>
    </row>
    <row r="127" spans="1:19" ht="11.25" customHeight="1" x14ac:dyDescent="0.2">
      <c r="A127" s="125" t="s">
        <v>231</v>
      </c>
      <c r="B127" s="126" t="s">
        <v>232</v>
      </c>
      <c r="C127" s="131">
        <v>3418</v>
      </c>
      <c r="E127" s="133">
        <v>44.7</v>
      </c>
      <c r="F127" s="133">
        <v>31.9</v>
      </c>
      <c r="H127" s="133">
        <v>98</v>
      </c>
      <c r="I127" s="133">
        <v>99</v>
      </c>
      <c r="J127" s="133">
        <v>73.3</v>
      </c>
      <c r="K127" s="133">
        <v>68</v>
      </c>
      <c r="L127" s="133">
        <v>53.8</v>
      </c>
      <c r="N127" s="133">
        <v>80.900000000000006</v>
      </c>
      <c r="O127" s="133">
        <v>80.900000000000006</v>
      </c>
      <c r="P127" s="133">
        <v>79.900000000000006</v>
      </c>
      <c r="Q127" s="133">
        <v>75.8</v>
      </c>
      <c r="R127" s="133">
        <v>77.099999999999994</v>
      </c>
      <c r="S127" s="80"/>
    </row>
    <row r="128" spans="1:19" ht="11.25" customHeight="1" x14ac:dyDescent="0.2">
      <c r="A128" s="125" t="s">
        <v>233</v>
      </c>
      <c r="B128" s="126" t="s">
        <v>234</v>
      </c>
      <c r="C128" s="131">
        <v>3765</v>
      </c>
      <c r="E128" s="133">
        <v>42.5</v>
      </c>
      <c r="F128" s="133">
        <v>23.5</v>
      </c>
      <c r="H128" s="133">
        <v>96.8</v>
      </c>
      <c r="I128" s="133">
        <v>98</v>
      </c>
      <c r="J128" s="133">
        <v>64.7</v>
      </c>
      <c r="K128" s="133">
        <v>65</v>
      </c>
      <c r="L128" s="133">
        <v>59.2</v>
      </c>
      <c r="N128" s="133">
        <v>72.900000000000006</v>
      </c>
      <c r="O128" s="133">
        <v>73.8</v>
      </c>
      <c r="P128" s="133">
        <v>77.2</v>
      </c>
      <c r="Q128" s="133">
        <v>61.4</v>
      </c>
      <c r="R128" s="133">
        <v>66.099999999999994</v>
      </c>
      <c r="S128" s="80"/>
    </row>
    <row r="129" spans="1:19" ht="11.25" customHeight="1" x14ac:dyDescent="0.2">
      <c r="A129" s="125" t="s">
        <v>235</v>
      </c>
      <c r="B129" s="126" t="s">
        <v>236</v>
      </c>
      <c r="C129" s="131">
        <v>2880</v>
      </c>
      <c r="E129" s="133">
        <v>46.9</v>
      </c>
      <c r="F129" s="133">
        <v>29.8</v>
      </c>
      <c r="H129" s="133">
        <v>97</v>
      </c>
      <c r="I129" s="133">
        <v>97.6</v>
      </c>
      <c r="J129" s="133">
        <v>77</v>
      </c>
      <c r="K129" s="133">
        <v>65.900000000000006</v>
      </c>
      <c r="L129" s="133">
        <v>59.7</v>
      </c>
      <c r="N129" s="133">
        <v>69.2</v>
      </c>
      <c r="O129" s="133">
        <v>72.8</v>
      </c>
      <c r="P129" s="133">
        <v>70.7</v>
      </c>
      <c r="Q129" s="133">
        <v>68.599999999999994</v>
      </c>
      <c r="R129" s="133">
        <v>77.8</v>
      </c>
      <c r="S129" s="80"/>
    </row>
    <row r="130" spans="1:19" ht="11.25" customHeight="1" x14ac:dyDescent="0.2">
      <c r="A130" s="125" t="s">
        <v>237</v>
      </c>
      <c r="B130" s="126" t="s">
        <v>238</v>
      </c>
      <c r="C130" s="131">
        <v>3786</v>
      </c>
      <c r="E130" s="133">
        <v>45.4</v>
      </c>
      <c r="F130" s="133">
        <v>27.8</v>
      </c>
      <c r="H130" s="133">
        <v>96.8</v>
      </c>
      <c r="I130" s="133">
        <v>97.3</v>
      </c>
      <c r="J130" s="133">
        <v>66.900000000000006</v>
      </c>
      <c r="K130" s="133">
        <v>66.2</v>
      </c>
      <c r="L130" s="133">
        <v>66</v>
      </c>
      <c r="N130" s="133">
        <v>73.2</v>
      </c>
      <c r="O130" s="133">
        <v>72.2</v>
      </c>
      <c r="P130" s="133">
        <v>75.7</v>
      </c>
      <c r="Q130" s="133">
        <v>65</v>
      </c>
      <c r="R130" s="133">
        <v>71.7</v>
      </c>
      <c r="S130" s="80"/>
    </row>
    <row r="131" spans="1:19" ht="11.25" customHeight="1" x14ac:dyDescent="0.2">
      <c r="A131" s="125" t="s">
        <v>239</v>
      </c>
      <c r="B131" s="126" t="s">
        <v>240</v>
      </c>
      <c r="C131" s="131">
        <v>2140</v>
      </c>
      <c r="E131" s="133">
        <v>37.9</v>
      </c>
      <c r="F131" s="133">
        <v>23.9</v>
      </c>
      <c r="H131" s="133">
        <v>97.7</v>
      </c>
      <c r="I131" s="133">
        <v>97.6</v>
      </c>
      <c r="J131" s="133">
        <v>63.7</v>
      </c>
      <c r="K131" s="133">
        <v>59.2</v>
      </c>
      <c r="L131" s="133">
        <v>53.1</v>
      </c>
      <c r="N131" s="133">
        <v>72.400000000000006</v>
      </c>
      <c r="O131" s="133">
        <v>76.400000000000006</v>
      </c>
      <c r="P131" s="133">
        <v>79.8</v>
      </c>
      <c r="Q131" s="133">
        <v>69.099999999999994</v>
      </c>
      <c r="R131" s="133">
        <v>69</v>
      </c>
      <c r="S131" s="80"/>
    </row>
    <row r="132" spans="1:19" ht="11.25" customHeight="1" x14ac:dyDescent="0.2">
      <c r="A132" s="125" t="s">
        <v>241</v>
      </c>
      <c r="B132" s="126" t="s">
        <v>242</v>
      </c>
      <c r="C132" s="131">
        <v>2152</v>
      </c>
      <c r="E132" s="133">
        <v>51</v>
      </c>
      <c r="F132" s="133">
        <v>32.200000000000003</v>
      </c>
      <c r="H132" s="133">
        <v>97.4</v>
      </c>
      <c r="I132" s="133">
        <v>97.8</v>
      </c>
      <c r="J132" s="133">
        <v>79.599999999999994</v>
      </c>
      <c r="K132" s="133">
        <v>75.5</v>
      </c>
      <c r="L132" s="133">
        <v>61.8</v>
      </c>
      <c r="N132" s="133">
        <v>72.900000000000006</v>
      </c>
      <c r="O132" s="133">
        <v>77.7</v>
      </c>
      <c r="P132" s="133">
        <v>72.400000000000006</v>
      </c>
      <c r="Q132" s="133">
        <v>68.8</v>
      </c>
      <c r="R132" s="133">
        <v>73.8</v>
      </c>
      <c r="S132" s="80"/>
    </row>
    <row r="133" spans="1:19" ht="11.25" customHeight="1" x14ac:dyDescent="0.2">
      <c r="A133" s="125" t="s">
        <v>243</v>
      </c>
      <c r="B133" s="126" t="s">
        <v>244</v>
      </c>
      <c r="C133" s="131">
        <v>3046</v>
      </c>
      <c r="E133" s="133">
        <v>43.8</v>
      </c>
      <c r="F133" s="133">
        <v>24.4</v>
      </c>
      <c r="H133" s="133">
        <v>97.6</v>
      </c>
      <c r="I133" s="133">
        <v>98.4</v>
      </c>
      <c r="J133" s="133">
        <v>78.5</v>
      </c>
      <c r="K133" s="133">
        <v>65.8</v>
      </c>
      <c r="L133" s="133">
        <v>59.7</v>
      </c>
      <c r="N133" s="133">
        <v>73.2</v>
      </c>
      <c r="O133" s="133">
        <v>74.8</v>
      </c>
      <c r="P133" s="133">
        <v>60.2</v>
      </c>
      <c r="Q133" s="133">
        <v>67</v>
      </c>
      <c r="R133" s="133">
        <v>63.4</v>
      </c>
      <c r="S133" s="80"/>
    </row>
    <row r="134" spans="1:19" ht="11.25" customHeight="1" x14ac:dyDescent="0.2">
      <c r="A134" s="125" t="s">
        <v>245</v>
      </c>
      <c r="B134" s="126" t="s">
        <v>246</v>
      </c>
      <c r="C134" s="131">
        <v>3023</v>
      </c>
      <c r="E134" s="133">
        <v>33.700000000000003</v>
      </c>
      <c r="F134" s="133">
        <v>22.5</v>
      </c>
      <c r="H134" s="133">
        <v>97.6</v>
      </c>
      <c r="I134" s="133">
        <v>97.8</v>
      </c>
      <c r="J134" s="133">
        <v>65.8</v>
      </c>
      <c r="K134" s="133">
        <v>57.8</v>
      </c>
      <c r="L134" s="133">
        <v>49.1</v>
      </c>
      <c r="N134" s="133">
        <v>69.3</v>
      </c>
      <c r="O134" s="133">
        <v>72.3</v>
      </c>
      <c r="P134" s="133">
        <v>76</v>
      </c>
      <c r="Q134" s="133">
        <v>68.7</v>
      </c>
      <c r="R134" s="133">
        <v>74</v>
      </c>
      <c r="S134" s="80"/>
    </row>
    <row r="135" spans="1:19" ht="11.25" customHeight="1" x14ac:dyDescent="0.2">
      <c r="A135" s="125" t="s">
        <v>247</v>
      </c>
      <c r="B135" s="126" t="s">
        <v>248</v>
      </c>
      <c r="C135" s="131">
        <v>2703</v>
      </c>
      <c r="E135" s="133">
        <v>53.6</v>
      </c>
      <c r="F135" s="133">
        <v>34.299999999999997</v>
      </c>
      <c r="H135" s="133">
        <v>97.7</v>
      </c>
      <c r="I135" s="133">
        <v>98.5</v>
      </c>
      <c r="J135" s="133">
        <v>75</v>
      </c>
      <c r="K135" s="133">
        <v>71.099999999999994</v>
      </c>
      <c r="L135" s="133">
        <v>64.2</v>
      </c>
      <c r="N135" s="133">
        <v>72.599999999999994</v>
      </c>
      <c r="O135" s="133">
        <v>77.7</v>
      </c>
      <c r="P135" s="133">
        <v>77</v>
      </c>
      <c r="Q135" s="133">
        <v>70.099999999999994</v>
      </c>
      <c r="R135" s="133">
        <v>73.599999999999994</v>
      </c>
      <c r="S135" s="80"/>
    </row>
    <row r="136" spans="1:19" ht="11.25" customHeight="1" x14ac:dyDescent="0.2">
      <c r="A136" s="125" t="s">
        <v>249</v>
      </c>
      <c r="B136" s="126" t="s">
        <v>250</v>
      </c>
      <c r="C136" s="131">
        <v>1579</v>
      </c>
      <c r="E136" s="133">
        <v>54.5</v>
      </c>
      <c r="F136" s="133">
        <v>40.700000000000003</v>
      </c>
      <c r="H136" s="133">
        <v>96.4</v>
      </c>
      <c r="I136" s="133">
        <v>97</v>
      </c>
      <c r="J136" s="133">
        <v>77.599999999999994</v>
      </c>
      <c r="K136" s="133">
        <v>73.599999999999994</v>
      </c>
      <c r="L136" s="133">
        <v>67.400000000000006</v>
      </c>
      <c r="N136" s="133">
        <v>79.400000000000006</v>
      </c>
      <c r="O136" s="133">
        <v>79.2</v>
      </c>
      <c r="P136" s="133">
        <v>84.7</v>
      </c>
      <c r="Q136" s="133">
        <v>75.599999999999994</v>
      </c>
      <c r="R136" s="133">
        <v>79.400000000000006</v>
      </c>
      <c r="S136" s="80"/>
    </row>
    <row r="137" spans="1:19" ht="11.25" customHeight="1" x14ac:dyDescent="0.2">
      <c r="A137" s="125" t="s">
        <v>251</v>
      </c>
      <c r="B137" s="126" t="s">
        <v>252</v>
      </c>
      <c r="C137" s="131">
        <v>1600</v>
      </c>
      <c r="E137" s="133">
        <v>44.1</v>
      </c>
      <c r="F137" s="133">
        <v>30.2</v>
      </c>
      <c r="H137" s="133">
        <v>95</v>
      </c>
      <c r="I137" s="133">
        <v>97.4</v>
      </c>
      <c r="J137" s="133">
        <v>62.3</v>
      </c>
      <c r="K137" s="133">
        <v>68.7</v>
      </c>
      <c r="L137" s="133">
        <v>55.5</v>
      </c>
      <c r="N137" s="133">
        <v>70.5</v>
      </c>
      <c r="O137" s="133">
        <v>73.3</v>
      </c>
      <c r="P137" s="133">
        <v>85.8</v>
      </c>
      <c r="Q137" s="133">
        <v>66.5</v>
      </c>
      <c r="R137" s="133">
        <v>75.599999999999994</v>
      </c>
      <c r="S137" s="80"/>
    </row>
    <row r="138" spans="1:19" ht="11.25" customHeight="1" x14ac:dyDescent="0.2">
      <c r="A138" s="125" t="s">
        <v>253</v>
      </c>
      <c r="B138" s="126" t="s">
        <v>254</v>
      </c>
      <c r="C138" s="131">
        <v>3419</v>
      </c>
      <c r="E138" s="133">
        <v>42.4</v>
      </c>
      <c r="F138" s="133">
        <v>33.5</v>
      </c>
      <c r="H138" s="133">
        <v>97.1</v>
      </c>
      <c r="I138" s="133">
        <v>98.1</v>
      </c>
      <c r="J138" s="133">
        <v>72.900000000000006</v>
      </c>
      <c r="K138" s="133">
        <v>66.7</v>
      </c>
      <c r="L138" s="133">
        <v>59.9</v>
      </c>
      <c r="N138" s="133">
        <v>76.400000000000006</v>
      </c>
      <c r="O138" s="133">
        <v>79</v>
      </c>
      <c r="P138" s="133">
        <v>82.5</v>
      </c>
      <c r="Q138" s="133">
        <v>75.900000000000006</v>
      </c>
      <c r="R138" s="133">
        <v>82.6</v>
      </c>
      <c r="S138" s="80"/>
    </row>
    <row r="139" spans="1:19" ht="11.25" customHeight="1" x14ac:dyDescent="0.2">
      <c r="A139" s="125" t="s">
        <v>255</v>
      </c>
      <c r="B139" s="126" t="s">
        <v>256</v>
      </c>
      <c r="C139" s="131">
        <v>1322</v>
      </c>
      <c r="E139" s="133">
        <v>56</v>
      </c>
      <c r="F139" s="133">
        <v>41.8</v>
      </c>
      <c r="H139" s="133">
        <v>96.6</v>
      </c>
      <c r="I139" s="133">
        <v>97.5</v>
      </c>
      <c r="J139" s="133">
        <v>77.400000000000006</v>
      </c>
      <c r="K139" s="133">
        <v>77.900000000000006</v>
      </c>
      <c r="L139" s="133">
        <v>64.400000000000006</v>
      </c>
      <c r="N139" s="133">
        <v>74.099999999999994</v>
      </c>
      <c r="O139" s="133">
        <v>78.099999999999994</v>
      </c>
      <c r="P139" s="133">
        <v>78.8</v>
      </c>
      <c r="Q139" s="133">
        <v>72.3</v>
      </c>
      <c r="R139" s="133">
        <v>81.099999999999994</v>
      </c>
      <c r="S139" s="80"/>
    </row>
    <row r="140" spans="1:19" ht="11.25" customHeight="1" x14ac:dyDescent="0.2">
      <c r="A140" s="125" t="s">
        <v>257</v>
      </c>
      <c r="B140" s="126" t="s">
        <v>258</v>
      </c>
      <c r="C140" s="131">
        <v>2693</v>
      </c>
      <c r="E140" s="133">
        <v>51.9</v>
      </c>
      <c r="F140" s="133">
        <v>44.4</v>
      </c>
      <c r="H140" s="133">
        <v>97.7</v>
      </c>
      <c r="I140" s="133">
        <v>98.2</v>
      </c>
      <c r="J140" s="133">
        <v>73.7</v>
      </c>
      <c r="K140" s="133">
        <v>69.2</v>
      </c>
      <c r="L140" s="133">
        <v>62.2</v>
      </c>
      <c r="N140" s="133">
        <v>81</v>
      </c>
      <c r="O140" s="133">
        <v>84.3</v>
      </c>
      <c r="P140" s="133">
        <v>88.1</v>
      </c>
      <c r="Q140" s="133">
        <v>82.8</v>
      </c>
      <c r="R140" s="133">
        <v>87.8</v>
      </c>
      <c r="S140" s="80"/>
    </row>
    <row r="141" spans="1:19" ht="11.25" customHeight="1" x14ac:dyDescent="0.2">
      <c r="A141" s="125" t="s">
        <v>259</v>
      </c>
      <c r="B141" s="126" t="s">
        <v>260</v>
      </c>
      <c r="C141" s="131">
        <v>2578</v>
      </c>
      <c r="E141" s="133">
        <v>29.9</v>
      </c>
      <c r="F141" s="133">
        <v>18.2</v>
      </c>
      <c r="H141" s="133">
        <v>97.1</v>
      </c>
      <c r="I141" s="133">
        <v>97.6</v>
      </c>
      <c r="J141" s="133">
        <v>73.3</v>
      </c>
      <c r="K141" s="133">
        <v>59.5</v>
      </c>
      <c r="L141" s="133">
        <v>47.3</v>
      </c>
      <c r="N141" s="133">
        <v>65.5</v>
      </c>
      <c r="O141" s="133">
        <v>70.599999999999994</v>
      </c>
      <c r="P141" s="133">
        <v>70.3</v>
      </c>
      <c r="Q141" s="133">
        <v>61.3</v>
      </c>
      <c r="R141" s="133">
        <v>75.5</v>
      </c>
      <c r="S141" s="80"/>
    </row>
    <row r="142" spans="1:19" ht="11.25" customHeight="1" x14ac:dyDescent="0.2">
      <c r="A142" s="3"/>
      <c r="B142" s="126"/>
      <c r="S142" s="80"/>
    </row>
    <row r="143" spans="1:19" ht="11.25" customHeight="1" x14ac:dyDescent="0.2">
      <c r="A143" s="16" t="s">
        <v>387</v>
      </c>
      <c r="B143" s="17" t="s">
        <v>261</v>
      </c>
      <c r="C143" s="76">
        <v>89627</v>
      </c>
      <c r="D143" s="1"/>
      <c r="E143" s="132">
        <v>36.299999999999997</v>
      </c>
      <c r="F143" s="132">
        <v>24.5</v>
      </c>
      <c r="G143" s="1"/>
      <c r="H143" s="132">
        <v>96.8</v>
      </c>
      <c r="I143" s="132">
        <v>97.7</v>
      </c>
      <c r="J143" s="132">
        <v>68.900000000000006</v>
      </c>
      <c r="K143" s="132">
        <v>61.9</v>
      </c>
      <c r="L143" s="132">
        <v>48.2</v>
      </c>
      <c r="M143" s="1"/>
      <c r="N143" s="132">
        <v>70.400000000000006</v>
      </c>
      <c r="O143" s="132">
        <v>72.599999999999994</v>
      </c>
      <c r="P143" s="132">
        <v>73.900000000000006</v>
      </c>
      <c r="Q143" s="132">
        <v>68.8</v>
      </c>
      <c r="R143" s="132">
        <v>71</v>
      </c>
      <c r="S143" s="80"/>
    </row>
    <row r="144" spans="1:19" ht="11.25" customHeight="1" x14ac:dyDescent="0.2">
      <c r="A144" s="125" t="s">
        <v>460</v>
      </c>
      <c r="B144" s="126" t="s">
        <v>262</v>
      </c>
      <c r="C144" s="131">
        <v>1081</v>
      </c>
      <c r="E144" s="133">
        <v>31.2</v>
      </c>
      <c r="F144" s="133">
        <v>23.2</v>
      </c>
      <c r="H144" s="133">
        <v>97.5</v>
      </c>
      <c r="I144" s="133">
        <v>97.9</v>
      </c>
      <c r="J144" s="133">
        <v>54.7</v>
      </c>
      <c r="K144" s="133">
        <v>65.3</v>
      </c>
      <c r="L144" s="133">
        <v>43.7</v>
      </c>
      <c r="N144" s="133">
        <v>69</v>
      </c>
      <c r="O144" s="133">
        <v>74.5</v>
      </c>
      <c r="P144" s="133">
        <v>86.3</v>
      </c>
      <c r="Q144" s="133">
        <v>69.5</v>
      </c>
      <c r="R144" s="133">
        <v>72.5</v>
      </c>
      <c r="S144" s="80"/>
    </row>
    <row r="145" spans="1:19" ht="11.25" customHeight="1" x14ac:dyDescent="0.2">
      <c r="A145" s="125" t="s">
        <v>263</v>
      </c>
      <c r="B145" s="126" t="s">
        <v>264</v>
      </c>
      <c r="C145" s="131">
        <v>2294</v>
      </c>
      <c r="E145" s="133">
        <v>35.200000000000003</v>
      </c>
      <c r="F145" s="133">
        <v>24.5</v>
      </c>
      <c r="H145" s="133">
        <v>95.7</v>
      </c>
      <c r="I145" s="133">
        <v>96.7</v>
      </c>
      <c r="J145" s="133">
        <v>68.7</v>
      </c>
      <c r="K145" s="133">
        <v>62.3</v>
      </c>
      <c r="L145" s="133">
        <v>45.4</v>
      </c>
      <c r="N145" s="133">
        <v>72.8</v>
      </c>
      <c r="O145" s="133">
        <v>70.400000000000006</v>
      </c>
      <c r="P145" s="133">
        <v>71.7</v>
      </c>
      <c r="Q145" s="133">
        <v>69.8</v>
      </c>
      <c r="R145" s="133">
        <v>74.900000000000006</v>
      </c>
      <c r="S145" s="80"/>
    </row>
    <row r="146" spans="1:19" ht="11.25" customHeight="1" x14ac:dyDescent="0.2">
      <c r="A146" s="125" t="s">
        <v>265</v>
      </c>
      <c r="B146" s="126" t="s">
        <v>266</v>
      </c>
      <c r="C146" s="131">
        <v>5554</v>
      </c>
      <c r="E146" s="133">
        <v>41.3</v>
      </c>
      <c r="F146" s="133">
        <v>34.4</v>
      </c>
      <c r="H146" s="133">
        <v>97.6</v>
      </c>
      <c r="I146" s="133">
        <v>98.4</v>
      </c>
      <c r="J146" s="133">
        <v>80.3</v>
      </c>
      <c r="K146" s="133">
        <v>66.3</v>
      </c>
      <c r="L146" s="133">
        <v>54.4</v>
      </c>
      <c r="N146" s="133">
        <v>77.099999999999994</v>
      </c>
      <c r="O146" s="133">
        <v>81.099999999999994</v>
      </c>
      <c r="P146" s="133">
        <v>76.900000000000006</v>
      </c>
      <c r="Q146" s="133">
        <v>79.900000000000006</v>
      </c>
      <c r="R146" s="133">
        <v>85.3</v>
      </c>
      <c r="S146" s="80"/>
    </row>
    <row r="147" spans="1:19" ht="11.25" customHeight="1" x14ac:dyDescent="0.2">
      <c r="A147" s="125" t="s">
        <v>267</v>
      </c>
      <c r="B147" s="126" t="s">
        <v>268</v>
      </c>
      <c r="C147" s="131">
        <v>5353</v>
      </c>
      <c r="E147" s="133">
        <v>27.8</v>
      </c>
      <c r="F147" s="133">
        <v>18.600000000000001</v>
      </c>
      <c r="H147" s="133">
        <v>97.3</v>
      </c>
      <c r="I147" s="133">
        <v>97.7</v>
      </c>
      <c r="J147" s="133">
        <v>63.1</v>
      </c>
      <c r="K147" s="133">
        <v>52.4</v>
      </c>
      <c r="L147" s="133">
        <v>38.4</v>
      </c>
      <c r="N147" s="133">
        <v>69</v>
      </c>
      <c r="O147" s="133">
        <v>69.5</v>
      </c>
      <c r="P147" s="133">
        <v>71.7</v>
      </c>
      <c r="Q147" s="133">
        <v>69.900000000000006</v>
      </c>
      <c r="R147" s="133">
        <v>71.400000000000006</v>
      </c>
      <c r="S147" s="80"/>
    </row>
    <row r="148" spans="1:19" ht="11.25" customHeight="1" x14ac:dyDescent="0.2">
      <c r="A148" s="125" t="s">
        <v>269</v>
      </c>
      <c r="B148" s="126" t="s">
        <v>270</v>
      </c>
      <c r="C148" s="131">
        <v>13941</v>
      </c>
      <c r="E148" s="133">
        <v>37.200000000000003</v>
      </c>
      <c r="F148" s="133">
        <v>24.8</v>
      </c>
      <c r="H148" s="133">
        <v>97.2</v>
      </c>
      <c r="I148" s="133">
        <v>98.1</v>
      </c>
      <c r="J148" s="133">
        <v>74.2</v>
      </c>
      <c r="K148" s="133">
        <v>65.599999999999994</v>
      </c>
      <c r="L148" s="133">
        <v>47.5</v>
      </c>
      <c r="N148" s="133">
        <v>67.7</v>
      </c>
      <c r="O148" s="133">
        <v>72.099999999999994</v>
      </c>
      <c r="P148" s="133">
        <v>72.900000000000006</v>
      </c>
      <c r="Q148" s="133">
        <v>67.900000000000006</v>
      </c>
      <c r="R148" s="133">
        <v>69.400000000000006</v>
      </c>
      <c r="S148" s="80"/>
    </row>
    <row r="149" spans="1:19" ht="11.25" customHeight="1" x14ac:dyDescent="0.2">
      <c r="A149" s="125" t="s">
        <v>271</v>
      </c>
      <c r="B149" s="126" t="s">
        <v>272</v>
      </c>
      <c r="C149" s="131">
        <v>1484</v>
      </c>
      <c r="E149" s="133">
        <v>21.3</v>
      </c>
      <c r="F149" s="133">
        <v>10.1</v>
      </c>
      <c r="H149" s="133">
        <v>94.7</v>
      </c>
      <c r="I149" s="133">
        <v>95.7</v>
      </c>
      <c r="J149" s="133">
        <v>45.1</v>
      </c>
      <c r="K149" s="133">
        <v>52</v>
      </c>
      <c r="L149" s="133">
        <v>34.1</v>
      </c>
      <c r="N149" s="133">
        <v>59.2</v>
      </c>
      <c r="O149" s="133">
        <v>62.9</v>
      </c>
      <c r="P149" s="133">
        <v>65.7</v>
      </c>
      <c r="Q149" s="133">
        <v>57.4</v>
      </c>
      <c r="R149" s="133">
        <v>44.5</v>
      </c>
      <c r="S149" s="80"/>
    </row>
    <row r="150" spans="1:19" ht="11.25" customHeight="1" x14ac:dyDescent="0.2">
      <c r="A150" s="125" t="s">
        <v>273</v>
      </c>
      <c r="B150" s="126" t="s">
        <v>274</v>
      </c>
      <c r="C150" s="131">
        <v>16698</v>
      </c>
      <c r="E150" s="133">
        <v>37.9</v>
      </c>
      <c r="F150" s="133">
        <v>25</v>
      </c>
      <c r="H150" s="133">
        <v>97</v>
      </c>
      <c r="I150" s="133">
        <v>97.7</v>
      </c>
      <c r="J150" s="133">
        <v>60.4</v>
      </c>
      <c r="K150" s="133">
        <v>58.6</v>
      </c>
      <c r="L150" s="133">
        <v>49.5</v>
      </c>
      <c r="N150" s="133">
        <v>71.2</v>
      </c>
      <c r="O150" s="133">
        <v>71.2</v>
      </c>
      <c r="P150" s="133">
        <v>75.3</v>
      </c>
      <c r="Q150" s="133">
        <v>66.8</v>
      </c>
      <c r="R150" s="133">
        <v>69.5</v>
      </c>
      <c r="S150" s="80"/>
    </row>
    <row r="151" spans="1:19" ht="11.25" customHeight="1" x14ac:dyDescent="0.2">
      <c r="A151" s="125" t="s">
        <v>275</v>
      </c>
      <c r="B151" s="126" t="s">
        <v>276</v>
      </c>
      <c r="C151" s="131">
        <v>3242</v>
      </c>
      <c r="E151" s="133">
        <v>30.4</v>
      </c>
      <c r="F151" s="133">
        <v>18.600000000000001</v>
      </c>
      <c r="H151" s="133">
        <v>96.6</v>
      </c>
      <c r="I151" s="133">
        <v>98.1</v>
      </c>
      <c r="J151" s="133">
        <v>60.4</v>
      </c>
      <c r="K151" s="133">
        <v>56.9</v>
      </c>
      <c r="L151" s="133">
        <v>41.1</v>
      </c>
      <c r="N151" s="133">
        <v>69</v>
      </c>
      <c r="O151" s="133">
        <v>69.599999999999994</v>
      </c>
      <c r="P151" s="133">
        <v>76.099999999999994</v>
      </c>
      <c r="Q151" s="133">
        <v>61.9</v>
      </c>
      <c r="R151" s="133">
        <v>66.2</v>
      </c>
      <c r="S151" s="80"/>
    </row>
    <row r="152" spans="1:19" ht="11.25" customHeight="1" x14ac:dyDescent="0.2">
      <c r="A152" s="125" t="s">
        <v>277</v>
      </c>
      <c r="B152" s="126" t="s">
        <v>278</v>
      </c>
      <c r="C152" s="131">
        <v>2777</v>
      </c>
      <c r="E152" s="133">
        <v>29</v>
      </c>
      <c r="F152" s="133">
        <v>16.3</v>
      </c>
      <c r="H152" s="133">
        <v>97.4</v>
      </c>
      <c r="I152" s="133">
        <v>98</v>
      </c>
      <c r="J152" s="133">
        <v>64.900000000000006</v>
      </c>
      <c r="K152" s="133">
        <v>49.7</v>
      </c>
      <c r="L152" s="133">
        <v>45.5</v>
      </c>
      <c r="N152" s="133">
        <v>70</v>
      </c>
      <c r="O152" s="133">
        <v>71.5</v>
      </c>
      <c r="P152" s="133">
        <v>72.2</v>
      </c>
      <c r="Q152" s="133">
        <v>66</v>
      </c>
      <c r="R152" s="133">
        <v>63.6</v>
      </c>
      <c r="S152" s="80"/>
    </row>
    <row r="153" spans="1:19" ht="11.25" customHeight="1" x14ac:dyDescent="0.2">
      <c r="A153" s="125" t="s">
        <v>279</v>
      </c>
      <c r="B153" s="126" t="s">
        <v>280</v>
      </c>
      <c r="C153" s="131">
        <v>6261</v>
      </c>
      <c r="E153" s="133">
        <v>34.700000000000003</v>
      </c>
      <c r="F153" s="133">
        <v>24</v>
      </c>
      <c r="H153" s="133">
        <v>97.2</v>
      </c>
      <c r="I153" s="133">
        <v>97.8</v>
      </c>
      <c r="J153" s="133">
        <v>77.2</v>
      </c>
      <c r="K153" s="133">
        <v>65.2</v>
      </c>
      <c r="L153" s="133">
        <v>44.8</v>
      </c>
      <c r="N153" s="133">
        <v>68.7</v>
      </c>
      <c r="O153" s="133">
        <v>71.2</v>
      </c>
      <c r="P153" s="133">
        <v>69.900000000000006</v>
      </c>
      <c r="Q153" s="133">
        <v>69.3</v>
      </c>
      <c r="R153" s="133">
        <v>71.900000000000006</v>
      </c>
      <c r="S153" s="80"/>
    </row>
    <row r="154" spans="1:19" ht="11.25" customHeight="1" x14ac:dyDescent="0.2">
      <c r="A154" s="125" t="s">
        <v>281</v>
      </c>
      <c r="B154" s="126" t="s">
        <v>282</v>
      </c>
      <c r="C154" s="131">
        <v>1864</v>
      </c>
      <c r="E154" s="133">
        <v>32.299999999999997</v>
      </c>
      <c r="F154" s="133">
        <v>17.7</v>
      </c>
      <c r="H154" s="133">
        <v>91.8</v>
      </c>
      <c r="I154" s="133">
        <v>95.8</v>
      </c>
      <c r="J154" s="133">
        <v>60.9</v>
      </c>
      <c r="K154" s="133">
        <v>59.5</v>
      </c>
      <c r="L154" s="133">
        <v>46.1</v>
      </c>
      <c r="N154" s="133">
        <v>54.5</v>
      </c>
      <c r="O154" s="133">
        <v>60</v>
      </c>
      <c r="P154" s="133">
        <v>57</v>
      </c>
      <c r="Q154" s="133">
        <v>54.3</v>
      </c>
      <c r="R154" s="133">
        <v>56.3</v>
      </c>
      <c r="S154" s="80"/>
    </row>
    <row r="155" spans="1:19" ht="11.25" customHeight="1" x14ac:dyDescent="0.2">
      <c r="A155" s="125" t="s">
        <v>283</v>
      </c>
      <c r="B155" s="126" t="s">
        <v>284</v>
      </c>
      <c r="C155" s="131">
        <v>1092</v>
      </c>
      <c r="E155" s="133">
        <v>34.799999999999997</v>
      </c>
      <c r="F155" s="133">
        <v>28.8</v>
      </c>
      <c r="H155" s="133">
        <v>96.8</v>
      </c>
      <c r="I155" s="133">
        <v>97.1</v>
      </c>
      <c r="J155" s="133">
        <v>62.9</v>
      </c>
      <c r="K155" s="133">
        <v>64.400000000000006</v>
      </c>
      <c r="L155" s="133">
        <v>43.6</v>
      </c>
      <c r="N155" s="133">
        <v>69</v>
      </c>
      <c r="O155" s="133">
        <v>72.2</v>
      </c>
      <c r="P155" s="133">
        <v>84.3</v>
      </c>
      <c r="Q155" s="133">
        <v>72.3</v>
      </c>
      <c r="R155" s="133">
        <v>83.4</v>
      </c>
      <c r="S155" s="80"/>
    </row>
    <row r="156" spans="1:19" ht="11.25" customHeight="1" x14ac:dyDescent="0.2">
      <c r="A156" s="125" t="s">
        <v>285</v>
      </c>
      <c r="B156" s="126" t="s">
        <v>286</v>
      </c>
      <c r="C156" s="131">
        <v>1670</v>
      </c>
      <c r="E156" s="133">
        <v>30.2</v>
      </c>
      <c r="F156" s="133">
        <v>25.9</v>
      </c>
      <c r="H156" s="133">
        <v>97.4</v>
      </c>
      <c r="I156" s="133">
        <v>98.3</v>
      </c>
      <c r="J156" s="133">
        <v>62.3</v>
      </c>
      <c r="K156" s="133">
        <v>53.7</v>
      </c>
      <c r="L156" s="133">
        <v>52.2</v>
      </c>
      <c r="N156" s="133">
        <v>76.2</v>
      </c>
      <c r="O156" s="133">
        <v>79.2</v>
      </c>
      <c r="P156" s="133">
        <v>93.2</v>
      </c>
      <c r="Q156" s="133">
        <v>74.400000000000006</v>
      </c>
      <c r="R156" s="133">
        <v>85.2</v>
      </c>
      <c r="S156" s="80"/>
    </row>
    <row r="157" spans="1:19" ht="11.25" customHeight="1" x14ac:dyDescent="0.2">
      <c r="A157" s="125" t="s">
        <v>287</v>
      </c>
      <c r="B157" s="126" t="s">
        <v>288</v>
      </c>
      <c r="C157" s="131">
        <v>2083</v>
      </c>
      <c r="E157" s="133">
        <v>30.7</v>
      </c>
      <c r="F157" s="133">
        <v>16.8</v>
      </c>
      <c r="H157" s="133">
        <v>96.9</v>
      </c>
      <c r="I157" s="133">
        <v>97.4</v>
      </c>
      <c r="J157" s="133">
        <v>59.7</v>
      </c>
      <c r="K157" s="133">
        <v>52.3</v>
      </c>
      <c r="L157" s="133">
        <v>41.1</v>
      </c>
      <c r="N157" s="133">
        <v>65.099999999999994</v>
      </c>
      <c r="O157" s="133">
        <v>69.400000000000006</v>
      </c>
      <c r="P157" s="133">
        <v>62.3</v>
      </c>
      <c r="Q157" s="133">
        <v>60.2</v>
      </c>
      <c r="R157" s="133">
        <v>61</v>
      </c>
      <c r="S157" s="80"/>
    </row>
    <row r="158" spans="1:19" ht="11.25" customHeight="1" x14ac:dyDescent="0.2">
      <c r="A158" s="125" t="s">
        <v>289</v>
      </c>
      <c r="B158" s="126" t="s">
        <v>290</v>
      </c>
      <c r="C158" s="131">
        <v>10659</v>
      </c>
      <c r="E158" s="133">
        <v>45.6</v>
      </c>
      <c r="F158" s="133">
        <v>30</v>
      </c>
      <c r="H158" s="133">
        <v>96.6</v>
      </c>
      <c r="I158" s="133">
        <v>97.6</v>
      </c>
      <c r="J158" s="133">
        <v>74.5</v>
      </c>
      <c r="K158" s="133">
        <v>69</v>
      </c>
      <c r="L158" s="133">
        <v>59.1</v>
      </c>
      <c r="N158" s="133">
        <v>75.400000000000006</v>
      </c>
      <c r="O158" s="133">
        <v>76.7</v>
      </c>
      <c r="P158" s="133">
        <v>77.3</v>
      </c>
      <c r="Q158" s="133">
        <v>72.5</v>
      </c>
      <c r="R158" s="133">
        <v>69.5</v>
      </c>
      <c r="S158" s="80"/>
    </row>
    <row r="159" spans="1:19" ht="11.25" customHeight="1" x14ac:dyDescent="0.2">
      <c r="A159" s="125" t="s">
        <v>291</v>
      </c>
      <c r="B159" s="126" t="s">
        <v>292</v>
      </c>
      <c r="C159" s="131">
        <v>1982</v>
      </c>
      <c r="E159" s="133">
        <v>46.5</v>
      </c>
      <c r="F159" s="133">
        <v>29.8</v>
      </c>
      <c r="H159" s="133">
        <v>96.9</v>
      </c>
      <c r="I159" s="133">
        <v>97.8</v>
      </c>
      <c r="J159" s="133">
        <v>73.599999999999994</v>
      </c>
      <c r="K159" s="133">
        <v>70.599999999999994</v>
      </c>
      <c r="L159" s="133">
        <v>61.6</v>
      </c>
      <c r="N159" s="133">
        <v>67.900000000000006</v>
      </c>
      <c r="O159" s="133">
        <v>73.900000000000006</v>
      </c>
      <c r="P159" s="133">
        <v>73.3</v>
      </c>
      <c r="Q159" s="133">
        <v>67.2</v>
      </c>
      <c r="R159" s="133">
        <v>63.9</v>
      </c>
      <c r="S159" s="80"/>
    </row>
    <row r="160" spans="1:19" ht="11.25" customHeight="1" x14ac:dyDescent="0.2">
      <c r="A160" s="125" t="s">
        <v>293</v>
      </c>
      <c r="B160" s="126" t="s">
        <v>294</v>
      </c>
      <c r="C160" s="131">
        <v>8285</v>
      </c>
      <c r="E160" s="133">
        <v>31.3</v>
      </c>
      <c r="F160" s="133">
        <v>21</v>
      </c>
      <c r="H160" s="133">
        <v>96.5</v>
      </c>
      <c r="I160" s="133">
        <v>97.4</v>
      </c>
      <c r="J160" s="133">
        <v>74.400000000000006</v>
      </c>
      <c r="K160" s="133">
        <v>60.1</v>
      </c>
      <c r="L160" s="133">
        <v>42.6</v>
      </c>
      <c r="N160" s="133">
        <v>68.5</v>
      </c>
      <c r="O160" s="133">
        <v>71</v>
      </c>
      <c r="P160" s="133">
        <v>70.5</v>
      </c>
      <c r="Q160" s="133">
        <v>66</v>
      </c>
      <c r="R160" s="133">
        <v>73.599999999999994</v>
      </c>
      <c r="S160" s="80"/>
    </row>
    <row r="161" spans="1:19" ht="11.25" customHeight="1" x14ac:dyDescent="0.2">
      <c r="A161" s="125" t="s">
        <v>295</v>
      </c>
      <c r="B161" s="126" t="s">
        <v>296</v>
      </c>
      <c r="C161" s="131">
        <v>1615</v>
      </c>
      <c r="E161" s="133">
        <v>43.7</v>
      </c>
      <c r="F161" s="133">
        <v>29.4</v>
      </c>
      <c r="H161" s="133">
        <v>98</v>
      </c>
      <c r="I161" s="133">
        <v>98.6</v>
      </c>
      <c r="J161" s="133">
        <v>69.3</v>
      </c>
      <c r="K161" s="133">
        <v>72.8</v>
      </c>
      <c r="L161" s="133">
        <v>54.3</v>
      </c>
      <c r="N161" s="133">
        <v>74.3</v>
      </c>
      <c r="O161" s="133">
        <v>78.3</v>
      </c>
      <c r="P161" s="133">
        <v>75</v>
      </c>
      <c r="Q161" s="133">
        <v>69.400000000000006</v>
      </c>
      <c r="R161" s="133">
        <v>74.3</v>
      </c>
      <c r="S161" s="80"/>
    </row>
    <row r="162" spans="1:19" ht="11.25" customHeight="1" x14ac:dyDescent="0.2">
      <c r="A162" s="125" t="s">
        <v>297</v>
      </c>
      <c r="B162" s="126" t="s">
        <v>298</v>
      </c>
      <c r="C162" s="131">
        <v>1692</v>
      </c>
      <c r="E162" s="133">
        <v>35.799999999999997</v>
      </c>
      <c r="F162" s="133">
        <v>28.4</v>
      </c>
      <c r="H162" s="133">
        <v>97.2</v>
      </c>
      <c r="I162" s="133">
        <v>97.8</v>
      </c>
      <c r="J162" s="133">
        <v>72.5</v>
      </c>
      <c r="K162" s="133">
        <v>65.900000000000006</v>
      </c>
      <c r="L162" s="133">
        <v>49.6</v>
      </c>
      <c r="N162" s="133">
        <v>78.2</v>
      </c>
      <c r="O162" s="133">
        <v>80.400000000000006</v>
      </c>
      <c r="P162" s="133">
        <v>83.4</v>
      </c>
      <c r="Q162" s="133">
        <v>77</v>
      </c>
      <c r="R162" s="133">
        <v>81.5</v>
      </c>
      <c r="S162" s="80"/>
    </row>
    <row r="163" spans="1:19" ht="11.25" customHeight="1" x14ac:dyDescent="0.2">
      <c r="A163" s="3"/>
      <c r="B163" s="126"/>
      <c r="S163" s="80"/>
    </row>
    <row r="164" spans="1:19" ht="11.25" customHeight="1" x14ac:dyDescent="0.2">
      <c r="A164" s="16" t="s">
        <v>388</v>
      </c>
      <c r="B164" s="17" t="s">
        <v>299</v>
      </c>
      <c r="C164" s="76">
        <v>56349</v>
      </c>
      <c r="D164" s="1"/>
      <c r="E164" s="132">
        <v>36</v>
      </c>
      <c r="F164" s="132">
        <v>22.8</v>
      </c>
      <c r="G164" s="1"/>
      <c r="H164" s="132">
        <v>96.2</v>
      </c>
      <c r="I164" s="132">
        <v>97.6</v>
      </c>
      <c r="J164" s="132">
        <v>70.099999999999994</v>
      </c>
      <c r="K164" s="132">
        <v>62.8</v>
      </c>
      <c r="L164" s="132">
        <v>47.6</v>
      </c>
      <c r="M164" s="1"/>
      <c r="N164" s="132">
        <v>67.7</v>
      </c>
      <c r="O164" s="132">
        <v>70.8</v>
      </c>
      <c r="P164" s="132">
        <v>71</v>
      </c>
      <c r="Q164" s="132">
        <v>67.5</v>
      </c>
      <c r="R164" s="132">
        <v>67.8</v>
      </c>
      <c r="S164" s="80"/>
    </row>
    <row r="165" spans="1:19" ht="11.25" customHeight="1" x14ac:dyDescent="0.2">
      <c r="A165" s="125" t="s">
        <v>302</v>
      </c>
      <c r="B165" s="126" t="s">
        <v>303</v>
      </c>
      <c r="C165" s="131">
        <v>2215</v>
      </c>
      <c r="E165" s="133">
        <v>41.9</v>
      </c>
      <c r="F165" s="133">
        <v>29.2</v>
      </c>
      <c r="H165" s="133">
        <v>97</v>
      </c>
      <c r="I165" s="133">
        <v>97.4</v>
      </c>
      <c r="J165" s="133">
        <v>71.5</v>
      </c>
      <c r="K165" s="133">
        <v>65.099999999999994</v>
      </c>
      <c r="L165" s="133">
        <v>50.3</v>
      </c>
      <c r="N165" s="133">
        <v>70.900000000000006</v>
      </c>
      <c r="O165" s="133">
        <v>73.8</v>
      </c>
      <c r="P165" s="133">
        <v>77.599999999999994</v>
      </c>
      <c r="Q165" s="133">
        <v>74</v>
      </c>
      <c r="R165" s="133">
        <v>73.400000000000006</v>
      </c>
      <c r="S165" s="80"/>
    </row>
    <row r="166" spans="1:19" ht="11.25" customHeight="1" x14ac:dyDescent="0.2">
      <c r="A166" s="125" t="s">
        <v>304</v>
      </c>
      <c r="B166" s="126" t="s">
        <v>305</v>
      </c>
      <c r="C166" s="131">
        <v>1726</v>
      </c>
      <c r="E166" s="133">
        <v>34.799999999999997</v>
      </c>
      <c r="F166" s="133">
        <v>23.1</v>
      </c>
      <c r="H166" s="133">
        <v>95.1</v>
      </c>
      <c r="I166" s="133">
        <v>98.1</v>
      </c>
      <c r="J166" s="133">
        <v>68.099999999999994</v>
      </c>
      <c r="K166" s="133">
        <v>59.6</v>
      </c>
      <c r="L166" s="133">
        <v>45</v>
      </c>
      <c r="N166" s="133">
        <v>74.2</v>
      </c>
      <c r="O166" s="133">
        <v>71</v>
      </c>
      <c r="P166" s="133">
        <v>71.900000000000006</v>
      </c>
      <c r="Q166" s="133">
        <v>67.8</v>
      </c>
      <c r="R166" s="133">
        <v>68</v>
      </c>
      <c r="S166" s="80"/>
    </row>
    <row r="167" spans="1:19" ht="11.25" customHeight="1" x14ac:dyDescent="0.2">
      <c r="A167" s="125" t="s">
        <v>306</v>
      </c>
      <c r="B167" s="126" t="s">
        <v>307</v>
      </c>
      <c r="C167" s="131">
        <v>3262</v>
      </c>
      <c r="E167" s="133">
        <v>27.8</v>
      </c>
      <c r="F167" s="133">
        <v>18</v>
      </c>
      <c r="H167" s="133">
        <v>94.4</v>
      </c>
      <c r="I167" s="133">
        <v>95.4</v>
      </c>
      <c r="J167" s="133">
        <v>54.8</v>
      </c>
      <c r="K167" s="133">
        <v>50.6</v>
      </c>
      <c r="L167" s="133">
        <v>41.5</v>
      </c>
      <c r="N167" s="133">
        <v>60.1</v>
      </c>
      <c r="O167" s="133">
        <v>62.3</v>
      </c>
      <c r="P167" s="133">
        <v>75.599999999999994</v>
      </c>
      <c r="Q167" s="133">
        <v>62.6</v>
      </c>
      <c r="R167" s="133">
        <v>69.8</v>
      </c>
      <c r="S167" s="80"/>
    </row>
    <row r="168" spans="1:19" ht="11.25" customHeight="1" x14ac:dyDescent="0.2">
      <c r="A168" s="125" t="s">
        <v>308</v>
      </c>
      <c r="B168" s="126" t="s">
        <v>309</v>
      </c>
      <c r="C168" s="131">
        <v>5852</v>
      </c>
      <c r="E168" s="133">
        <v>37.6</v>
      </c>
      <c r="F168" s="133">
        <v>21.4</v>
      </c>
      <c r="H168" s="133">
        <v>97.2</v>
      </c>
      <c r="I168" s="133">
        <v>97.9</v>
      </c>
      <c r="J168" s="133">
        <v>75</v>
      </c>
      <c r="K168" s="133">
        <v>64.099999999999994</v>
      </c>
      <c r="L168" s="133">
        <v>44.5</v>
      </c>
      <c r="N168" s="133">
        <v>68.599999999999994</v>
      </c>
      <c r="O168" s="133">
        <v>70.400000000000006</v>
      </c>
      <c r="P168" s="133">
        <v>64.8</v>
      </c>
      <c r="Q168" s="133">
        <v>62.6</v>
      </c>
      <c r="R168" s="133">
        <v>62.8</v>
      </c>
      <c r="S168" s="80"/>
    </row>
    <row r="169" spans="1:19" ht="11.25" customHeight="1" x14ac:dyDescent="0.2">
      <c r="A169" s="125" t="s">
        <v>310</v>
      </c>
      <c r="B169" s="126" t="s">
        <v>311</v>
      </c>
      <c r="C169" s="131">
        <v>7729</v>
      </c>
      <c r="E169" s="133">
        <v>40.4</v>
      </c>
      <c r="F169" s="133">
        <v>24</v>
      </c>
      <c r="H169" s="133">
        <v>96.9</v>
      </c>
      <c r="I169" s="133">
        <v>97.9</v>
      </c>
      <c r="J169" s="133">
        <v>74.599999999999994</v>
      </c>
      <c r="K169" s="133">
        <v>67.2</v>
      </c>
      <c r="L169" s="133">
        <v>49.4</v>
      </c>
      <c r="N169" s="133">
        <v>66.900000000000006</v>
      </c>
      <c r="O169" s="133">
        <v>72.8</v>
      </c>
      <c r="P169" s="133">
        <v>69.5</v>
      </c>
      <c r="Q169" s="133">
        <v>65.3</v>
      </c>
      <c r="R169" s="133">
        <v>64.099999999999994</v>
      </c>
      <c r="S169" s="80"/>
    </row>
    <row r="170" spans="1:19" ht="11.25" customHeight="1" x14ac:dyDescent="0.2">
      <c r="A170" s="125" t="s">
        <v>312</v>
      </c>
      <c r="B170" s="126" t="s">
        <v>313</v>
      </c>
      <c r="C170" s="131">
        <v>4358</v>
      </c>
      <c r="E170" s="133">
        <v>42.7</v>
      </c>
      <c r="F170" s="133">
        <v>25</v>
      </c>
      <c r="H170" s="133">
        <v>97.1</v>
      </c>
      <c r="I170" s="133">
        <v>98.2</v>
      </c>
      <c r="J170" s="133">
        <v>81.2</v>
      </c>
      <c r="K170" s="133">
        <v>66.099999999999994</v>
      </c>
      <c r="L170" s="133">
        <v>54.9</v>
      </c>
      <c r="N170" s="133">
        <v>69.400000000000006</v>
      </c>
      <c r="O170" s="133">
        <v>70.2</v>
      </c>
      <c r="P170" s="133">
        <v>65.5</v>
      </c>
      <c r="Q170" s="133">
        <v>67.8</v>
      </c>
      <c r="R170" s="133">
        <v>67.599999999999994</v>
      </c>
      <c r="S170" s="80"/>
    </row>
    <row r="171" spans="1:19" ht="11.25" customHeight="1" x14ac:dyDescent="0.2">
      <c r="A171" s="125" t="s">
        <v>314</v>
      </c>
      <c r="B171" s="126" t="s">
        <v>315</v>
      </c>
      <c r="C171" s="131">
        <v>6759</v>
      </c>
      <c r="E171" s="133">
        <v>35.799999999999997</v>
      </c>
      <c r="F171" s="133">
        <v>26</v>
      </c>
      <c r="H171" s="133">
        <v>94.9</v>
      </c>
      <c r="I171" s="133">
        <v>97.6</v>
      </c>
      <c r="J171" s="133">
        <v>70.400000000000006</v>
      </c>
      <c r="K171" s="133">
        <v>65.900000000000006</v>
      </c>
      <c r="L171" s="133">
        <v>48.7</v>
      </c>
      <c r="N171" s="133">
        <v>69</v>
      </c>
      <c r="O171" s="133">
        <v>73.900000000000006</v>
      </c>
      <c r="P171" s="133">
        <v>77.599999999999994</v>
      </c>
      <c r="Q171" s="133">
        <v>73.5</v>
      </c>
      <c r="R171" s="133">
        <v>76</v>
      </c>
      <c r="S171" s="80"/>
    </row>
    <row r="172" spans="1:19" ht="11.25" customHeight="1" x14ac:dyDescent="0.2">
      <c r="A172" s="125" t="s">
        <v>300</v>
      </c>
      <c r="B172" s="126" t="s">
        <v>301</v>
      </c>
      <c r="C172" s="131">
        <v>21</v>
      </c>
      <c r="E172" s="133">
        <v>42.9</v>
      </c>
      <c r="F172" s="133">
        <v>33.299999999999997</v>
      </c>
      <c r="H172" s="133">
        <v>95.2</v>
      </c>
      <c r="I172" s="133">
        <v>100</v>
      </c>
      <c r="J172" s="133">
        <v>95.2</v>
      </c>
      <c r="K172" s="133">
        <v>66.7</v>
      </c>
      <c r="L172" s="133">
        <v>52.4</v>
      </c>
      <c r="N172" s="133">
        <v>81</v>
      </c>
      <c r="O172" s="133">
        <v>85.7</v>
      </c>
      <c r="P172" s="133">
        <v>85</v>
      </c>
      <c r="Q172" s="133">
        <v>78.599999999999994</v>
      </c>
      <c r="R172" s="133">
        <v>72.7</v>
      </c>
      <c r="S172" s="80"/>
    </row>
    <row r="173" spans="1:19" ht="11.25" customHeight="1" x14ac:dyDescent="0.2">
      <c r="A173" s="125" t="s">
        <v>316</v>
      </c>
      <c r="B173" s="126" t="s">
        <v>317</v>
      </c>
      <c r="C173" s="131">
        <v>2246</v>
      </c>
      <c r="E173" s="133">
        <v>30.7</v>
      </c>
      <c r="F173" s="133">
        <v>19.5</v>
      </c>
      <c r="H173" s="133">
        <v>96.1</v>
      </c>
      <c r="I173" s="133">
        <v>97.3</v>
      </c>
      <c r="J173" s="133">
        <v>75</v>
      </c>
      <c r="K173" s="133">
        <v>60</v>
      </c>
      <c r="L173" s="133">
        <v>39.6</v>
      </c>
      <c r="N173" s="133">
        <v>68.5</v>
      </c>
      <c r="O173" s="133">
        <v>68.400000000000006</v>
      </c>
      <c r="P173" s="133">
        <v>65.3</v>
      </c>
      <c r="Q173" s="133">
        <v>70.900000000000006</v>
      </c>
      <c r="R173" s="133">
        <v>67.099999999999994</v>
      </c>
      <c r="S173" s="80"/>
    </row>
    <row r="174" spans="1:19" ht="11.25" customHeight="1" x14ac:dyDescent="0.2">
      <c r="A174" s="125" t="s">
        <v>318</v>
      </c>
      <c r="B174" s="126" t="s">
        <v>319</v>
      </c>
      <c r="C174" s="131">
        <v>2840</v>
      </c>
      <c r="E174" s="133">
        <v>35.9</v>
      </c>
      <c r="F174" s="133">
        <v>22.8</v>
      </c>
      <c r="H174" s="133">
        <v>97</v>
      </c>
      <c r="I174" s="133">
        <v>97.3</v>
      </c>
      <c r="J174" s="133">
        <v>59.5</v>
      </c>
      <c r="K174" s="133">
        <v>57.3</v>
      </c>
      <c r="L174" s="133">
        <v>52.1</v>
      </c>
      <c r="N174" s="133">
        <v>70.099999999999994</v>
      </c>
      <c r="O174" s="133">
        <v>69.8</v>
      </c>
      <c r="P174" s="133">
        <v>76</v>
      </c>
      <c r="Q174" s="133">
        <v>67.2</v>
      </c>
      <c r="R174" s="133">
        <v>66.099999999999994</v>
      </c>
      <c r="S174" s="80"/>
    </row>
    <row r="175" spans="1:19" ht="11.25" customHeight="1" x14ac:dyDescent="0.2">
      <c r="A175" s="125" t="s">
        <v>320</v>
      </c>
      <c r="B175" s="126" t="s">
        <v>321</v>
      </c>
      <c r="C175" s="131">
        <v>1648</v>
      </c>
      <c r="E175" s="133">
        <v>38.4</v>
      </c>
      <c r="F175" s="133">
        <v>27.2</v>
      </c>
      <c r="H175" s="133">
        <v>97.2</v>
      </c>
      <c r="I175" s="133">
        <v>97.8</v>
      </c>
      <c r="J175" s="133">
        <v>75.3</v>
      </c>
      <c r="K175" s="133">
        <v>61.7</v>
      </c>
      <c r="L175" s="133">
        <v>51.3</v>
      </c>
      <c r="N175" s="133">
        <v>71.599999999999994</v>
      </c>
      <c r="O175" s="133">
        <v>71.5</v>
      </c>
      <c r="P175" s="133">
        <v>71.2</v>
      </c>
      <c r="Q175" s="133">
        <v>69.099999999999994</v>
      </c>
      <c r="R175" s="133">
        <v>79.2</v>
      </c>
      <c r="S175" s="80"/>
    </row>
    <row r="176" spans="1:19" ht="11.25" customHeight="1" x14ac:dyDescent="0.2">
      <c r="A176" s="125" t="s">
        <v>322</v>
      </c>
      <c r="B176" s="126" t="s">
        <v>323</v>
      </c>
      <c r="C176" s="131">
        <v>5581</v>
      </c>
      <c r="E176" s="133">
        <v>34.9</v>
      </c>
      <c r="F176" s="133">
        <v>21.1</v>
      </c>
      <c r="H176" s="133">
        <v>96.9</v>
      </c>
      <c r="I176" s="133">
        <v>98.2</v>
      </c>
      <c r="J176" s="133">
        <v>66.2</v>
      </c>
      <c r="K176" s="133">
        <v>66.2</v>
      </c>
      <c r="L176" s="133">
        <v>44</v>
      </c>
      <c r="N176" s="133">
        <v>65</v>
      </c>
      <c r="O176" s="133">
        <v>70.3</v>
      </c>
      <c r="P176" s="133">
        <v>71.3</v>
      </c>
      <c r="Q176" s="133">
        <v>65.7</v>
      </c>
      <c r="R176" s="133">
        <v>64.7</v>
      </c>
      <c r="S176" s="80"/>
    </row>
    <row r="177" spans="1:19" ht="11.25" customHeight="1" x14ac:dyDescent="0.2">
      <c r="A177" s="125" t="s">
        <v>324</v>
      </c>
      <c r="B177" s="126" t="s">
        <v>325</v>
      </c>
      <c r="C177" s="131">
        <v>3112</v>
      </c>
      <c r="E177" s="133">
        <v>34.1</v>
      </c>
      <c r="F177" s="133">
        <v>19.600000000000001</v>
      </c>
      <c r="H177" s="133">
        <v>96</v>
      </c>
      <c r="I177" s="133">
        <v>97.8</v>
      </c>
      <c r="J177" s="133">
        <v>71.3</v>
      </c>
      <c r="K177" s="133">
        <v>62.4</v>
      </c>
      <c r="L177" s="133">
        <v>48.6</v>
      </c>
      <c r="N177" s="133">
        <v>66.099999999999994</v>
      </c>
      <c r="O177" s="133">
        <v>68.900000000000006</v>
      </c>
      <c r="P177" s="133">
        <v>67.5</v>
      </c>
      <c r="Q177" s="133">
        <v>62.6</v>
      </c>
      <c r="R177" s="133">
        <v>63.3</v>
      </c>
      <c r="S177" s="80"/>
    </row>
    <row r="178" spans="1:19" ht="11.25" customHeight="1" x14ac:dyDescent="0.2">
      <c r="A178" s="125" t="s">
        <v>326</v>
      </c>
      <c r="B178" s="126" t="s">
        <v>327</v>
      </c>
      <c r="C178" s="131">
        <v>2268</v>
      </c>
      <c r="E178" s="133">
        <v>29.9</v>
      </c>
      <c r="F178" s="133">
        <v>17.100000000000001</v>
      </c>
      <c r="H178" s="133">
        <v>96.6</v>
      </c>
      <c r="I178" s="133">
        <v>96.9</v>
      </c>
      <c r="J178" s="133">
        <v>71.5</v>
      </c>
      <c r="K178" s="133">
        <v>56.8</v>
      </c>
      <c r="L178" s="133">
        <v>43.1</v>
      </c>
      <c r="N178" s="133">
        <v>65.7</v>
      </c>
      <c r="O178" s="133">
        <v>68.3</v>
      </c>
      <c r="P178" s="133">
        <v>60.2</v>
      </c>
      <c r="Q178" s="133">
        <v>58.4</v>
      </c>
      <c r="R178" s="133">
        <v>59</v>
      </c>
      <c r="S178" s="80"/>
    </row>
    <row r="179" spans="1:19" ht="11.25" customHeight="1" x14ac:dyDescent="0.2">
      <c r="A179" s="125" t="s">
        <v>328</v>
      </c>
      <c r="B179" s="126" t="s">
        <v>329</v>
      </c>
      <c r="C179" s="131">
        <v>1465</v>
      </c>
      <c r="E179" s="133">
        <v>36.9</v>
      </c>
      <c r="F179" s="133">
        <v>28.5</v>
      </c>
      <c r="H179" s="133">
        <v>97.3</v>
      </c>
      <c r="I179" s="133">
        <v>98.4</v>
      </c>
      <c r="J179" s="133">
        <v>59.3</v>
      </c>
      <c r="K179" s="133">
        <v>59.9</v>
      </c>
      <c r="L179" s="133">
        <v>46.9</v>
      </c>
      <c r="N179" s="133">
        <v>70.5</v>
      </c>
      <c r="O179" s="133">
        <v>68.5</v>
      </c>
      <c r="P179" s="133">
        <v>77</v>
      </c>
      <c r="Q179" s="133">
        <v>69.099999999999994</v>
      </c>
      <c r="R179" s="133">
        <v>72.2</v>
      </c>
      <c r="S179" s="80"/>
    </row>
    <row r="180" spans="1:19" ht="11.25" customHeight="1" x14ac:dyDescent="0.2">
      <c r="A180" s="125" t="s">
        <v>330</v>
      </c>
      <c r="B180" s="126" t="s">
        <v>331</v>
      </c>
      <c r="C180" s="131">
        <v>5267</v>
      </c>
      <c r="E180" s="133">
        <v>31.7</v>
      </c>
      <c r="F180" s="133">
        <v>21.7</v>
      </c>
      <c r="H180" s="133">
        <v>94.2</v>
      </c>
      <c r="I180" s="133">
        <v>97.5</v>
      </c>
      <c r="J180" s="133">
        <v>65.7</v>
      </c>
      <c r="K180" s="133">
        <v>60.4</v>
      </c>
      <c r="L180" s="133">
        <v>49.4</v>
      </c>
      <c r="N180" s="133">
        <v>67.5</v>
      </c>
      <c r="O180" s="133">
        <v>73.400000000000006</v>
      </c>
      <c r="P180" s="133">
        <v>78.2</v>
      </c>
      <c r="Q180" s="133">
        <v>73.900000000000006</v>
      </c>
      <c r="R180" s="133">
        <v>69.3</v>
      </c>
      <c r="S180" s="80"/>
    </row>
    <row r="181" spans="1:19" ht="11.25" customHeight="1" x14ac:dyDescent="0.2">
      <c r="A181" s="26"/>
      <c r="B181" s="26"/>
      <c r="C181" s="76"/>
      <c r="D181" s="16"/>
      <c r="E181" s="77"/>
      <c r="F181" s="77"/>
      <c r="G181" s="1"/>
      <c r="H181" s="77"/>
      <c r="I181" s="77"/>
      <c r="J181" s="77"/>
      <c r="K181" s="77"/>
      <c r="L181" s="77"/>
      <c r="N181" s="77"/>
      <c r="O181" s="77"/>
      <c r="P181" s="77"/>
      <c r="Q181" s="77"/>
      <c r="R181" s="77"/>
      <c r="S181" s="80"/>
    </row>
    <row r="182" spans="1:19" ht="11.25" customHeight="1" x14ac:dyDescent="0.2">
      <c r="A182" s="32" t="s">
        <v>444</v>
      </c>
      <c r="B182" s="33"/>
      <c r="C182" s="76">
        <v>569121</v>
      </c>
      <c r="D182" s="16"/>
      <c r="E182" s="77">
        <v>35.6</v>
      </c>
      <c r="F182" s="77">
        <v>22.9</v>
      </c>
      <c r="G182" s="1"/>
      <c r="H182" s="77">
        <v>96.7</v>
      </c>
      <c r="I182" s="77">
        <v>97.7</v>
      </c>
      <c r="J182" s="77">
        <v>66.5</v>
      </c>
      <c r="K182" s="77">
        <v>60.4</v>
      </c>
      <c r="L182" s="77">
        <v>47.6</v>
      </c>
      <c r="N182" s="77">
        <v>68.5</v>
      </c>
      <c r="O182" s="77">
        <v>71.5</v>
      </c>
      <c r="P182" s="77">
        <v>72.599999999999994</v>
      </c>
      <c r="Q182" s="77">
        <v>67.2</v>
      </c>
      <c r="R182" s="77">
        <v>69.400000000000006</v>
      </c>
      <c r="S182" s="80"/>
    </row>
    <row r="183" spans="1:19" ht="11.25" customHeight="1" x14ac:dyDescent="0.2">
      <c r="A183" s="32"/>
      <c r="B183" s="32"/>
      <c r="S183" s="80"/>
    </row>
    <row r="184" spans="1:19" ht="11.25" customHeight="1" x14ac:dyDescent="0.2">
      <c r="A184" s="17" t="s">
        <v>361</v>
      </c>
      <c r="B184" s="33" t="s">
        <v>332</v>
      </c>
      <c r="C184" s="76">
        <v>632676</v>
      </c>
      <c r="D184" s="16"/>
      <c r="E184" s="77">
        <v>34.799999999999997</v>
      </c>
      <c r="F184" s="77">
        <v>23</v>
      </c>
      <c r="G184" s="1"/>
      <c r="H184" s="77">
        <v>93.1</v>
      </c>
      <c r="I184" s="77">
        <v>96.8</v>
      </c>
      <c r="J184" s="77">
        <v>65.599999999999994</v>
      </c>
      <c r="K184" s="77">
        <v>60.4</v>
      </c>
      <c r="L184" s="77">
        <v>48.7</v>
      </c>
      <c r="N184" s="77">
        <v>66.400000000000006</v>
      </c>
      <c r="O184" s="77">
        <v>71.5</v>
      </c>
      <c r="P184" s="77">
        <v>74.2</v>
      </c>
      <c r="Q184" s="77">
        <v>69.5</v>
      </c>
      <c r="R184" s="77">
        <v>72</v>
      </c>
      <c r="S184" s="80"/>
    </row>
    <row r="185" spans="1:19" ht="11.25" customHeight="1" x14ac:dyDescent="0.2">
      <c r="A185" s="17"/>
      <c r="B185" s="17"/>
      <c r="C185" s="41"/>
      <c r="S185" s="80"/>
    </row>
    <row r="186" spans="1:19" ht="11.25" customHeight="1" x14ac:dyDescent="0.2">
      <c r="A186" s="37"/>
      <c r="B186" s="37"/>
      <c r="C186" s="78"/>
      <c r="D186" s="78"/>
      <c r="E186" s="78"/>
      <c r="F186" s="78"/>
      <c r="G186" s="78"/>
      <c r="H186" s="78"/>
      <c r="I186" s="78"/>
      <c r="J186" s="78"/>
      <c r="K186" s="78"/>
      <c r="L186" s="78"/>
      <c r="M186" s="78"/>
      <c r="N186" s="78"/>
      <c r="O186" s="78"/>
      <c r="P186" s="78"/>
      <c r="Q186" s="78"/>
      <c r="R186" s="78"/>
      <c r="S186" s="80"/>
    </row>
    <row r="187" spans="1:19" ht="11.25" customHeight="1" x14ac:dyDescent="0.2">
      <c r="R187" s="140" t="s">
        <v>393</v>
      </c>
      <c r="S187" s="80"/>
    </row>
    <row r="188" spans="1:19" ht="33.75" customHeight="1" x14ac:dyDescent="0.2">
      <c r="A188" s="504" t="s">
        <v>440</v>
      </c>
      <c r="B188" s="504"/>
      <c r="C188" s="504"/>
      <c r="D188" s="504"/>
      <c r="E188" s="504"/>
      <c r="F188" s="504"/>
      <c r="G188" s="504"/>
      <c r="H188" s="504"/>
      <c r="I188" s="504"/>
      <c r="J188" s="504"/>
      <c r="K188" s="504"/>
      <c r="L188" s="504"/>
      <c r="M188" s="504"/>
      <c r="N188" s="504"/>
      <c r="O188" s="504"/>
      <c r="P188" s="504"/>
      <c r="Q188" s="504"/>
      <c r="R188" s="504"/>
      <c r="S188" s="80"/>
    </row>
    <row r="189" spans="1:19" ht="11.25" customHeight="1" x14ac:dyDescent="0.2">
      <c r="A189" s="532" t="s">
        <v>356</v>
      </c>
      <c r="B189" s="532"/>
      <c r="C189" s="467"/>
      <c r="D189" s="467"/>
      <c r="E189" s="467"/>
      <c r="F189" s="467"/>
      <c r="G189" s="467"/>
      <c r="H189" s="467"/>
      <c r="I189" s="467"/>
      <c r="J189" s="467"/>
      <c r="K189" s="467"/>
      <c r="L189" s="467"/>
      <c r="M189" s="467"/>
      <c r="N189" s="467"/>
      <c r="O189" s="467"/>
      <c r="S189" s="80"/>
    </row>
    <row r="190" spans="1:19" ht="22.5" customHeight="1" x14ac:dyDescent="0.2">
      <c r="A190" s="463" t="s">
        <v>373</v>
      </c>
      <c r="B190" s="463"/>
      <c r="C190" s="463"/>
      <c r="D190" s="463"/>
      <c r="E190" s="463"/>
      <c r="F190" s="463"/>
      <c r="G190" s="463"/>
      <c r="H190" s="463"/>
      <c r="I190" s="463"/>
      <c r="J190" s="463"/>
      <c r="K190" s="463"/>
      <c r="L190" s="463"/>
      <c r="M190" s="463"/>
      <c r="N190" s="463"/>
      <c r="O190" s="463"/>
      <c r="P190" s="463"/>
      <c r="Q190" s="463"/>
      <c r="R190" s="463"/>
      <c r="S190" s="80"/>
    </row>
    <row r="191" spans="1:19" x14ac:dyDescent="0.2">
      <c r="A191" s="479" t="s">
        <v>746</v>
      </c>
      <c r="B191" s="479"/>
      <c r="C191" s="479"/>
      <c r="D191" s="479"/>
      <c r="E191" s="479"/>
      <c r="F191" s="479"/>
      <c r="G191" s="479"/>
      <c r="H191" s="479"/>
      <c r="I191" s="479"/>
      <c r="J191" s="479"/>
      <c r="K191" s="479"/>
      <c r="L191" s="479"/>
      <c r="M191" s="479"/>
      <c r="N191" s="479"/>
      <c r="O191" s="479"/>
      <c r="P191" s="479"/>
      <c r="Q191" s="479"/>
      <c r="R191" s="479"/>
      <c r="S191" s="80"/>
    </row>
    <row r="192" spans="1:19" ht="11.25" customHeight="1" x14ac:dyDescent="0.2">
      <c r="A192" s="170"/>
      <c r="B192" s="170"/>
      <c r="C192" s="170"/>
      <c r="D192" s="170"/>
      <c r="E192" s="170"/>
      <c r="F192" s="170"/>
      <c r="G192" s="170"/>
      <c r="H192" s="170"/>
      <c r="I192" s="170"/>
      <c r="J192" s="170"/>
      <c r="K192" s="170"/>
      <c r="L192" s="170"/>
      <c r="M192" s="151"/>
      <c r="N192" s="151"/>
      <c r="O192" s="151"/>
      <c r="P192" s="151"/>
      <c r="Q192" s="151"/>
      <c r="R192" s="151"/>
      <c r="S192" s="80"/>
    </row>
    <row r="193" spans="1:19" ht="11.25" customHeight="1" x14ac:dyDescent="0.2">
      <c r="A193" s="507" t="s">
        <v>349</v>
      </c>
      <c r="B193" s="507"/>
      <c r="C193" s="507"/>
      <c r="D193" s="507"/>
      <c r="E193" s="507"/>
      <c r="F193" s="507"/>
      <c r="G193" s="507"/>
      <c r="H193" s="507"/>
      <c r="I193" s="507"/>
      <c r="J193" s="507"/>
      <c r="K193" s="507"/>
      <c r="L193" s="507"/>
      <c r="M193" s="507"/>
      <c r="N193" s="507"/>
      <c r="O193" s="152"/>
      <c r="P193" s="152"/>
      <c r="Q193" s="152"/>
      <c r="R193" s="152"/>
      <c r="S193" s="80"/>
    </row>
    <row r="194" spans="1:19" ht="11.25" customHeight="1" x14ac:dyDescent="0.2">
      <c r="A194" s="531"/>
      <c r="B194" s="531"/>
      <c r="C194" s="531"/>
      <c r="D194" s="531"/>
      <c r="E194" s="531"/>
      <c r="F194" s="531"/>
      <c r="G194" s="531"/>
      <c r="H194" s="531"/>
      <c r="I194" s="531"/>
      <c r="J194" s="531"/>
      <c r="K194" s="531"/>
      <c r="L194" s="531"/>
      <c r="M194" s="531"/>
      <c r="N194" s="531"/>
      <c r="O194" s="79"/>
      <c r="P194" s="79"/>
      <c r="Q194" s="79"/>
      <c r="R194" s="79"/>
      <c r="S194" s="80"/>
    </row>
    <row r="195" spans="1:19" x14ac:dyDescent="0.2">
      <c r="S195" s="80"/>
    </row>
    <row r="196" spans="1:19" x14ac:dyDescent="0.2">
      <c r="E196" s="80"/>
      <c r="F196" s="80"/>
      <c r="G196" s="80"/>
      <c r="H196" s="80"/>
      <c r="I196" s="80"/>
      <c r="J196" s="80"/>
      <c r="K196" s="80"/>
      <c r="L196" s="80"/>
      <c r="M196" s="80"/>
      <c r="N196" s="80"/>
      <c r="O196" s="80"/>
      <c r="P196" s="80"/>
      <c r="Q196" s="80"/>
      <c r="R196" s="80"/>
      <c r="S196" s="80"/>
    </row>
    <row r="197" spans="1:19" x14ac:dyDescent="0.2">
      <c r="S197" s="80"/>
    </row>
    <row r="198" spans="1:19" x14ac:dyDescent="0.2">
      <c r="S198" s="80"/>
    </row>
    <row r="199" spans="1:19" x14ac:dyDescent="0.2">
      <c r="S199" s="80"/>
    </row>
    <row r="200" spans="1:19" x14ac:dyDescent="0.2">
      <c r="S200" s="80"/>
    </row>
    <row r="201" spans="1:19" x14ac:dyDescent="0.2">
      <c r="C201" s="204"/>
      <c r="S201" s="80"/>
    </row>
    <row r="202" spans="1:19" x14ac:dyDescent="0.2">
      <c r="C202" s="80"/>
      <c r="E202" s="80"/>
      <c r="F202" s="80"/>
      <c r="H202" s="80"/>
      <c r="I202" s="80"/>
      <c r="J202" s="80"/>
      <c r="K202" s="80"/>
      <c r="L202" s="80"/>
      <c r="N202" s="80"/>
      <c r="O202" s="80"/>
      <c r="P202" s="80"/>
      <c r="Q202" s="80"/>
      <c r="R202" s="80"/>
      <c r="S202" s="80"/>
    </row>
    <row r="203" spans="1:19" x14ac:dyDescent="0.2">
      <c r="S203" s="80"/>
    </row>
    <row r="204" spans="1:19" x14ac:dyDescent="0.2">
      <c r="C204" s="203"/>
      <c r="S204" s="80"/>
    </row>
    <row r="205" spans="1:19" x14ac:dyDescent="0.2">
      <c r="C205" s="203"/>
      <c r="S205" s="80"/>
    </row>
    <row r="206" spans="1:19" x14ac:dyDescent="0.2">
      <c r="C206" s="203"/>
      <c r="S206" s="80"/>
    </row>
    <row r="207" spans="1:19" x14ac:dyDescent="0.2">
      <c r="S207" s="80"/>
    </row>
    <row r="208" spans="1:19" x14ac:dyDescent="0.2">
      <c r="S208" s="80"/>
    </row>
    <row r="209" spans="19:19" x14ac:dyDescent="0.2">
      <c r="S209" s="80"/>
    </row>
    <row r="210" spans="19:19" x14ac:dyDescent="0.2">
      <c r="S210" s="80"/>
    </row>
    <row r="211" spans="19:19" x14ac:dyDescent="0.2">
      <c r="S211" s="80"/>
    </row>
    <row r="212" spans="19:19" x14ac:dyDescent="0.2">
      <c r="S212" s="80"/>
    </row>
    <row r="213" spans="19:19" x14ac:dyDescent="0.2">
      <c r="S213" s="80"/>
    </row>
    <row r="214" spans="19:19" x14ac:dyDescent="0.2">
      <c r="S214" s="80"/>
    </row>
    <row r="215" spans="19:19" x14ac:dyDescent="0.2">
      <c r="S215" s="80"/>
    </row>
    <row r="216" spans="19:19" x14ac:dyDescent="0.2">
      <c r="S216" s="80"/>
    </row>
    <row r="217" spans="19:19" x14ac:dyDescent="0.2">
      <c r="S217" s="80"/>
    </row>
    <row r="218" spans="19:19" x14ac:dyDescent="0.2">
      <c r="S218" s="80"/>
    </row>
    <row r="219" spans="19:19" x14ac:dyDescent="0.2">
      <c r="S219" s="80"/>
    </row>
    <row r="220" spans="19:19" x14ac:dyDescent="0.2">
      <c r="S220" s="80"/>
    </row>
    <row r="221" spans="19:19" x14ac:dyDescent="0.2">
      <c r="S221" s="80"/>
    </row>
    <row r="222" spans="19:19" x14ac:dyDescent="0.2">
      <c r="S222" s="80"/>
    </row>
    <row r="223" spans="19:19" x14ac:dyDescent="0.2">
      <c r="S223" s="80"/>
    </row>
    <row r="224" spans="19:19" x14ac:dyDescent="0.2">
      <c r="S224" s="80"/>
    </row>
    <row r="225" spans="19:19" x14ac:dyDescent="0.2">
      <c r="S225" s="80"/>
    </row>
    <row r="226" spans="19:19" x14ac:dyDescent="0.2">
      <c r="S226" s="80"/>
    </row>
    <row r="227" spans="19:19" x14ac:dyDescent="0.2">
      <c r="S227" s="80"/>
    </row>
    <row r="228" spans="19:19" x14ac:dyDescent="0.2">
      <c r="S228" s="80"/>
    </row>
    <row r="229" spans="19:19" x14ac:dyDescent="0.2">
      <c r="S229" s="80"/>
    </row>
    <row r="230" spans="19:19" x14ac:dyDescent="0.2">
      <c r="S230" s="80"/>
    </row>
    <row r="231" spans="19:19" x14ac:dyDescent="0.2">
      <c r="S231" s="80"/>
    </row>
    <row r="232" spans="19:19" x14ac:dyDescent="0.2">
      <c r="S232" s="80"/>
    </row>
    <row r="233" spans="19:19" x14ac:dyDescent="0.2">
      <c r="S233" s="80"/>
    </row>
    <row r="234" spans="19:19" x14ac:dyDescent="0.2">
      <c r="S234" s="80"/>
    </row>
    <row r="235" spans="19:19" x14ac:dyDescent="0.2">
      <c r="S235" s="80"/>
    </row>
    <row r="236" spans="19:19" x14ac:dyDescent="0.2">
      <c r="S236" s="80"/>
    </row>
    <row r="237" spans="19:19" x14ac:dyDescent="0.2">
      <c r="S237" s="80"/>
    </row>
    <row r="238" spans="19:19" x14ac:dyDescent="0.2">
      <c r="S238" s="80"/>
    </row>
    <row r="239" spans="19:19" x14ac:dyDescent="0.2">
      <c r="S239" s="80"/>
    </row>
    <row r="240" spans="19:19" x14ac:dyDescent="0.2">
      <c r="S240" s="80"/>
    </row>
    <row r="241" spans="19:19" x14ac:dyDescent="0.2">
      <c r="S241" s="80"/>
    </row>
    <row r="242" spans="19:19" x14ac:dyDescent="0.2">
      <c r="S242" s="80"/>
    </row>
    <row r="243" spans="19:19" x14ac:dyDescent="0.2">
      <c r="S243" s="80"/>
    </row>
    <row r="244" spans="19:19" x14ac:dyDescent="0.2">
      <c r="S244" s="80"/>
    </row>
    <row r="245" spans="19:19" x14ac:dyDescent="0.2">
      <c r="S245" s="80"/>
    </row>
    <row r="246" spans="19:19" x14ac:dyDescent="0.2">
      <c r="S246" s="80"/>
    </row>
    <row r="247" spans="19:19" x14ac:dyDescent="0.2">
      <c r="S247" s="80"/>
    </row>
    <row r="248" spans="19:19" x14ac:dyDescent="0.2">
      <c r="S248" s="80"/>
    </row>
    <row r="249" spans="19:19" x14ac:dyDescent="0.2">
      <c r="S249" s="80"/>
    </row>
    <row r="250" spans="19:19" x14ac:dyDescent="0.2">
      <c r="S250" s="80"/>
    </row>
    <row r="251" spans="19:19" x14ac:dyDescent="0.2">
      <c r="S251" s="80"/>
    </row>
    <row r="252" spans="19:19" x14ac:dyDescent="0.2">
      <c r="S252" s="80"/>
    </row>
    <row r="253" spans="19:19" x14ac:dyDescent="0.2">
      <c r="S253" s="80"/>
    </row>
    <row r="254" spans="19:19" x14ac:dyDescent="0.2">
      <c r="S254" s="80"/>
    </row>
    <row r="255" spans="19:19" x14ac:dyDescent="0.2">
      <c r="S255" s="80"/>
    </row>
    <row r="256" spans="19:19" x14ac:dyDescent="0.2">
      <c r="S256" s="80"/>
    </row>
    <row r="257" spans="19:19" x14ac:dyDescent="0.2">
      <c r="S257" s="80"/>
    </row>
    <row r="258" spans="19:19" x14ac:dyDescent="0.2">
      <c r="S258" s="80"/>
    </row>
    <row r="259" spans="19:19" x14ac:dyDescent="0.2">
      <c r="S259" s="80"/>
    </row>
    <row r="260" spans="19:19" x14ac:dyDescent="0.2">
      <c r="S260" s="80"/>
    </row>
    <row r="261" spans="19:19" x14ac:dyDescent="0.2">
      <c r="S261" s="80"/>
    </row>
    <row r="262" spans="19:19" x14ac:dyDescent="0.2">
      <c r="S262" s="80"/>
    </row>
    <row r="263" spans="19:19" x14ac:dyDescent="0.2">
      <c r="S263" s="80"/>
    </row>
    <row r="264" spans="19:19" x14ac:dyDescent="0.2">
      <c r="S264" s="80"/>
    </row>
    <row r="265" spans="19:19" x14ac:dyDescent="0.2">
      <c r="S265" s="80"/>
    </row>
    <row r="266" spans="19:19" x14ac:dyDescent="0.2">
      <c r="S266" s="80"/>
    </row>
    <row r="267" spans="19:19" x14ac:dyDescent="0.2">
      <c r="S267" s="80"/>
    </row>
    <row r="268" spans="19:19" x14ac:dyDescent="0.2">
      <c r="S268" s="80"/>
    </row>
    <row r="269" spans="19:19" x14ac:dyDescent="0.2">
      <c r="S269" s="80"/>
    </row>
    <row r="270" spans="19:19" x14ac:dyDescent="0.2">
      <c r="S270" s="80"/>
    </row>
    <row r="271" spans="19:19" x14ac:dyDescent="0.2">
      <c r="S271" s="80"/>
    </row>
    <row r="272" spans="19:19" x14ac:dyDescent="0.2">
      <c r="S272" s="80"/>
    </row>
    <row r="273" spans="19:19" x14ac:dyDescent="0.2">
      <c r="S273" s="80"/>
    </row>
    <row r="274" spans="19:19" x14ac:dyDescent="0.2">
      <c r="S274" s="80"/>
    </row>
    <row r="275" spans="19:19" x14ac:dyDescent="0.2">
      <c r="S275" s="80"/>
    </row>
    <row r="276" spans="19:19" x14ac:dyDescent="0.2">
      <c r="S276" s="80"/>
    </row>
    <row r="277" spans="19:19" x14ac:dyDescent="0.2">
      <c r="S277" s="80"/>
    </row>
    <row r="278" spans="19:19" x14ac:dyDescent="0.2">
      <c r="S278" s="80"/>
    </row>
    <row r="279" spans="19:19" x14ac:dyDescent="0.2">
      <c r="S279" s="80"/>
    </row>
    <row r="280" spans="19:19" x14ac:dyDescent="0.2">
      <c r="S280" s="80"/>
    </row>
    <row r="281" spans="19:19" x14ac:dyDescent="0.2">
      <c r="S281" s="80"/>
    </row>
    <row r="282" spans="19:19" x14ac:dyDescent="0.2">
      <c r="S282" s="80"/>
    </row>
    <row r="283" spans="19:19" x14ac:dyDescent="0.2">
      <c r="S283" s="80"/>
    </row>
    <row r="284" spans="19:19" x14ac:dyDescent="0.2">
      <c r="S284" s="80"/>
    </row>
    <row r="285" spans="19:19" x14ac:dyDescent="0.2">
      <c r="S285" s="80"/>
    </row>
    <row r="286" spans="19:19" x14ac:dyDescent="0.2">
      <c r="S286" s="80"/>
    </row>
    <row r="287" spans="19:19" x14ac:dyDescent="0.2">
      <c r="S287" s="80"/>
    </row>
    <row r="288" spans="19:19" x14ac:dyDescent="0.2">
      <c r="S288" s="80"/>
    </row>
    <row r="289" spans="19:19" x14ac:dyDescent="0.2">
      <c r="S289" s="80"/>
    </row>
    <row r="290" spans="19:19" x14ac:dyDescent="0.2">
      <c r="S290" s="80"/>
    </row>
    <row r="291" spans="19:19" x14ac:dyDescent="0.2">
      <c r="S291" s="80"/>
    </row>
    <row r="292" spans="19:19" x14ac:dyDescent="0.2">
      <c r="S292" s="80"/>
    </row>
    <row r="293" spans="19:19" x14ac:dyDescent="0.2">
      <c r="S293" s="80"/>
    </row>
    <row r="294" spans="19:19" x14ac:dyDescent="0.2">
      <c r="S294" s="80"/>
    </row>
    <row r="295" spans="19:19" x14ac:dyDescent="0.2">
      <c r="S295" s="80"/>
    </row>
    <row r="296" spans="19:19" x14ac:dyDescent="0.2">
      <c r="S296" s="80"/>
    </row>
    <row r="297" spans="19:19" x14ac:dyDescent="0.2">
      <c r="S297" s="80"/>
    </row>
    <row r="298" spans="19:19" x14ac:dyDescent="0.2">
      <c r="S298" s="80"/>
    </row>
    <row r="299" spans="19:19" x14ac:dyDescent="0.2">
      <c r="S299" s="80"/>
    </row>
    <row r="300" spans="19:19" x14ac:dyDescent="0.2">
      <c r="S300" s="80"/>
    </row>
    <row r="301" spans="19:19" x14ac:dyDescent="0.2">
      <c r="S301" s="80"/>
    </row>
    <row r="302" spans="19:19" x14ac:dyDescent="0.2">
      <c r="S302" s="80"/>
    </row>
    <row r="303" spans="19:19" x14ac:dyDescent="0.2">
      <c r="S303" s="80"/>
    </row>
    <row r="304" spans="19:19" x14ac:dyDescent="0.2">
      <c r="S304" s="80"/>
    </row>
    <row r="305" spans="19:19" x14ac:dyDescent="0.2">
      <c r="S305" s="80"/>
    </row>
    <row r="306" spans="19:19" x14ac:dyDescent="0.2">
      <c r="S306" s="80"/>
    </row>
    <row r="307" spans="19:19" x14ac:dyDescent="0.2">
      <c r="S307" s="80"/>
    </row>
    <row r="308" spans="19:19" x14ac:dyDescent="0.2">
      <c r="S308" s="80"/>
    </row>
    <row r="309" spans="19:19" x14ac:dyDescent="0.2">
      <c r="S309" s="80"/>
    </row>
    <row r="310" spans="19:19" x14ac:dyDescent="0.2">
      <c r="S310" s="80"/>
    </row>
    <row r="311" spans="19:19" x14ac:dyDescent="0.2">
      <c r="S311" s="80"/>
    </row>
    <row r="312" spans="19:19" x14ac:dyDescent="0.2">
      <c r="S312" s="80"/>
    </row>
    <row r="313" spans="19:19" x14ac:dyDescent="0.2">
      <c r="S313" s="80"/>
    </row>
    <row r="314" spans="19:19" x14ac:dyDescent="0.2">
      <c r="S314" s="80"/>
    </row>
    <row r="315" spans="19:19" x14ac:dyDescent="0.2">
      <c r="S315" s="80"/>
    </row>
    <row r="316" spans="19:19" x14ac:dyDescent="0.2">
      <c r="S316" s="80"/>
    </row>
    <row r="317" spans="19:19" x14ac:dyDescent="0.2">
      <c r="S317" s="80"/>
    </row>
    <row r="318" spans="19:19" x14ac:dyDescent="0.2">
      <c r="S318" s="80"/>
    </row>
    <row r="319" spans="19:19" x14ac:dyDescent="0.2">
      <c r="S319" s="80"/>
    </row>
    <row r="320" spans="19:19" x14ac:dyDescent="0.2">
      <c r="S320" s="80"/>
    </row>
    <row r="321" spans="19:19" x14ac:dyDescent="0.2">
      <c r="S321" s="80"/>
    </row>
    <row r="322" spans="19:19" x14ac:dyDescent="0.2">
      <c r="S322" s="80"/>
    </row>
    <row r="323" spans="19:19" x14ac:dyDescent="0.2">
      <c r="S323" s="80"/>
    </row>
    <row r="324" spans="19:19" x14ac:dyDescent="0.2">
      <c r="S324" s="80"/>
    </row>
    <row r="325" spans="19:19" x14ac:dyDescent="0.2">
      <c r="S325" s="80"/>
    </row>
    <row r="326" spans="19:19" x14ac:dyDescent="0.2">
      <c r="S326" s="80"/>
    </row>
    <row r="327" spans="19:19" x14ac:dyDescent="0.2">
      <c r="S327" s="80"/>
    </row>
    <row r="328" spans="19:19" x14ac:dyDescent="0.2">
      <c r="S328" s="80"/>
    </row>
    <row r="329" spans="19:19" x14ac:dyDescent="0.2">
      <c r="S329" s="80"/>
    </row>
    <row r="330" spans="19:19" x14ac:dyDescent="0.2">
      <c r="S330" s="80"/>
    </row>
    <row r="331" spans="19:19" x14ac:dyDescent="0.2">
      <c r="S331" s="80"/>
    </row>
    <row r="332" spans="19:19" x14ac:dyDescent="0.2">
      <c r="S332" s="80"/>
    </row>
    <row r="333" spans="19:19" x14ac:dyDescent="0.2">
      <c r="S333" s="80"/>
    </row>
    <row r="334" spans="19:19" x14ac:dyDescent="0.2">
      <c r="S334" s="80"/>
    </row>
    <row r="335" spans="19:19" x14ac:dyDescent="0.2">
      <c r="S335" s="80"/>
    </row>
    <row r="336" spans="19:19" x14ac:dyDescent="0.2">
      <c r="S336" s="80"/>
    </row>
    <row r="337" spans="19:19" x14ac:dyDescent="0.2">
      <c r="S337" s="80"/>
    </row>
    <row r="338" spans="19:19" x14ac:dyDescent="0.2">
      <c r="S338" s="80"/>
    </row>
    <row r="339" spans="19:19" x14ac:dyDescent="0.2">
      <c r="S339" s="80"/>
    </row>
    <row r="340" spans="19:19" x14ac:dyDescent="0.2">
      <c r="S340" s="80"/>
    </row>
    <row r="341" spans="19:19" x14ac:dyDescent="0.2">
      <c r="S341" s="80"/>
    </row>
    <row r="342" spans="19:19" x14ac:dyDescent="0.2">
      <c r="S342" s="80"/>
    </row>
    <row r="343" spans="19:19" x14ac:dyDescent="0.2">
      <c r="S343" s="80"/>
    </row>
    <row r="344" spans="19:19" x14ac:dyDescent="0.2">
      <c r="S344" s="80"/>
    </row>
  </sheetData>
  <sheetProtection sheet="1"/>
  <mergeCells count="16">
    <mergeCell ref="A193:N193"/>
    <mergeCell ref="A194:N194"/>
    <mergeCell ref="A1:H1"/>
    <mergeCell ref="A188:R188"/>
    <mergeCell ref="A189:O189"/>
    <mergeCell ref="A190:R190"/>
    <mergeCell ref="C5:C7"/>
    <mergeCell ref="B5:B7"/>
    <mergeCell ref="A5:A7"/>
    <mergeCell ref="E5:F5"/>
    <mergeCell ref="E6:E7"/>
    <mergeCell ref="H5:R5"/>
    <mergeCell ref="H6:L6"/>
    <mergeCell ref="N6:R6"/>
    <mergeCell ref="F6:F7"/>
    <mergeCell ref="A191:R191"/>
  </mergeCells>
  <phoneticPr fontId="22" type="noConversion"/>
  <conditionalFormatting sqref="A165:B180">
    <cfRule type="cellIs" dxfId="4" priority="1" stopIfTrue="1" operator="equal">
      <formula>"x"</formula>
    </cfRule>
  </conditionalFormatting>
  <pageMargins left="0.74803149606299213" right="0.74803149606299213" top="0.98425196850393704" bottom="0.98425196850393704" header="0.51181102362204722" footer="0.51181102362204722"/>
  <pageSetup paperSize="9" scale="70" fitToHeight="0"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4C6CB-5D4E-49C2-A055-CA29669D704F}">
  <sheetPr>
    <tabColor indexed="42"/>
  </sheetPr>
  <dimension ref="A1:L193"/>
  <sheetViews>
    <sheetView showGridLines="0" zoomScaleNormal="100" workbookViewId="0">
      <selection activeCell="K3" sqref="K3:L3"/>
    </sheetView>
  </sheetViews>
  <sheetFormatPr defaultRowHeight="11.25" x14ac:dyDescent="0.2"/>
  <cols>
    <col min="1" max="1" width="25.140625" style="82" customWidth="1"/>
    <col min="2" max="2" width="8.7109375" style="82" customWidth="1"/>
    <col min="3" max="3" width="9.28515625" style="81" customWidth="1"/>
    <col min="4" max="4" width="9.28515625" style="87" customWidth="1"/>
    <col min="5" max="5" width="9.28515625" style="81" customWidth="1"/>
    <col min="6" max="6" width="9.28515625" style="87" customWidth="1"/>
    <col min="7" max="7" width="9.28515625" style="81" customWidth="1"/>
    <col min="8" max="12" width="9.28515625" style="87" customWidth="1"/>
    <col min="13" max="256" width="11.42578125" style="82" customWidth="1"/>
    <col min="257" max="16384" width="9.140625" style="82"/>
  </cols>
  <sheetData>
    <row r="1" spans="1:12" ht="25.5" customHeight="1" x14ac:dyDescent="0.2">
      <c r="A1" s="533" t="s">
        <v>374</v>
      </c>
      <c r="B1" s="533"/>
      <c r="C1" s="533"/>
      <c r="D1" s="533"/>
      <c r="E1" s="533"/>
      <c r="F1" s="533"/>
      <c r="G1" s="533"/>
      <c r="H1" s="533"/>
      <c r="I1" s="533"/>
      <c r="J1" s="533"/>
      <c r="K1" s="533"/>
      <c r="L1" s="533"/>
    </row>
    <row r="2" spans="1:12" s="86" customFormat="1" ht="13.5" customHeight="1" x14ac:dyDescent="0.2">
      <c r="A2" s="83" t="s">
        <v>392</v>
      </c>
      <c r="B2" s="83"/>
      <c r="C2" s="84"/>
      <c r="D2" s="85"/>
      <c r="E2" s="84"/>
      <c r="F2" s="85"/>
      <c r="G2" s="84"/>
      <c r="H2" s="85"/>
      <c r="I2" s="85"/>
      <c r="J2" s="85"/>
      <c r="K2" s="524" t="s">
        <v>395</v>
      </c>
      <c r="L2" s="525"/>
    </row>
    <row r="3" spans="1:12" s="86" customFormat="1" ht="13.5" customHeight="1" x14ac:dyDescent="0.2">
      <c r="A3" s="83" t="s">
        <v>352</v>
      </c>
      <c r="B3" s="83"/>
      <c r="C3" s="84"/>
      <c r="D3" s="85"/>
      <c r="E3" s="84"/>
      <c r="F3" s="85"/>
      <c r="G3" s="84"/>
      <c r="H3" s="85"/>
      <c r="I3" s="85"/>
      <c r="J3" s="85"/>
      <c r="K3" s="521" t="s">
        <v>7</v>
      </c>
      <c r="L3" s="522"/>
    </row>
    <row r="4" spans="1:12" ht="9.75" customHeight="1" x14ac:dyDescent="0.2">
      <c r="A4" s="104"/>
      <c r="B4" s="227">
        <f>IF(K3="English",0,11)</f>
        <v>0</v>
      </c>
      <c r="C4" s="148"/>
      <c r="D4" s="149"/>
      <c r="E4" s="148"/>
      <c r="F4" s="149"/>
      <c r="G4" s="148"/>
      <c r="H4" s="149"/>
      <c r="I4" s="149"/>
      <c r="J4" s="149"/>
      <c r="K4" s="149"/>
      <c r="L4" s="149"/>
    </row>
    <row r="5" spans="1:12" ht="11.25" customHeight="1" x14ac:dyDescent="0.2">
      <c r="A5" s="518" t="s">
        <v>378</v>
      </c>
      <c r="B5" s="518" t="s">
        <v>379</v>
      </c>
      <c r="C5" s="534" t="str">
        <f>K3</f>
        <v>English</v>
      </c>
      <c r="D5" s="534"/>
      <c r="E5" s="534"/>
      <c r="F5" s="534"/>
      <c r="G5" s="534"/>
      <c r="H5" s="534"/>
      <c r="I5" s="534"/>
      <c r="J5" s="534"/>
      <c r="K5" s="534"/>
      <c r="L5" s="534"/>
    </row>
    <row r="6" spans="1:12" ht="11.25" customHeight="1" x14ac:dyDescent="0.2">
      <c r="A6" s="519"/>
      <c r="B6" s="519"/>
      <c r="C6" s="534" t="s">
        <v>337</v>
      </c>
      <c r="D6" s="534"/>
      <c r="E6" s="534" t="s">
        <v>338</v>
      </c>
      <c r="F6" s="534"/>
      <c r="G6" s="534" t="s">
        <v>339</v>
      </c>
      <c r="H6" s="534"/>
      <c r="I6" s="534" t="s">
        <v>353</v>
      </c>
      <c r="J6" s="534"/>
      <c r="K6" s="534" t="s">
        <v>370</v>
      </c>
      <c r="L6" s="534"/>
    </row>
    <row r="7" spans="1:12" ht="45" customHeight="1" x14ac:dyDescent="0.2">
      <c r="A7" s="520"/>
      <c r="B7" s="520"/>
      <c r="C7" s="190" t="s">
        <v>347</v>
      </c>
      <c r="D7" s="191" t="s">
        <v>454</v>
      </c>
      <c r="E7" s="190" t="s">
        <v>347</v>
      </c>
      <c r="F7" s="191" t="s">
        <v>454</v>
      </c>
      <c r="G7" s="190" t="s">
        <v>347</v>
      </c>
      <c r="H7" s="191" t="s">
        <v>454</v>
      </c>
      <c r="I7" s="190" t="s">
        <v>347</v>
      </c>
      <c r="J7" s="191" t="s">
        <v>454</v>
      </c>
      <c r="K7" s="190" t="s">
        <v>347</v>
      </c>
      <c r="L7" s="191" t="s">
        <v>454</v>
      </c>
    </row>
    <row r="8" spans="1:12" ht="11.25" customHeight="1" x14ac:dyDescent="0.2">
      <c r="A8" s="89"/>
      <c r="B8" s="89"/>
      <c r="C8" s="90"/>
      <c r="D8" s="91"/>
      <c r="E8" s="90"/>
      <c r="F8" s="91"/>
      <c r="G8" s="90"/>
      <c r="H8" s="91"/>
      <c r="I8" s="91"/>
      <c r="J8" s="91"/>
      <c r="K8" s="91"/>
      <c r="L8" s="91"/>
    </row>
    <row r="9" spans="1:12" s="98" customFormat="1" ht="11.25" customHeight="1" x14ac:dyDescent="0.2">
      <c r="A9" s="16" t="s">
        <v>380</v>
      </c>
      <c r="B9" s="92" t="s">
        <v>17</v>
      </c>
      <c r="C9" s="243">
        <f>VLOOKUP($A9,'Table 19 data'!$A$9:$W$184,$B$4+'Table 19 data'!C$4,0)</f>
        <v>29509</v>
      </c>
      <c r="D9" s="244">
        <f>VLOOKUP($A9,'Table 19 data'!$A$9:$W$184,$B$4+'Table 19 data'!D$4,0)</f>
        <v>62.2</v>
      </c>
      <c r="E9" s="243">
        <f>VLOOKUP($A9,'Table 19 data'!$A$9:$W$184,$B$4+'Table 19 data'!E$4,0)</f>
        <v>28387</v>
      </c>
      <c r="F9" s="244">
        <f>VLOOKUP($A9,'Table 19 data'!$A$9:$W$184,$B$4+'Table 19 data'!F$4,0)</f>
        <v>66.7</v>
      </c>
      <c r="G9" s="243">
        <f>VLOOKUP($A9,'Table 19 data'!$A$9:$W$184,$B$4+'Table 19 data'!G$4,0)</f>
        <v>28057</v>
      </c>
      <c r="H9" s="244">
        <f>VLOOKUP($A9,'Table 19 data'!$A$9:$W$184,$B$4+'Table 19 data'!H$4,0)</f>
        <v>69.900000000000006</v>
      </c>
      <c r="I9" s="243">
        <f>VLOOKUP($A9,'Table 19 data'!$A$9:$W$184,$B$4+'Table 19 data'!I$4,0)</f>
        <v>27207</v>
      </c>
      <c r="J9" s="244">
        <f>VLOOKUP($A9,'Table 19 data'!$A$9:$W$184,$B$4+'Table 19 data'!J$4,0)</f>
        <v>67.400000000000006</v>
      </c>
      <c r="K9" s="243">
        <f>VLOOKUP($A9,'Table 19 data'!$A$9:$W$184,$B$4+'Table 19 data'!K$4,0)</f>
        <v>27682</v>
      </c>
      <c r="L9" s="244">
        <f>VLOOKUP($A9,'Table 19 data'!$A$9:$W$184,$B$4+'Table 19 data'!L$4,0)</f>
        <v>68.599999999999994</v>
      </c>
    </row>
    <row r="10" spans="1:12" ht="11.25" customHeight="1" x14ac:dyDescent="0.2">
      <c r="A10" s="125" t="s">
        <v>354</v>
      </c>
      <c r="B10" s="142" t="s">
        <v>20</v>
      </c>
      <c r="C10" s="245">
        <f>VLOOKUP($A10,'Table 19 data'!$A$9:$W$184,$B$4+'Table 19 data'!C$4,0)</f>
        <v>5507</v>
      </c>
      <c r="D10" s="246">
        <f>VLOOKUP($A10,'Table 19 data'!$A$9:$W$184,$B$4+'Table 19 data'!D$4,0)</f>
        <v>65.2</v>
      </c>
      <c r="E10" s="245">
        <f>VLOOKUP($A10,'Table 19 data'!$A$9:$W$184,$B$4+'Table 19 data'!E$4,0)</f>
        <v>5309</v>
      </c>
      <c r="F10" s="246">
        <f>VLOOKUP($A10,'Table 19 data'!$A$9:$W$184,$B$4+'Table 19 data'!F$4,0)</f>
        <v>71.400000000000006</v>
      </c>
      <c r="G10" s="245">
        <f>VLOOKUP($A10,'Table 19 data'!$A$9:$W$184,$B$4+'Table 19 data'!G$4,0)</f>
        <v>5295</v>
      </c>
      <c r="H10" s="246">
        <f>VLOOKUP($A10,'Table 19 data'!$A$9:$W$184,$B$4+'Table 19 data'!H$4,0)</f>
        <v>75.099999999999994</v>
      </c>
      <c r="I10" s="245">
        <f>VLOOKUP($A10,'Table 19 data'!$A$9:$W$184,$B$4+'Table 19 data'!I$4,0)</f>
        <v>5207</v>
      </c>
      <c r="J10" s="246">
        <f>VLOOKUP($A10,'Table 19 data'!$A$9:$W$184,$B$4+'Table 19 data'!J$4,0)</f>
        <v>73.8</v>
      </c>
      <c r="K10" s="245">
        <f>VLOOKUP($A10,'Table 19 data'!$A$9:$W$184,$B$4+'Table 19 data'!K$4,0)</f>
        <v>5258</v>
      </c>
      <c r="L10" s="246">
        <f>VLOOKUP($A10,'Table 19 data'!$A$9:$W$184,$B$4+'Table 19 data'!L$4,0)</f>
        <v>74.8</v>
      </c>
    </row>
    <row r="11" spans="1:12" ht="11.25" customHeight="1" x14ac:dyDescent="0.2">
      <c r="A11" s="125" t="s">
        <v>18</v>
      </c>
      <c r="B11" s="142" t="s">
        <v>19</v>
      </c>
      <c r="C11" s="245">
        <f>VLOOKUP($A11,'Table 19 data'!$A$9:$W$184,$B$4+'Table 19 data'!C$4,0)</f>
        <v>1136</v>
      </c>
      <c r="D11" s="246">
        <f>VLOOKUP($A11,'Table 19 data'!$A$9:$W$184,$B$4+'Table 19 data'!D$4,0)</f>
        <v>60.6</v>
      </c>
      <c r="E11" s="245">
        <f>VLOOKUP($A11,'Table 19 data'!$A$9:$W$184,$B$4+'Table 19 data'!E$4,0)</f>
        <v>1090</v>
      </c>
      <c r="F11" s="246">
        <f>VLOOKUP($A11,'Table 19 data'!$A$9:$W$184,$B$4+'Table 19 data'!F$4,0)</f>
        <v>68</v>
      </c>
      <c r="G11" s="245">
        <f>VLOOKUP($A11,'Table 19 data'!$A$9:$W$184,$B$4+'Table 19 data'!G$4,0)</f>
        <v>1072</v>
      </c>
      <c r="H11" s="246">
        <f>VLOOKUP($A11,'Table 19 data'!$A$9:$W$184,$B$4+'Table 19 data'!H$4,0)</f>
        <v>76</v>
      </c>
      <c r="I11" s="245">
        <f>VLOOKUP($A11,'Table 19 data'!$A$9:$W$184,$B$4+'Table 19 data'!I$4,0)</f>
        <v>1081</v>
      </c>
      <c r="J11" s="246">
        <f>VLOOKUP($A11,'Table 19 data'!$A$9:$W$184,$B$4+'Table 19 data'!J$4,0)</f>
        <v>68.599999999999994</v>
      </c>
      <c r="K11" s="245">
        <f>VLOOKUP($A11,'Table 19 data'!$A$9:$W$184,$B$4+'Table 19 data'!K$4,0)</f>
        <v>1111</v>
      </c>
      <c r="L11" s="246">
        <f>VLOOKUP($A11,'Table 19 data'!$A$9:$W$184,$B$4+'Table 19 data'!L$4,0)</f>
        <v>76.099999999999994</v>
      </c>
    </row>
    <row r="12" spans="1:12" ht="11.25" customHeight="1" x14ac:dyDescent="0.2">
      <c r="A12" s="125" t="s">
        <v>21</v>
      </c>
      <c r="B12" s="142" t="s">
        <v>22</v>
      </c>
      <c r="C12" s="245">
        <f>VLOOKUP($A12,'Table 19 data'!$A$9:$W$184,$B$4+'Table 19 data'!C$4,0)</f>
        <v>2089</v>
      </c>
      <c r="D12" s="246">
        <f>VLOOKUP($A12,'Table 19 data'!$A$9:$W$184,$B$4+'Table 19 data'!D$4,0)</f>
        <v>65.099999999999994</v>
      </c>
      <c r="E12" s="245">
        <f>VLOOKUP($A12,'Table 19 data'!$A$9:$W$184,$B$4+'Table 19 data'!E$4,0)</f>
        <v>2032</v>
      </c>
      <c r="F12" s="246">
        <f>VLOOKUP($A12,'Table 19 data'!$A$9:$W$184,$B$4+'Table 19 data'!F$4,0)</f>
        <v>67.7</v>
      </c>
      <c r="G12" s="245">
        <f>VLOOKUP($A12,'Table 19 data'!$A$9:$W$184,$B$4+'Table 19 data'!G$4,0)</f>
        <v>2117</v>
      </c>
      <c r="H12" s="246">
        <f>VLOOKUP($A12,'Table 19 data'!$A$9:$W$184,$B$4+'Table 19 data'!H$4,0)</f>
        <v>74</v>
      </c>
      <c r="I12" s="245">
        <f>VLOOKUP($A12,'Table 19 data'!$A$9:$W$184,$B$4+'Table 19 data'!I$4,0)</f>
        <v>2049</v>
      </c>
      <c r="J12" s="246">
        <f>VLOOKUP($A12,'Table 19 data'!$A$9:$W$184,$B$4+'Table 19 data'!J$4,0)</f>
        <v>69.3</v>
      </c>
      <c r="K12" s="245">
        <f>VLOOKUP($A12,'Table 19 data'!$A$9:$W$184,$B$4+'Table 19 data'!K$4,0)</f>
        <v>2101</v>
      </c>
      <c r="L12" s="246">
        <f>VLOOKUP($A12,'Table 19 data'!$A$9:$W$184,$B$4+'Table 19 data'!L$4,0)</f>
        <v>68.5</v>
      </c>
    </row>
    <row r="13" spans="1:12" ht="11.25" customHeight="1" x14ac:dyDescent="0.2">
      <c r="A13" s="125" t="s">
        <v>23</v>
      </c>
      <c r="B13" s="142" t="s">
        <v>24</v>
      </c>
      <c r="C13" s="245">
        <f>VLOOKUP($A13,'Table 19 data'!$A$9:$W$184,$B$4+'Table 19 data'!C$4,0)</f>
        <v>1214</v>
      </c>
      <c r="D13" s="246">
        <f>VLOOKUP($A13,'Table 19 data'!$A$9:$W$184,$B$4+'Table 19 data'!D$4,0)</f>
        <v>57.9</v>
      </c>
      <c r="E13" s="245">
        <f>VLOOKUP($A13,'Table 19 data'!$A$9:$W$184,$B$4+'Table 19 data'!E$4,0)</f>
        <v>1213</v>
      </c>
      <c r="F13" s="246">
        <f>VLOOKUP($A13,'Table 19 data'!$A$9:$W$184,$B$4+'Table 19 data'!F$4,0)</f>
        <v>56.1</v>
      </c>
      <c r="G13" s="245">
        <f>VLOOKUP($A13,'Table 19 data'!$A$9:$W$184,$B$4+'Table 19 data'!G$4,0)</f>
        <v>1260</v>
      </c>
      <c r="H13" s="246">
        <f>VLOOKUP($A13,'Table 19 data'!$A$9:$W$184,$B$4+'Table 19 data'!H$4,0)</f>
        <v>62.3</v>
      </c>
      <c r="I13" s="245">
        <f>VLOOKUP($A13,'Table 19 data'!$A$9:$W$184,$B$4+'Table 19 data'!I$4,0)</f>
        <v>1127</v>
      </c>
      <c r="J13" s="246">
        <f>VLOOKUP($A13,'Table 19 data'!$A$9:$W$184,$B$4+'Table 19 data'!J$4,0)</f>
        <v>50.8</v>
      </c>
      <c r="K13" s="245">
        <f>VLOOKUP($A13,'Table 19 data'!$A$9:$W$184,$B$4+'Table 19 data'!K$4,0)</f>
        <v>1137</v>
      </c>
      <c r="L13" s="246">
        <f>VLOOKUP($A13,'Table 19 data'!$A$9:$W$184,$B$4+'Table 19 data'!L$4,0)</f>
        <v>63.6</v>
      </c>
    </row>
    <row r="14" spans="1:12" ht="11.25" customHeight="1" x14ac:dyDescent="0.2">
      <c r="A14" s="125" t="s">
        <v>25</v>
      </c>
      <c r="B14" s="142" t="s">
        <v>26</v>
      </c>
      <c r="C14" s="245">
        <f>VLOOKUP($A14,'Table 19 data'!$A$9:$W$184,$B$4+'Table 19 data'!C$4,0)</f>
        <v>1671</v>
      </c>
      <c r="D14" s="246">
        <f>VLOOKUP($A14,'Table 19 data'!$A$9:$W$184,$B$4+'Table 19 data'!D$4,0)</f>
        <v>51.3</v>
      </c>
      <c r="E14" s="245">
        <f>VLOOKUP($A14,'Table 19 data'!$A$9:$W$184,$B$4+'Table 19 data'!E$4,0)</f>
        <v>1613</v>
      </c>
      <c r="F14" s="246">
        <f>VLOOKUP($A14,'Table 19 data'!$A$9:$W$184,$B$4+'Table 19 data'!F$4,0)</f>
        <v>58.2</v>
      </c>
      <c r="G14" s="245">
        <f>VLOOKUP($A14,'Table 19 data'!$A$9:$W$184,$B$4+'Table 19 data'!G$4,0)</f>
        <v>1531</v>
      </c>
      <c r="H14" s="246">
        <f>VLOOKUP($A14,'Table 19 data'!$A$9:$W$184,$B$4+'Table 19 data'!H$4,0)</f>
        <v>56.8</v>
      </c>
      <c r="I14" s="245">
        <f>VLOOKUP($A14,'Table 19 data'!$A$9:$W$184,$B$4+'Table 19 data'!I$4,0)</f>
        <v>1421</v>
      </c>
      <c r="J14" s="246">
        <f>VLOOKUP($A14,'Table 19 data'!$A$9:$W$184,$B$4+'Table 19 data'!J$4,0)</f>
        <v>55.2</v>
      </c>
      <c r="K14" s="245">
        <f>VLOOKUP($A14,'Table 19 data'!$A$9:$W$184,$B$4+'Table 19 data'!K$4,0)</f>
        <v>1444</v>
      </c>
      <c r="L14" s="246">
        <f>VLOOKUP($A14,'Table 19 data'!$A$9:$W$184,$B$4+'Table 19 data'!L$4,0)</f>
        <v>61.6</v>
      </c>
    </row>
    <row r="15" spans="1:12" ht="11.25" customHeight="1" x14ac:dyDescent="0.2">
      <c r="A15" s="125" t="s">
        <v>27</v>
      </c>
      <c r="B15" s="142" t="s">
        <v>28</v>
      </c>
      <c r="C15" s="245">
        <f>VLOOKUP($A15,'Table 19 data'!$A$9:$W$184,$B$4+'Table 19 data'!C$4,0)</f>
        <v>2583</v>
      </c>
      <c r="D15" s="246">
        <f>VLOOKUP($A15,'Table 19 data'!$A$9:$W$184,$B$4+'Table 19 data'!D$4,0)</f>
        <v>55.7</v>
      </c>
      <c r="E15" s="245">
        <f>VLOOKUP($A15,'Table 19 data'!$A$9:$W$184,$B$4+'Table 19 data'!E$4,0)</f>
        <v>2391</v>
      </c>
      <c r="F15" s="246">
        <f>VLOOKUP($A15,'Table 19 data'!$A$9:$W$184,$B$4+'Table 19 data'!F$4,0)</f>
        <v>64.900000000000006</v>
      </c>
      <c r="G15" s="245">
        <f>VLOOKUP($A15,'Table 19 data'!$A$9:$W$184,$B$4+'Table 19 data'!G$4,0)</f>
        <v>2371</v>
      </c>
      <c r="H15" s="246">
        <f>VLOOKUP($A15,'Table 19 data'!$A$9:$W$184,$B$4+'Table 19 data'!H$4,0)</f>
        <v>65.5</v>
      </c>
      <c r="I15" s="245">
        <f>VLOOKUP($A15,'Table 19 data'!$A$9:$W$184,$B$4+'Table 19 data'!I$4,0)</f>
        <v>2240</v>
      </c>
      <c r="J15" s="246">
        <f>VLOOKUP($A15,'Table 19 data'!$A$9:$W$184,$B$4+'Table 19 data'!J$4,0)</f>
        <v>70</v>
      </c>
      <c r="K15" s="245">
        <f>VLOOKUP($A15,'Table 19 data'!$A$9:$W$184,$B$4+'Table 19 data'!K$4,0)</f>
        <v>2408</v>
      </c>
      <c r="L15" s="246">
        <f>VLOOKUP($A15,'Table 19 data'!$A$9:$W$184,$B$4+'Table 19 data'!L$4,0)</f>
        <v>67.3</v>
      </c>
    </row>
    <row r="16" spans="1:12" ht="11.25" customHeight="1" x14ac:dyDescent="0.2">
      <c r="A16" s="125" t="s">
        <v>29</v>
      </c>
      <c r="B16" s="142" t="s">
        <v>30</v>
      </c>
      <c r="C16" s="245">
        <f>VLOOKUP($A16,'Table 19 data'!$A$9:$W$184,$B$4+'Table 19 data'!C$4,0)</f>
        <v>2225</v>
      </c>
      <c r="D16" s="246">
        <f>VLOOKUP($A16,'Table 19 data'!$A$9:$W$184,$B$4+'Table 19 data'!D$4,0)</f>
        <v>69.400000000000006</v>
      </c>
      <c r="E16" s="245">
        <f>VLOOKUP($A16,'Table 19 data'!$A$9:$W$184,$B$4+'Table 19 data'!E$4,0)</f>
        <v>2072</v>
      </c>
      <c r="F16" s="246">
        <f>VLOOKUP($A16,'Table 19 data'!$A$9:$W$184,$B$4+'Table 19 data'!F$4,0)</f>
        <v>69.5</v>
      </c>
      <c r="G16" s="245">
        <f>VLOOKUP($A16,'Table 19 data'!$A$9:$W$184,$B$4+'Table 19 data'!G$4,0)</f>
        <v>2101</v>
      </c>
      <c r="H16" s="246">
        <f>VLOOKUP($A16,'Table 19 data'!$A$9:$W$184,$B$4+'Table 19 data'!H$4,0)</f>
        <v>73.2</v>
      </c>
      <c r="I16" s="245">
        <f>VLOOKUP($A16,'Table 19 data'!$A$9:$W$184,$B$4+'Table 19 data'!I$4,0)</f>
        <v>2074</v>
      </c>
      <c r="J16" s="246">
        <f>VLOOKUP($A16,'Table 19 data'!$A$9:$W$184,$B$4+'Table 19 data'!J$4,0)</f>
        <v>66.099999999999994</v>
      </c>
      <c r="K16" s="245">
        <f>VLOOKUP($A16,'Table 19 data'!$A$9:$W$184,$B$4+'Table 19 data'!K$4,0)</f>
        <v>2071</v>
      </c>
      <c r="L16" s="246">
        <f>VLOOKUP($A16,'Table 19 data'!$A$9:$W$184,$B$4+'Table 19 data'!L$4,0)</f>
        <v>73.8</v>
      </c>
    </row>
    <row r="17" spans="1:12" ht="11.25" customHeight="1" x14ac:dyDescent="0.2">
      <c r="A17" s="125" t="s">
        <v>31</v>
      </c>
      <c r="B17" s="142" t="s">
        <v>32</v>
      </c>
      <c r="C17" s="245">
        <f>VLOOKUP($A17,'Table 19 data'!$A$9:$W$184,$B$4+'Table 19 data'!C$4,0)</f>
        <v>3673</v>
      </c>
      <c r="D17" s="246">
        <f>VLOOKUP($A17,'Table 19 data'!$A$9:$W$184,$B$4+'Table 19 data'!D$4,0)</f>
        <v>66.8</v>
      </c>
      <c r="E17" s="245">
        <f>VLOOKUP($A17,'Table 19 data'!$A$9:$W$184,$B$4+'Table 19 data'!E$4,0)</f>
        <v>3482</v>
      </c>
      <c r="F17" s="246">
        <f>VLOOKUP($A17,'Table 19 data'!$A$9:$W$184,$B$4+'Table 19 data'!F$4,0)</f>
        <v>71.3</v>
      </c>
      <c r="G17" s="245">
        <f>VLOOKUP($A17,'Table 19 data'!$A$9:$W$184,$B$4+'Table 19 data'!G$4,0)</f>
        <v>3508</v>
      </c>
      <c r="H17" s="246">
        <f>VLOOKUP($A17,'Table 19 data'!$A$9:$W$184,$B$4+'Table 19 data'!H$4,0)</f>
        <v>69.900000000000006</v>
      </c>
      <c r="I17" s="245">
        <f>VLOOKUP($A17,'Table 19 data'!$A$9:$W$184,$B$4+'Table 19 data'!I$4,0)</f>
        <v>3405</v>
      </c>
      <c r="J17" s="246">
        <f>VLOOKUP($A17,'Table 19 data'!$A$9:$W$184,$B$4+'Table 19 data'!J$4,0)</f>
        <v>67.900000000000006</v>
      </c>
      <c r="K17" s="245">
        <f>VLOOKUP($A17,'Table 19 data'!$A$9:$W$184,$B$4+'Table 19 data'!K$4,0)</f>
        <v>3481</v>
      </c>
      <c r="L17" s="246">
        <f>VLOOKUP($A17,'Table 19 data'!$A$9:$W$184,$B$4+'Table 19 data'!L$4,0)</f>
        <v>63.2</v>
      </c>
    </row>
    <row r="18" spans="1:12" ht="11.25" customHeight="1" x14ac:dyDescent="0.2">
      <c r="A18" s="125" t="s">
        <v>33</v>
      </c>
      <c r="B18" s="142" t="s">
        <v>34</v>
      </c>
      <c r="C18" s="245">
        <f>VLOOKUP($A18,'Table 19 data'!$A$9:$W$184,$B$4+'Table 19 data'!C$4,0)</f>
        <v>1863</v>
      </c>
      <c r="D18" s="246">
        <f>VLOOKUP($A18,'Table 19 data'!$A$9:$W$184,$B$4+'Table 19 data'!D$4,0)</f>
        <v>62.1</v>
      </c>
      <c r="E18" s="245">
        <f>VLOOKUP($A18,'Table 19 data'!$A$9:$W$184,$B$4+'Table 19 data'!E$4,0)</f>
        <v>1905</v>
      </c>
      <c r="F18" s="246">
        <f>VLOOKUP($A18,'Table 19 data'!$A$9:$W$184,$B$4+'Table 19 data'!F$4,0)</f>
        <v>62.7</v>
      </c>
      <c r="G18" s="245">
        <f>VLOOKUP($A18,'Table 19 data'!$A$9:$W$184,$B$4+'Table 19 data'!G$4,0)</f>
        <v>1813</v>
      </c>
      <c r="H18" s="246">
        <f>VLOOKUP($A18,'Table 19 data'!$A$9:$W$184,$B$4+'Table 19 data'!H$4,0)</f>
        <v>63.5</v>
      </c>
      <c r="I18" s="245">
        <f>VLOOKUP($A18,'Table 19 data'!$A$9:$W$184,$B$4+'Table 19 data'!I$4,0)</f>
        <v>1712</v>
      </c>
      <c r="J18" s="246">
        <f>VLOOKUP($A18,'Table 19 data'!$A$9:$W$184,$B$4+'Table 19 data'!J$4,0)</f>
        <v>59.7</v>
      </c>
      <c r="K18" s="245">
        <f>VLOOKUP($A18,'Table 19 data'!$A$9:$W$184,$B$4+'Table 19 data'!K$4,0)</f>
        <v>1795</v>
      </c>
      <c r="L18" s="246">
        <f>VLOOKUP($A18,'Table 19 data'!$A$9:$W$184,$B$4+'Table 19 data'!L$4,0)</f>
        <v>63.2</v>
      </c>
    </row>
    <row r="19" spans="1:12" ht="11.25" customHeight="1" x14ac:dyDescent="0.2">
      <c r="A19" s="125" t="s">
        <v>35</v>
      </c>
      <c r="B19" s="142" t="s">
        <v>36</v>
      </c>
      <c r="C19" s="245">
        <f>VLOOKUP($A19,'Table 19 data'!$A$9:$W$184,$B$4+'Table 19 data'!C$4,0)</f>
        <v>1825</v>
      </c>
      <c r="D19" s="246">
        <f>VLOOKUP($A19,'Table 19 data'!$A$9:$W$184,$B$4+'Table 19 data'!D$4,0)</f>
        <v>62.5</v>
      </c>
      <c r="E19" s="245">
        <f>VLOOKUP($A19,'Table 19 data'!$A$9:$W$184,$B$4+'Table 19 data'!E$4,0)</f>
        <v>1705</v>
      </c>
      <c r="F19" s="246">
        <f>VLOOKUP($A19,'Table 19 data'!$A$9:$W$184,$B$4+'Table 19 data'!F$4,0)</f>
        <v>72</v>
      </c>
      <c r="G19" s="245">
        <f>VLOOKUP($A19,'Table 19 data'!$A$9:$W$184,$B$4+'Table 19 data'!G$4,0)</f>
        <v>1687</v>
      </c>
      <c r="H19" s="246">
        <f>VLOOKUP($A19,'Table 19 data'!$A$9:$W$184,$B$4+'Table 19 data'!H$4,0)</f>
        <v>71.400000000000006</v>
      </c>
      <c r="I19" s="245">
        <f>VLOOKUP($A19,'Table 19 data'!$A$9:$W$184,$B$4+'Table 19 data'!I$4,0)</f>
        <v>1683</v>
      </c>
      <c r="J19" s="246">
        <f>VLOOKUP($A19,'Table 19 data'!$A$9:$W$184,$B$4+'Table 19 data'!J$4,0)</f>
        <v>68.900000000000006</v>
      </c>
      <c r="K19" s="245">
        <f>VLOOKUP($A19,'Table 19 data'!$A$9:$W$184,$B$4+'Table 19 data'!K$4,0)</f>
        <v>1650</v>
      </c>
      <c r="L19" s="246">
        <f>VLOOKUP($A19,'Table 19 data'!$A$9:$W$184,$B$4+'Table 19 data'!L$4,0)</f>
        <v>68.599999999999994</v>
      </c>
    </row>
    <row r="20" spans="1:12" ht="11.25" customHeight="1" x14ac:dyDescent="0.2">
      <c r="A20" s="125" t="s">
        <v>37</v>
      </c>
      <c r="B20" s="142" t="s">
        <v>38</v>
      </c>
      <c r="C20" s="245">
        <f>VLOOKUP($A20,'Table 19 data'!$A$9:$W$184,$B$4+'Table 19 data'!C$4,0)</f>
        <v>2338</v>
      </c>
      <c r="D20" s="246">
        <f>VLOOKUP($A20,'Table 19 data'!$A$9:$W$184,$B$4+'Table 19 data'!D$4,0)</f>
        <v>61.5</v>
      </c>
      <c r="E20" s="245">
        <f>VLOOKUP($A20,'Table 19 data'!$A$9:$W$184,$B$4+'Table 19 data'!E$4,0)</f>
        <v>2234</v>
      </c>
      <c r="F20" s="246">
        <f>VLOOKUP($A20,'Table 19 data'!$A$9:$W$184,$B$4+'Table 19 data'!F$4,0)</f>
        <v>62.5</v>
      </c>
      <c r="G20" s="245">
        <f>VLOOKUP($A20,'Table 19 data'!$A$9:$W$184,$B$4+'Table 19 data'!G$4,0)</f>
        <v>2151</v>
      </c>
      <c r="H20" s="246">
        <f>VLOOKUP($A20,'Table 19 data'!$A$9:$W$184,$B$4+'Table 19 data'!H$4,0)</f>
        <v>70.099999999999994</v>
      </c>
      <c r="I20" s="245">
        <f>VLOOKUP($A20,'Table 19 data'!$A$9:$W$184,$B$4+'Table 19 data'!I$4,0)</f>
        <v>2088</v>
      </c>
      <c r="J20" s="246">
        <f>VLOOKUP($A20,'Table 19 data'!$A$9:$W$184,$B$4+'Table 19 data'!J$4,0)</f>
        <v>63.1</v>
      </c>
      <c r="K20" s="245">
        <f>VLOOKUP($A20,'Table 19 data'!$A$9:$W$184,$B$4+'Table 19 data'!K$4,0)</f>
        <v>2103</v>
      </c>
      <c r="L20" s="246">
        <f>VLOOKUP($A20,'Table 19 data'!$A$9:$W$184,$B$4+'Table 19 data'!L$4,0)</f>
        <v>63.5</v>
      </c>
    </row>
    <row r="21" spans="1:12" ht="11.25" customHeight="1" x14ac:dyDescent="0.2">
      <c r="A21" s="125" t="s">
        <v>39</v>
      </c>
      <c r="B21" s="142" t="s">
        <v>40</v>
      </c>
      <c r="C21" s="245">
        <f>VLOOKUP($A21,'Table 19 data'!$A$9:$W$184,$B$4+'Table 19 data'!C$4,0)</f>
        <v>3385</v>
      </c>
      <c r="D21" s="246">
        <f>VLOOKUP($A21,'Table 19 data'!$A$9:$W$184,$B$4+'Table 19 data'!D$4,0)</f>
        <v>58.9</v>
      </c>
      <c r="E21" s="245">
        <f>VLOOKUP($A21,'Table 19 data'!$A$9:$W$184,$B$4+'Table 19 data'!E$4,0)</f>
        <v>3341</v>
      </c>
      <c r="F21" s="246">
        <f>VLOOKUP($A21,'Table 19 data'!$A$9:$W$184,$B$4+'Table 19 data'!F$4,0)</f>
        <v>62.9</v>
      </c>
      <c r="G21" s="245">
        <f>VLOOKUP($A21,'Table 19 data'!$A$9:$W$184,$B$4+'Table 19 data'!G$4,0)</f>
        <v>3151</v>
      </c>
      <c r="H21" s="246">
        <f>VLOOKUP($A21,'Table 19 data'!$A$9:$W$184,$B$4+'Table 19 data'!H$4,0)</f>
        <v>69.3</v>
      </c>
      <c r="I21" s="245">
        <f>VLOOKUP($A21,'Table 19 data'!$A$9:$W$184,$B$4+'Table 19 data'!I$4,0)</f>
        <v>3120</v>
      </c>
      <c r="J21" s="246">
        <f>VLOOKUP($A21,'Table 19 data'!$A$9:$W$184,$B$4+'Table 19 data'!J$4,0)</f>
        <v>71.2</v>
      </c>
      <c r="K21" s="245">
        <f>VLOOKUP($A21,'Table 19 data'!$A$9:$W$184,$B$4+'Table 19 data'!K$4,0)</f>
        <v>3123</v>
      </c>
      <c r="L21" s="246">
        <f>VLOOKUP($A21,'Table 19 data'!$A$9:$W$184,$B$4+'Table 19 data'!L$4,0)</f>
        <v>70.5</v>
      </c>
    </row>
    <row r="22" spans="1:12" ht="11.25" customHeight="1" x14ac:dyDescent="0.2">
      <c r="A22" s="3"/>
      <c r="B22" s="141"/>
      <c r="C22" s="247"/>
      <c r="D22" s="248"/>
      <c r="E22" s="247"/>
      <c r="F22" s="248"/>
      <c r="G22" s="247"/>
      <c r="H22" s="249"/>
      <c r="I22" s="250"/>
      <c r="J22" s="250"/>
      <c r="K22" s="250"/>
      <c r="L22" s="250"/>
    </row>
    <row r="23" spans="1:12" s="98" customFormat="1" ht="11.25" customHeight="1" x14ac:dyDescent="0.2">
      <c r="A23" s="16" t="s">
        <v>381</v>
      </c>
      <c r="B23" s="92" t="s">
        <v>41</v>
      </c>
      <c r="C23" s="243">
        <f>VLOOKUP($A23,'Table 19 data'!$A$9:$W$184,$B$4+'Table 19 data'!C$4,0)</f>
        <v>80098</v>
      </c>
      <c r="D23" s="244">
        <f>VLOOKUP($A23,'Table 19 data'!$A$9:$W$184,$B$4+'Table 19 data'!D$4,0)</f>
        <v>64.599999999999994</v>
      </c>
      <c r="E23" s="243">
        <f>VLOOKUP($A23,'Table 19 data'!$A$9:$W$184,$B$4+'Table 19 data'!E$4,0)</f>
        <v>78776</v>
      </c>
      <c r="F23" s="244">
        <f>VLOOKUP($A23,'Table 19 data'!$A$9:$W$184,$B$4+'Table 19 data'!F$4,0)</f>
        <v>69.900000000000006</v>
      </c>
      <c r="G23" s="243">
        <f>VLOOKUP($A23,'Table 19 data'!$A$9:$W$184,$B$4+'Table 19 data'!G$4,0)</f>
        <v>75948</v>
      </c>
      <c r="H23" s="244">
        <f>VLOOKUP($A23,'Table 19 data'!$A$9:$W$184,$B$4+'Table 19 data'!H$4,0)</f>
        <v>72.599999999999994</v>
      </c>
      <c r="I23" s="243">
        <f>VLOOKUP($A23,'Table 19 data'!$A$9:$W$184,$B$4+'Table 19 data'!I$4,0)</f>
        <v>75316</v>
      </c>
      <c r="J23" s="244">
        <f>VLOOKUP($A23,'Table 19 data'!$A$9:$W$184,$B$4+'Table 19 data'!J$4,0)</f>
        <v>68.5</v>
      </c>
      <c r="K23" s="243">
        <f>VLOOKUP($A23,'Table 19 data'!$A$9:$W$184,$B$4+'Table 19 data'!K$4,0)</f>
        <v>76980</v>
      </c>
      <c r="L23" s="244">
        <f>VLOOKUP($A23,'Table 19 data'!$A$9:$W$184,$B$4+'Table 19 data'!L$4,0)</f>
        <v>69.7</v>
      </c>
    </row>
    <row r="24" spans="1:12" ht="11.25" customHeight="1" x14ac:dyDescent="0.2">
      <c r="A24" s="125" t="s">
        <v>42</v>
      </c>
      <c r="B24" s="142" t="s">
        <v>43</v>
      </c>
      <c r="C24" s="245">
        <f>VLOOKUP($A24,'Table 19 data'!$A$9:$W$184,$B$4+'Table 19 data'!C$4,0)</f>
        <v>1722</v>
      </c>
      <c r="D24" s="246">
        <f>VLOOKUP($A24,'Table 19 data'!$A$9:$W$184,$B$4+'Table 19 data'!D$4,0)</f>
        <v>65.2</v>
      </c>
      <c r="E24" s="245">
        <f>VLOOKUP($A24,'Table 19 data'!$A$9:$W$184,$B$4+'Table 19 data'!E$4,0)</f>
        <v>1696</v>
      </c>
      <c r="F24" s="246">
        <f>VLOOKUP($A24,'Table 19 data'!$A$9:$W$184,$B$4+'Table 19 data'!F$4,0)</f>
        <v>69.400000000000006</v>
      </c>
      <c r="G24" s="245">
        <f>VLOOKUP($A24,'Table 19 data'!$A$9:$W$184,$B$4+'Table 19 data'!G$4,0)</f>
        <v>1727</v>
      </c>
      <c r="H24" s="246">
        <f>VLOOKUP($A24,'Table 19 data'!$A$9:$W$184,$B$4+'Table 19 data'!H$4,0)</f>
        <v>74.2</v>
      </c>
      <c r="I24" s="245">
        <f>VLOOKUP($A24,'Table 19 data'!$A$9:$W$184,$B$4+'Table 19 data'!I$4,0)</f>
        <v>1665</v>
      </c>
      <c r="J24" s="246">
        <f>VLOOKUP($A24,'Table 19 data'!$A$9:$W$184,$B$4+'Table 19 data'!J$4,0)</f>
        <v>65.8</v>
      </c>
      <c r="K24" s="245">
        <f>VLOOKUP($A24,'Table 19 data'!$A$9:$W$184,$B$4+'Table 19 data'!K$4,0)</f>
        <v>1720</v>
      </c>
      <c r="L24" s="246">
        <f>VLOOKUP($A24,'Table 19 data'!$A$9:$W$184,$B$4+'Table 19 data'!L$4,0)</f>
        <v>70.7</v>
      </c>
    </row>
    <row r="25" spans="1:12" ht="11.25" customHeight="1" x14ac:dyDescent="0.2">
      <c r="A25" s="125" t="s">
        <v>44</v>
      </c>
      <c r="B25" s="142" t="s">
        <v>45</v>
      </c>
      <c r="C25" s="245">
        <f>VLOOKUP($A25,'Table 19 data'!$A$9:$W$184,$B$4+'Table 19 data'!C$4,0)</f>
        <v>1570</v>
      </c>
      <c r="D25" s="246">
        <f>VLOOKUP($A25,'Table 19 data'!$A$9:$W$184,$B$4+'Table 19 data'!D$4,0)</f>
        <v>62.5</v>
      </c>
      <c r="E25" s="245">
        <f>VLOOKUP($A25,'Table 19 data'!$A$9:$W$184,$B$4+'Table 19 data'!E$4,0)</f>
        <v>1539</v>
      </c>
      <c r="F25" s="246">
        <f>VLOOKUP($A25,'Table 19 data'!$A$9:$W$184,$B$4+'Table 19 data'!F$4,0)</f>
        <v>71.400000000000006</v>
      </c>
      <c r="G25" s="245">
        <f>VLOOKUP($A25,'Table 19 data'!$A$9:$W$184,$B$4+'Table 19 data'!G$4,0)</f>
        <v>1471</v>
      </c>
      <c r="H25" s="246">
        <f>VLOOKUP($A25,'Table 19 data'!$A$9:$W$184,$B$4+'Table 19 data'!H$4,0)</f>
        <v>69.099999999999994</v>
      </c>
      <c r="I25" s="245">
        <f>VLOOKUP($A25,'Table 19 data'!$A$9:$W$184,$B$4+'Table 19 data'!I$4,0)</f>
        <v>1406</v>
      </c>
      <c r="J25" s="246">
        <f>VLOOKUP($A25,'Table 19 data'!$A$9:$W$184,$B$4+'Table 19 data'!J$4,0)</f>
        <v>63.7</v>
      </c>
      <c r="K25" s="245">
        <f>VLOOKUP($A25,'Table 19 data'!$A$9:$W$184,$B$4+'Table 19 data'!K$4,0)</f>
        <v>1575</v>
      </c>
      <c r="L25" s="246">
        <f>VLOOKUP($A25,'Table 19 data'!$A$9:$W$184,$B$4+'Table 19 data'!L$4,0)</f>
        <v>58.5</v>
      </c>
    </row>
    <row r="26" spans="1:12" ht="11.25" customHeight="1" x14ac:dyDescent="0.2">
      <c r="A26" s="125" t="s">
        <v>46</v>
      </c>
      <c r="B26" s="142" t="s">
        <v>47</v>
      </c>
      <c r="C26" s="245">
        <f>VLOOKUP($A26,'Table 19 data'!$A$9:$W$184,$B$4+'Table 19 data'!C$4,0)</f>
        <v>3467</v>
      </c>
      <c r="D26" s="246">
        <f>VLOOKUP($A26,'Table 19 data'!$A$9:$W$184,$B$4+'Table 19 data'!D$4,0)</f>
        <v>57.1</v>
      </c>
      <c r="E26" s="245">
        <f>VLOOKUP($A26,'Table 19 data'!$A$9:$W$184,$B$4+'Table 19 data'!E$4,0)</f>
        <v>3410</v>
      </c>
      <c r="F26" s="246">
        <f>VLOOKUP($A26,'Table 19 data'!$A$9:$W$184,$B$4+'Table 19 data'!F$4,0)</f>
        <v>64.7</v>
      </c>
      <c r="G26" s="245">
        <f>VLOOKUP($A26,'Table 19 data'!$A$9:$W$184,$B$4+'Table 19 data'!G$4,0)</f>
        <v>3262</v>
      </c>
      <c r="H26" s="246">
        <f>VLOOKUP($A26,'Table 19 data'!$A$9:$W$184,$B$4+'Table 19 data'!H$4,0)</f>
        <v>72.400000000000006</v>
      </c>
      <c r="I26" s="245">
        <f>VLOOKUP($A26,'Table 19 data'!$A$9:$W$184,$B$4+'Table 19 data'!I$4,0)</f>
        <v>3266</v>
      </c>
      <c r="J26" s="246">
        <f>VLOOKUP($A26,'Table 19 data'!$A$9:$W$184,$B$4+'Table 19 data'!J$4,0)</f>
        <v>67.7</v>
      </c>
      <c r="K26" s="245">
        <f>VLOOKUP($A26,'Table 19 data'!$A$9:$W$184,$B$4+'Table 19 data'!K$4,0)</f>
        <v>3375</v>
      </c>
      <c r="L26" s="246">
        <f>VLOOKUP($A26,'Table 19 data'!$A$9:$W$184,$B$4+'Table 19 data'!L$4,0)</f>
        <v>68.599999999999994</v>
      </c>
    </row>
    <row r="27" spans="1:12" ht="11.25" customHeight="1" x14ac:dyDescent="0.2">
      <c r="A27" s="125" t="s">
        <v>48</v>
      </c>
      <c r="B27" s="142" t="s">
        <v>49</v>
      </c>
      <c r="C27" s="245">
        <f>VLOOKUP($A27,'Table 19 data'!$A$9:$W$184,$B$4+'Table 19 data'!C$4,0)</f>
        <v>2152</v>
      </c>
      <c r="D27" s="246">
        <f>VLOOKUP($A27,'Table 19 data'!$A$9:$W$184,$B$4+'Table 19 data'!D$4,0)</f>
        <v>77.2</v>
      </c>
      <c r="E27" s="245">
        <f>VLOOKUP($A27,'Table 19 data'!$A$9:$W$184,$B$4+'Table 19 data'!E$4,0)</f>
        <v>2157</v>
      </c>
      <c r="F27" s="246">
        <f>VLOOKUP($A27,'Table 19 data'!$A$9:$W$184,$B$4+'Table 19 data'!F$4,0)</f>
        <v>77.5</v>
      </c>
      <c r="G27" s="245">
        <f>VLOOKUP($A27,'Table 19 data'!$A$9:$W$184,$B$4+'Table 19 data'!G$4,0)</f>
        <v>2107</v>
      </c>
      <c r="H27" s="246">
        <f>VLOOKUP($A27,'Table 19 data'!$A$9:$W$184,$B$4+'Table 19 data'!H$4,0)</f>
        <v>81.2</v>
      </c>
      <c r="I27" s="245">
        <f>VLOOKUP($A27,'Table 19 data'!$A$9:$W$184,$B$4+'Table 19 data'!I$4,0)</f>
        <v>2127</v>
      </c>
      <c r="J27" s="246">
        <f>VLOOKUP($A27,'Table 19 data'!$A$9:$W$184,$B$4+'Table 19 data'!J$4,0)</f>
        <v>75.7</v>
      </c>
      <c r="K27" s="245">
        <f>VLOOKUP($A27,'Table 19 data'!$A$9:$W$184,$B$4+'Table 19 data'!K$4,0)</f>
        <v>2113</v>
      </c>
      <c r="L27" s="246">
        <f>VLOOKUP($A27,'Table 19 data'!$A$9:$W$184,$B$4+'Table 19 data'!L$4,0)</f>
        <v>67.400000000000006</v>
      </c>
    </row>
    <row r="28" spans="1:12" ht="11.25" customHeight="1" x14ac:dyDescent="0.2">
      <c r="A28" s="125" t="s">
        <v>50</v>
      </c>
      <c r="B28" s="126" t="s">
        <v>51</v>
      </c>
      <c r="C28" s="245">
        <f>VLOOKUP($A28,'Table 19 data'!$A$9:$W$184,$B$4+'Table 19 data'!C$4,0)</f>
        <v>3899</v>
      </c>
      <c r="D28" s="246">
        <f>VLOOKUP($A28,'Table 19 data'!$A$9:$W$184,$B$4+'Table 19 data'!D$4,0)</f>
        <v>68.5</v>
      </c>
      <c r="E28" s="245">
        <f>VLOOKUP($A28,'Table 19 data'!$A$9:$W$184,$B$4+'Table 19 data'!E$4,0)</f>
        <v>3843</v>
      </c>
      <c r="F28" s="246">
        <f>VLOOKUP($A28,'Table 19 data'!$A$9:$W$184,$B$4+'Table 19 data'!F$4,0)</f>
        <v>73.900000000000006</v>
      </c>
      <c r="G28" s="245">
        <f>VLOOKUP($A28,'Table 19 data'!$A$9:$W$184,$B$4+'Table 19 data'!G$4,0)</f>
        <v>3721</v>
      </c>
      <c r="H28" s="246">
        <f>VLOOKUP($A28,'Table 19 data'!$A$9:$W$184,$B$4+'Table 19 data'!H$4,0)</f>
        <v>75</v>
      </c>
      <c r="I28" s="245">
        <f>VLOOKUP($A28,'Table 19 data'!$A$9:$W$184,$B$4+'Table 19 data'!I$4,0)</f>
        <v>3804</v>
      </c>
      <c r="J28" s="246">
        <f>VLOOKUP($A28,'Table 19 data'!$A$9:$W$184,$B$4+'Table 19 data'!J$4,0)</f>
        <v>69</v>
      </c>
      <c r="K28" s="245">
        <f>VLOOKUP($A28,'Table 19 data'!$A$9:$W$184,$B$4+'Table 19 data'!K$4,0)</f>
        <v>3969</v>
      </c>
      <c r="L28" s="246">
        <f>VLOOKUP($A28,'Table 19 data'!$A$9:$W$184,$B$4+'Table 19 data'!L$4,0)</f>
        <v>69.8</v>
      </c>
    </row>
    <row r="29" spans="1:12" ht="11.25" customHeight="1" x14ac:dyDescent="0.2">
      <c r="A29" s="125" t="s">
        <v>52</v>
      </c>
      <c r="B29" s="126" t="s">
        <v>53</v>
      </c>
      <c r="C29" s="245">
        <f>VLOOKUP($A29,'Table 19 data'!$A$9:$W$184,$B$4+'Table 19 data'!C$4,0)</f>
        <v>3798</v>
      </c>
      <c r="D29" s="246">
        <f>VLOOKUP($A29,'Table 19 data'!$A$9:$W$184,$B$4+'Table 19 data'!D$4,0)</f>
        <v>64.3</v>
      </c>
      <c r="E29" s="245">
        <f>VLOOKUP($A29,'Table 19 data'!$A$9:$W$184,$B$4+'Table 19 data'!E$4,0)</f>
        <v>3842</v>
      </c>
      <c r="F29" s="246">
        <f>VLOOKUP($A29,'Table 19 data'!$A$9:$W$184,$B$4+'Table 19 data'!F$4,0)</f>
        <v>72.2</v>
      </c>
      <c r="G29" s="245">
        <f>VLOOKUP($A29,'Table 19 data'!$A$9:$W$184,$B$4+'Table 19 data'!G$4,0)</f>
        <v>3678</v>
      </c>
      <c r="H29" s="246">
        <f>VLOOKUP($A29,'Table 19 data'!$A$9:$W$184,$B$4+'Table 19 data'!H$4,0)</f>
        <v>72.2</v>
      </c>
      <c r="I29" s="245">
        <f>VLOOKUP($A29,'Table 19 data'!$A$9:$W$184,$B$4+'Table 19 data'!I$4,0)</f>
        <v>3501</v>
      </c>
      <c r="J29" s="246">
        <f>VLOOKUP($A29,'Table 19 data'!$A$9:$W$184,$B$4+'Table 19 data'!J$4,0)</f>
        <v>70.400000000000006</v>
      </c>
      <c r="K29" s="245">
        <f>VLOOKUP($A29,'Table 19 data'!$A$9:$W$184,$B$4+'Table 19 data'!K$4,0)</f>
        <v>3660</v>
      </c>
      <c r="L29" s="246">
        <f>VLOOKUP($A29,'Table 19 data'!$A$9:$W$184,$B$4+'Table 19 data'!L$4,0)</f>
        <v>75.099999999999994</v>
      </c>
    </row>
    <row r="30" spans="1:12" ht="11.25" customHeight="1" x14ac:dyDescent="0.2">
      <c r="A30" s="125" t="s">
        <v>54</v>
      </c>
      <c r="B30" s="142" t="s">
        <v>55</v>
      </c>
      <c r="C30" s="245">
        <f>VLOOKUP($A30,'Table 19 data'!$A$9:$W$184,$B$4+'Table 19 data'!C$4,0)</f>
        <v>5952</v>
      </c>
      <c r="D30" s="246">
        <f>VLOOKUP($A30,'Table 19 data'!$A$9:$W$184,$B$4+'Table 19 data'!D$4,0)</f>
        <v>62.1</v>
      </c>
      <c r="E30" s="245">
        <f>VLOOKUP($A30,'Table 19 data'!$A$9:$W$184,$B$4+'Table 19 data'!E$4,0)</f>
        <v>5976</v>
      </c>
      <c r="F30" s="246">
        <f>VLOOKUP($A30,'Table 19 data'!$A$9:$W$184,$B$4+'Table 19 data'!F$4,0)</f>
        <v>67</v>
      </c>
      <c r="G30" s="245">
        <f>VLOOKUP($A30,'Table 19 data'!$A$9:$W$184,$B$4+'Table 19 data'!G$4,0)</f>
        <v>5524</v>
      </c>
      <c r="H30" s="246">
        <f>VLOOKUP($A30,'Table 19 data'!$A$9:$W$184,$B$4+'Table 19 data'!H$4,0)</f>
        <v>68.400000000000006</v>
      </c>
      <c r="I30" s="245">
        <f>VLOOKUP($A30,'Table 19 data'!$A$9:$W$184,$B$4+'Table 19 data'!I$4,0)</f>
        <v>5574</v>
      </c>
      <c r="J30" s="246">
        <f>VLOOKUP($A30,'Table 19 data'!$A$9:$W$184,$B$4+'Table 19 data'!J$4,0)</f>
        <v>65.099999999999994</v>
      </c>
      <c r="K30" s="245">
        <f>VLOOKUP($A30,'Table 19 data'!$A$9:$W$184,$B$4+'Table 19 data'!K$4,0)</f>
        <v>5574</v>
      </c>
      <c r="L30" s="246">
        <f>VLOOKUP($A30,'Table 19 data'!$A$9:$W$184,$B$4+'Table 19 data'!L$4,0)</f>
        <v>64.2</v>
      </c>
    </row>
    <row r="31" spans="1:12" ht="11.25" customHeight="1" x14ac:dyDescent="0.2">
      <c r="A31" s="125" t="s">
        <v>56</v>
      </c>
      <c r="B31" s="142" t="s">
        <v>57</v>
      </c>
      <c r="C31" s="245">
        <f>VLOOKUP($A31,'Table 19 data'!$A$9:$W$184,$B$4+'Table 19 data'!C$4,0)</f>
        <v>1481</v>
      </c>
      <c r="D31" s="246">
        <f>VLOOKUP($A31,'Table 19 data'!$A$9:$W$184,$B$4+'Table 19 data'!D$4,0)</f>
        <v>56.2</v>
      </c>
      <c r="E31" s="245">
        <f>VLOOKUP($A31,'Table 19 data'!$A$9:$W$184,$B$4+'Table 19 data'!E$4,0)</f>
        <v>1486</v>
      </c>
      <c r="F31" s="246">
        <f>VLOOKUP($A31,'Table 19 data'!$A$9:$W$184,$B$4+'Table 19 data'!F$4,0)</f>
        <v>65.2</v>
      </c>
      <c r="G31" s="245">
        <f>VLOOKUP($A31,'Table 19 data'!$A$9:$W$184,$B$4+'Table 19 data'!G$4,0)</f>
        <v>1377</v>
      </c>
      <c r="H31" s="246">
        <f>VLOOKUP($A31,'Table 19 data'!$A$9:$W$184,$B$4+'Table 19 data'!H$4,0)</f>
        <v>70.2</v>
      </c>
      <c r="I31" s="245">
        <f>VLOOKUP($A31,'Table 19 data'!$A$9:$W$184,$B$4+'Table 19 data'!I$4,0)</f>
        <v>1327</v>
      </c>
      <c r="J31" s="246">
        <f>VLOOKUP($A31,'Table 19 data'!$A$9:$W$184,$B$4+'Table 19 data'!J$4,0)</f>
        <v>71.2</v>
      </c>
      <c r="K31" s="245">
        <f>VLOOKUP($A31,'Table 19 data'!$A$9:$W$184,$B$4+'Table 19 data'!K$4,0)</f>
        <v>1387</v>
      </c>
      <c r="L31" s="246">
        <f>VLOOKUP($A31,'Table 19 data'!$A$9:$W$184,$B$4+'Table 19 data'!L$4,0)</f>
        <v>74</v>
      </c>
    </row>
    <row r="32" spans="1:12" ht="11.25" customHeight="1" x14ac:dyDescent="0.2">
      <c r="A32" s="125" t="s">
        <v>58</v>
      </c>
      <c r="B32" s="142" t="s">
        <v>59</v>
      </c>
      <c r="C32" s="245">
        <f>VLOOKUP($A32,'Table 19 data'!$A$9:$W$184,$B$4+'Table 19 data'!C$4,0)</f>
        <v>1594</v>
      </c>
      <c r="D32" s="246">
        <f>VLOOKUP($A32,'Table 19 data'!$A$9:$W$184,$B$4+'Table 19 data'!D$4,0)</f>
        <v>43.9</v>
      </c>
      <c r="E32" s="245">
        <f>VLOOKUP($A32,'Table 19 data'!$A$9:$W$184,$B$4+'Table 19 data'!E$4,0)</f>
        <v>1580</v>
      </c>
      <c r="F32" s="246">
        <f>VLOOKUP($A32,'Table 19 data'!$A$9:$W$184,$B$4+'Table 19 data'!F$4,0)</f>
        <v>46</v>
      </c>
      <c r="G32" s="245">
        <f>VLOOKUP($A32,'Table 19 data'!$A$9:$W$184,$B$4+'Table 19 data'!G$4,0)</f>
        <v>1489</v>
      </c>
      <c r="H32" s="246">
        <f>VLOOKUP($A32,'Table 19 data'!$A$9:$W$184,$B$4+'Table 19 data'!H$4,0)</f>
        <v>58.9</v>
      </c>
      <c r="I32" s="245">
        <f>VLOOKUP($A32,'Table 19 data'!$A$9:$W$184,$B$4+'Table 19 data'!I$4,0)</f>
        <v>1395</v>
      </c>
      <c r="J32" s="246">
        <f>VLOOKUP($A32,'Table 19 data'!$A$9:$W$184,$B$4+'Table 19 data'!J$4,0)</f>
        <v>50.2</v>
      </c>
      <c r="K32" s="245">
        <f>VLOOKUP($A32,'Table 19 data'!$A$9:$W$184,$B$4+'Table 19 data'!K$4,0)</f>
        <v>1335</v>
      </c>
      <c r="L32" s="246">
        <f>VLOOKUP($A32,'Table 19 data'!$A$9:$W$184,$B$4+'Table 19 data'!L$4,0)</f>
        <v>55.4</v>
      </c>
    </row>
    <row r="33" spans="1:12" ht="11.25" customHeight="1" x14ac:dyDescent="0.2">
      <c r="A33" s="125" t="s">
        <v>60</v>
      </c>
      <c r="B33" s="142" t="s">
        <v>61</v>
      </c>
      <c r="C33" s="245">
        <f>VLOOKUP($A33,'Table 19 data'!$A$9:$W$184,$B$4+'Table 19 data'!C$4,0)</f>
        <v>13183</v>
      </c>
      <c r="D33" s="246">
        <f>VLOOKUP($A33,'Table 19 data'!$A$9:$W$184,$B$4+'Table 19 data'!D$4,0)</f>
        <v>68.5</v>
      </c>
      <c r="E33" s="245">
        <f>VLOOKUP($A33,'Table 19 data'!$A$9:$W$184,$B$4+'Table 19 data'!E$4,0)</f>
        <v>12994</v>
      </c>
      <c r="F33" s="246">
        <f>VLOOKUP($A33,'Table 19 data'!$A$9:$W$184,$B$4+'Table 19 data'!F$4,0)</f>
        <v>72.3</v>
      </c>
      <c r="G33" s="245">
        <f>VLOOKUP($A33,'Table 19 data'!$A$9:$W$184,$B$4+'Table 19 data'!G$4,0)</f>
        <v>12313</v>
      </c>
      <c r="H33" s="246">
        <f>VLOOKUP($A33,'Table 19 data'!$A$9:$W$184,$B$4+'Table 19 data'!H$4,0)</f>
        <v>76.099999999999994</v>
      </c>
      <c r="I33" s="245">
        <f>VLOOKUP($A33,'Table 19 data'!$A$9:$W$184,$B$4+'Table 19 data'!I$4,0)</f>
        <v>12459</v>
      </c>
      <c r="J33" s="246">
        <f>VLOOKUP($A33,'Table 19 data'!$A$9:$W$184,$B$4+'Table 19 data'!J$4,0)</f>
        <v>70.5</v>
      </c>
      <c r="K33" s="245">
        <f>VLOOKUP($A33,'Table 19 data'!$A$9:$W$184,$B$4+'Table 19 data'!K$4,0)</f>
        <v>12749</v>
      </c>
      <c r="L33" s="246">
        <f>VLOOKUP($A33,'Table 19 data'!$A$9:$W$184,$B$4+'Table 19 data'!L$4,0)</f>
        <v>70.7</v>
      </c>
    </row>
    <row r="34" spans="1:12" ht="11.25" customHeight="1" x14ac:dyDescent="0.2">
      <c r="A34" s="125" t="s">
        <v>62</v>
      </c>
      <c r="B34" s="142" t="s">
        <v>63</v>
      </c>
      <c r="C34" s="245">
        <f>VLOOKUP($A34,'Table 19 data'!$A$9:$W$184,$B$4+'Table 19 data'!C$4,0)</f>
        <v>5110</v>
      </c>
      <c r="D34" s="246">
        <f>VLOOKUP($A34,'Table 19 data'!$A$9:$W$184,$B$4+'Table 19 data'!D$4,0)</f>
        <v>61.8</v>
      </c>
      <c r="E34" s="245">
        <f>VLOOKUP($A34,'Table 19 data'!$A$9:$W$184,$B$4+'Table 19 data'!E$4,0)</f>
        <v>4892</v>
      </c>
      <c r="F34" s="246">
        <f>VLOOKUP($A34,'Table 19 data'!$A$9:$W$184,$B$4+'Table 19 data'!F$4,0)</f>
        <v>70.8</v>
      </c>
      <c r="G34" s="245">
        <f>VLOOKUP($A34,'Table 19 data'!$A$9:$W$184,$B$4+'Table 19 data'!G$4,0)</f>
        <v>4860</v>
      </c>
      <c r="H34" s="246">
        <f>VLOOKUP($A34,'Table 19 data'!$A$9:$W$184,$B$4+'Table 19 data'!H$4,0)</f>
        <v>71.2</v>
      </c>
      <c r="I34" s="245">
        <f>VLOOKUP($A34,'Table 19 data'!$A$9:$W$184,$B$4+'Table 19 data'!I$4,0)</f>
        <v>4738</v>
      </c>
      <c r="J34" s="246">
        <f>VLOOKUP($A34,'Table 19 data'!$A$9:$W$184,$B$4+'Table 19 data'!J$4,0)</f>
        <v>66.7</v>
      </c>
      <c r="K34" s="245">
        <f>VLOOKUP($A34,'Table 19 data'!$A$9:$W$184,$B$4+'Table 19 data'!K$4,0)</f>
        <v>4848</v>
      </c>
      <c r="L34" s="246">
        <f>VLOOKUP($A34,'Table 19 data'!$A$9:$W$184,$B$4+'Table 19 data'!L$4,0)</f>
        <v>68.900000000000006</v>
      </c>
    </row>
    <row r="35" spans="1:12" ht="11.25" customHeight="1" x14ac:dyDescent="0.2">
      <c r="A35" s="125" t="s">
        <v>64</v>
      </c>
      <c r="B35" s="142" t="s">
        <v>65</v>
      </c>
      <c r="C35" s="245">
        <f>VLOOKUP($A35,'Table 19 data'!$A$9:$W$184,$B$4+'Table 19 data'!C$4,0)</f>
        <v>4242</v>
      </c>
      <c r="D35" s="246">
        <f>VLOOKUP($A35,'Table 19 data'!$A$9:$W$184,$B$4+'Table 19 data'!D$4,0)</f>
        <v>55.9</v>
      </c>
      <c r="E35" s="245">
        <f>VLOOKUP($A35,'Table 19 data'!$A$9:$W$184,$B$4+'Table 19 data'!E$4,0)</f>
        <v>4125</v>
      </c>
      <c r="F35" s="246">
        <f>VLOOKUP($A35,'Table 19 data'!$A$9:$W$184,$B$4+'Table 19 data'!F$4,0)</f>
        <v>64.099999999999994</v>
      </c>
      <c r="G35" s="245">
        <f>VLOOKUP($A35,'Table 19 data'!$A$9:$W$184,$B$4+'Table 19 data'!G$4,0)</f>
        <v>3986</v>
      </c>
      <c r="H35" s="246">
        <f>VLOOKUP($A35,'Table 19 data'!$A$9:$W$184,$B$4+'Table 19 data'!H$4,0)</f>
        <v>68.099999999999994</v>
      </c>
      <c r="I35" s="245">
        <f>VLOOKUP($A35,'Table 19 data'!$A$9:$W$184,$B$4+'Table 19 data'!I$4,0)</f>
        <v>3952</v>
      </c>
      <c r="J35" s="246">
        <f>VLOOKUP($A35,'Table 19 data'!$A$9:$W$184,$B$4+'Table 19 data'!J$4,0)</f>
        <v>68.900000000000006</v>
      </c>
      <c r="K35" s="245">
        <f>VLOOKUP($A35,'Table 19 data'!$A$9:$W$184,$B$4+'Table 19 data'!K$4,0)</f>
        <v>4103</v>
      </c>
      <c r="L35" s="246">
        <f>VLOOKUP($A35,'Table 19 data'!$A$9:$W$184,$B$4+'Table 19 data'!L$4,0)</f>
        <v>69.599999999999994</v>
      </c>
    </row>
    <row r="36" spans="1:12" ht="11.25" customHeight="1" x14ac:dyDescent="0.2">
      <c r="A36" s="125" t="s">
        <v>66</v>
      </c>
      <c r="B36" s="142" t="s">
        <v>67</v>
      </c>
      <c r="C36" s="245">
        <f>VLOOKUP($A36,'Table 19 data'!$A$9:$W$184,$B$4+'Table 19 data'!C$4,0)</f>
        <v>2921</v>
      </c>
      <c r="D36" s="246">
        <f>VLOOKUP($A36,'Table 19 data'!$A$9:$W$184,$B$4+'Table 19 data'!D$4,0)</f>
        <v>62.8</v>
      </c>
      <c r="E36" s="245">
        <f>VLOOKUP($A36,'Table 19 data'!$A$9:$W$184,$B$4+'Table 19 data'!E$4,0)</f>
        <v>2901</v>
      </c>
      <c r="F36" s="246">
        <f>VLOOKUP($A36,'Table 19 data'!$A$9:$W$184,$B$4+'Table 19 data'!F$4,0)</f>
        <v>68.5</v>
      </c>
      <c r="G36" s="245">
        <f>VLOOKUP($A36,'Table 19 data'!$A$9:$W$184,$B$4+'Table 19 data'!G$4,0)</f>
        <v>2824</v>
      </c>
      <c r="H36" s="246">
        <f>VLOOKUP($A36,'Table 19 data'!$A$9:$W$184,$B$4+'Table 19 data'!H$4,0)</f>
        <v>70.099999999999994</v>
      </c>
      <c r="I36" s="245">
        <f>VLOOKUP($A36,'Table 19 data'!$A$9:$W$184,$B$4+'Table 19 data'!I$4,0)</f>
        <v>2888</v>
      </c>
      <c r="J36" s="246">
        <f>VLOOKUP($A36,'Table 19 data'!$A$9:$W$184,$B$4+'Table 19 data'!J$4,0)</f>
        <v>61.7</v>
      </c>
      <c r="K36" s="245">
        <f>VLOOKUP($A36,'Table 19 data'!$A$9:$W$184,$B$4+'Table 19 data'!K$4,0)</f>
        <v>2972</v>
      </c>
      <c r="L36" s="246">
        <f>VLOOKUP($A36,'Table 19 data'!$A$9:$W$184,$B$4+'Table 19 data'!L$4,0)</f>
        <v>64.2</v>
      </c>
    </row>
    <row r="37" spans="1:12" ht="11.25" customHeight="1" x14ac:dyDescent="0.2">
      <c r="A37" s="125" t="s">
        <v>68</v>
      </c>
      <c r="B37" s="142" t="s">
        <v>69</v>
      </c>
      <c r="C37" s="245">
        <f>VLOOKUP($A37,'Table 19 data'!$A$9:$W$184,$B$4+'Table 19 data'!C$4,0)</f>
        <v>2481</v>
      </c>
      <c r="D37" s="246">
        <f>VLOOKUP($A37,'Table 19 data'!$A$9:$W$184,$B$4+'Table 19 data'!D$4,0)</f>
        <v>64.7</v>
      </c>
      <c r="E37" s="245">
        <f>VLOOKUP($A37,'Table 19 data'!$A$9:$W$184,$B$4+'Table 19 data'!E$4,0)</f>
        <v>2441</v>
      </c>
      <c r="F37" s="246">
        <f>VLOOKUP($A37,'Table 19 data'!$A$9:$W$184,$B$4+'Table 19 data'!F$4,0)</f>
        <v>67.099999999999994</v>
      </c>
      <c r="G37" s="245">
        <f>VLOOKUP($A37,'Table 19 data'!$A$9:$W$184,$B$4+'Table 19 data'!G$4,0)</f>
        <v>2302</v>
      </c>
      <c r="H37" s="246">
        <f>VLOOKUP($A37,'Table 19 data'!$A$9:$W$184,$B$4+'Table 19 data'!H$4,0)</f>
        <v>67.900000000000006</v>
      </c>
      <c r="I37" s="245">
        <f>VLOOKUP($A37,'Table 19 data'!$A$9:$W$184,$B$4+'Table 19 data'!I$4,0)</f>
        <v>2304</v>
      </c>
      <c r="J37" s="246">
        <f>VLOOKUP($A37,'Table 19 data'!$A$9:$W$184,$B$4+'Table 19 data'!J$4,0)</f>
        <v>64.099999999999994</v>
      </c>
      <c r="K37" s="245">
        <f>VLOOKUP($A37,'Table 19 data'!$A$9:$W$184,$B$4+'Table 19 data'!K$4,0)</f>
        <v>2315</v>
      </c>
      <c r="L37" s="246">
        <f>VLOOKUP($A37,'Table 19 data'!$A$9:$W$184,$B$4+'Table 19 data'!L$4,0)</f>
        <v>67.900000000000006</v>
      </c>
    </row>
    <row r="38" spans="1:12" ht="11.25" customHeight="1" x14ac:dyDescent="0.2">
      <c r="A38" s="125" t="s">
        <v>70</v>
      </c>
      <c r="B38" s="142" t="s">
        <v>71</v>
      </c>
      <c r="C38" s="245">
        <f>VLOOKUP($A38,'Table 19 data'!$A$9:$W$184,$B$4+'Table 19 data'!C$4,0)</f>
        <v>2230</v>
      </c>
      <c r="D38" s="246">
        <f>VLOOKUP($A38,'Table 19 data'!$A$9:$W$184,$B$4+'Table 19 data'!D$4,0)</f>
        <v>60.9</v>
      </c>
      <c r="E38" s="245">
        <f>VLOOKUP($A38,'Table 19 data'!$A$9:$W$184,$B$4+'Table 19 data'!E$4,0)</f>
        <v>2088</v>
      </c>
      <c r="F38" s="246">
        <f>VLOOKUP($A38,'Table 19 data'!$A$9:$W$184,$B$4+'Table 19 data'!F$4,0)</f>
        <v>67</v>
      </c>
      <c r="G38" s="245">
        <f>VLOOKUP($A38,'Table 19 data'!$A$9:$W$184,$B$4+'Table 19 data'!G$4,0)</f>
        <v>2041</v>
      </c>
      <c r="H38" s="246">
        <f>VLOOKUP($A38,'Table 19 data'!$A$9:$W$184,$B$4+'Table 19 data'!H$4,0)</f>
        <v>67.900000000000006</v>
      </c>
      <c r="I38" s="245">
        <f>VLOOKUP($A38,'Table 19 data'!$A$9:$W$184,$B$4+'Table 19 data'!I$4,0)</f>
        <v>1936</v>
      </c>
      <c r="J38" s="246">
        <f>VLOOKUP($A38,'Table 19 data'!$A$9:$W$184,$B$4+'Table 19 data'!J$4,0)</f>
        <v>60.9</v>
      </c>
      <c r="K38" s="245">
        <f>VLOOKUP($A38,'Table 19 data'!$A$9:$W$184,$B$4+'Table 19 data'!K$4,0)</f>
        <v>2092</v>
      </c>
      <c r="L38" s="246">
        <f>VLOOKUP($A38,'Table 19 data'!$A$9:$W$184,$B$4+'Table 19 data'!L$4,0)</f>
        <v>66.3</v>
      </c>
    </row>
    <row r="39" spans="1:12" ht="11.25" customHeight="1" x14ac:dyDescent="0.2">
      <c r="A39" s="125" t="s">
        <v>72</v>
      </c>
      <c r="B39" s="142" t="s">
        <v>73</v>
      </c>
      <c r="C39" s="245">
        <f>VLOOKUP($A39,'Table 19 data'!$A$9:$W$184,$B$4+'Table 19 data'!C$4,0)</f>
        <v>3422</v>
      </c>
      <c r="D39" s="246">
        <f>VLOOKUP($A39,'Table 19 data'!$A$9:$W$184,$B$4+'Table 19 data'!D$4,0)</f>
        <v>68.8</v>
      </c>
      <c r="E39" s="245">
        <f>VLOOKUP($A39,'Table 19 data'!$A$9:$W$184,$B$4+'Table 19 data'!E$4,0)</f>
        <v>3236</v>
      </c>
      <c r="F39" s="246">
        <f>VLOOKUP($A39,'Table 19 data'!$A$9:$W$184,$B$4+'Table 19 data'!F$4,0)</f>
        <v>70.400000000000006</v>
      </c>
      <c r="G39" s="245">
        <f>VLOOKUP($A39,'Table 19 data'!$A$9:$W$184,$B$4+'Table 19 data'!G$4,0)</f>
        <v>3238</v>
      </c>
      <c r="H39" s="246">
        <f>VLOOKUP($A39,'Table 19 data'!$A$9:$W$184,$B$4+'Table 19 data'!H$4,0)</f>
        <v>73.599999999999994</v>
      </c>
      <c r="I39" s="245">
        <f>VLOOKUP($A39,'Table 19 data'!$A$9:$W$184,$B$4+'Table 19 data'!I$4,0)</f>
        <v>3253</v>
      </c>
      <c r="J39" s="246">
        <f>VLOOKUP($A39,'Table 19 data'!$A$9:$W$184,$B$4+'Table 19 data'!J$4,0)</f>
        <v>66.7</v>
      </c>
      <c r="K39" s="245">
        <f>VLOOKUP($A39,'Table 19 data'!$A$9:$W$184,$B$4+'Table 19 data'!K$4,0)</f>
        <v>3342</v>
      </c>
      <c r="L39" s="246">
        <f>VLOOKUP($A39,'Table 19 data'!$A$9:$W$184,$B$4+'Table 19 data'!L$4,0)</f>
        <v>71.5</v>
      </c>
    </row>
    <row r="40" spans="1:12" ht="11.25" customHeight="1" x14ac:dyDescent="0.2">
      <c r="A40" s="125" t="s">
        <v>74</v>
      </c>
      <c r="B40" s="142" t="s">
        <v>75</v>
      </c>
      <c r="C40" s="245">
        <f>VLOOKUP($A40,'Table 19 data'!$A$9:$W$184,$B$4+'Table 19 data'!C$4,0)</f>
        <v>2103</v>
      </c>
      <c r="D40" s="246">
        <f>VLOOKUP($A40,'Table 19 data'!$A$9:$W$184,$B$4+'Table 19 data'!D$4,0)</f>
        <v>59.1</v>
      </c>
      <c r="E40" s="245">
        <f>VLOOKUP($A40,'Table 19 data'!$A$9:$W$184,$B$4+'Table 19 data'!E$4,0)</f>
        <v>1965</v>
      </c>
      <c r="F40" s="246">
        <f>VLOOKUP($A40,'Table 19 data'!$A$9:$W$184,$B$4+'Table 19 data'!F$4,0)</f>
        <v>66.599999999999994</v>
      </c>
      <c r="G40" s="245">
        <f>VLOOKUP($A40,'Table 19 data'!$A$9:$W$184,$B$4+'Table 19 data'!G$4,0)</f>
        <v>1911</v>
      </c>
      <c r="H40" s="246">
        <f>VLOOKUP($A40,'Table 19 data'!$A$9:$W$184,$B$4+'Table 19 data'!H$4,0)</f>
        <v>69.8</v>
      </c>
      <c r="I40" s="245">
        <f>VLOOKUP($A40,'Table 19 data'!$A$9:$W$184,$B$4+'Table 19 data'!I$4,0)</f>
        <v>1878</v>
      </c>
      <c r="J40" s="246">
        <f>VLOOKUP($A40,'Table 19 data'!$A$9:$W$184,$B$4+'Table 19 data'!J$4,0)</f>
        <v>63.1</v>
      </c>
      <c r="K40" s="245">
        <f>VLOOKUP($A40,'Table 19 data'!$A$9:$W$184,$B$4+'Table 19 data'!K$4,0)</f>
        <v>1890</v>
      </c>
      <c r="L40" s="246">
        <f>VLOOKUP($A40,'Table 19 data'!$A$9:$W$184,$B$4+'Table 19 data'!L$4,0)</f>
        <v>61.7</v>
      </c>
    </row>
    <row r="41" spans="1:12" ht="11.25" customHeight="1" x14ac:dyDescent="0.2">
      <c r="A41" s="125" t="s">
        <v>76</v>
      </c>
      <c r="B41" s="142" t="s">
        <v>77</v>
      </c>
      <c r="C41" s="245">
        <f>VLOOKUP($A41,'Table 19 data'!$A$9:$W$184,$B$4+'Table 19 data'!C$4,0)</f>
        <v>2952</v>
      </c>
      <c r="D41" s="246">
        <f>VLOOKUP($A41,'Table 19 data'!$A$9:$W$184,$B$4+'Table 19 data'!D$4,0)</f>
        <v>67.5</v>
      </c>
      <c r="E41" s="245">
        <f>VLOOKUP($A41,'Table 19 data'!$A$9:$W$184,$B$4+'Table 19 data'!E$4,0)</f>
        <v>2932</v>
      </c>
      <c r="F41" s="246">
        <f>VLOOKUP($A41,'Table 19 data'!$A$9:$W$184,$B$4+'Table 19 data'!F$4,0)</f>
        <v>73.8</v>
      </c>
      <c r="G41" s="245">
        <f>VLOOKUP($A41,'Table 19 data'!$A$9:$W$184,$B$4+'Table 19 data'!G$4,0)</f>
        <v>2881</v>
      </c>
      <c r="H41" s="246">
        <f>VLOOKUP($A41,'Table 19 data'!$A$9:$W$184,$B$4+'Table 19 data'!H$4,0)</f>
        <v>76.8</v>
      </c>
      <c r="I41" s="245">
        <f>VLOOKUP($A41,'Table 19 data'!$A$9:$W$184,$B$4+'Table 19 data'!I$4,0)</f>
        <v>2730</v>
      </c>
      <c r="J41" s="246">
        <f>VLOOKUP($A41,'Table 19 data'!$A$9:$W$184,$B$4+'Table 19 data'!J$4,0)</f>
        <v>72.599999999999994</v>
      </c>
      <c r="K41" s="245">
        <f>VLOOKUP($A41,'Table 19 data'!$A$9:$W$184,$B$4+'Table 19 data'!K$4,0)</f>
        <v>2885</v>
      </c>
      <c r="L41" s="246">
        <f>VLOOKUP($A41,'Table 19 data'!$A$9:$W$184,$B$4+'Table 19 data'!L$4,0)</f>
        <v>72.400000000000006</v>
      </c>
    </row>
    <row r="42" spans="1:12" ht="11.25" customHeight="1" x14ac:dyDescent="0.2">
      <c r="A42" s="125" t="s">
        <v>78</v>
      </c>
      <c r="B42" s="142" t="s">
        <v>79</v>
      </c>
      <c r="C42" s="245">
        <f>VLOOKUP($A42,'Table 19 data'!$A$9:$W$184,$B$4+'Table 19 data'!C$4,0)</f>
        <v>2875</v>
      </c>
      <c r="D42" s="246">
        <f>VLOOKUP($A42,'Table 19 data'!$A$9:$W$184,$B$4+'Table 19 data'!D$4,0)</f>
        <v>60.2</v>
      </c>
      <c r="E42" s="245">
        <f>VLOOKUP($A42,'Table 19 data'!$A$9:$W$184,$B$4+'Table 19 data'!E$4,0)</f>
        <v>2823</v>
      </c>
      <c r="F42" s="246">
        <f>VLOOKUP($A42,'Table 19 data'!$A$9:$W$184,$B$4+'Table 19 data'!F$4,0)</f>
        <v>61.6</v>
      </c>
      <c r="G42" s="245">
        <f>VLOOKUP($A42,'Table 19 data'!$A$9:$W$184,$B$4+'Table 19 data'!G$4,0)</f>
        <v>2745</v>
      </c>
      <c r="H42" s="246">
        <f>VLOOKUP($A42,'Table 19 data'!$A$9:$W$184,$B$4+'Table 19 data'!H$4,0)</f>
        <v>69.7</v>
      </c>
      <c r="I42" s="245">
        <f>VLOOKUP($A42,'Table 19 data'!$A$9:$W$184,$B$4+'Table 19 data'!I$4,0)</f>
        <v>2757</v>
      </c>
      <c r="J42" s="246">
        <f>VLOOKUP($A42,'Table 19 data'!$A$9:$W$184,$B$4+'Table 19 data'!J$4,0)</f>
        <v>65.900000000000006</v>
      </c>
      <c r="K42" s="245">
        <f>VLOOKUP($A42,'Table 19 data'!$A$9:$W$184,$B$4+'Table 19 data'!K$4,0)</f>
        <v>2629</v>
      </c>
      <c r="L42" s="246">
        <f>VLOOKUP($A42,'Table 19 data'!$A$9:$W$184,$B$4+'Table 19 data'!L$4,0)</f>
        <v>70</v>
      </c>
    </row>
    <row r="43" spans="1:12" ht="11.25" customHeight="1" x14ac:dyDescent="0.2">
      <c r="A43" s="125" t="s">
        <v>80</v>
      </c>
      <c r="B43" s="142" t="s">
        <v>81</v>
      </c>
      <c r="C43" s="245">
        <f>VLOOKUP($A43,'Table 19 data'!$A$9:$W$184,$B$4+'Table 19 data'!C$4,0)</f>
        <v>2784</v>
      </c>
      <c r="D43" s="246">
        <f>VLOOKUP($A43,'Table 19 data'!$A$9:$W$184,$B$4+'Table 19 data'!D$4,0)</f>
        <v>75.5</v>
      </c>
      <c r="E43" s="245">
        <f>VLOOKUP($A43,'Table 19 data'!$A$9:$W$184,$B$4+'Table 19 data'!E$4,0)</f>
        <v>2772</v>
      </c>
      <c r="F43" s="246">
        <f>VLOOKUP($A43,'Table 19 data'!$A$9:$W$184,$B$4+'Table 19 data'!F$4,0)</f>
        <v>79.5</v>
      </c>
      <c r="G43" s="245">
        <f>VLOOKUP($A43,'Table 19 data'!$A$9:$W$184,$B$4+'Table 19 data'!G$4,0)</f>
        <v>2710</v>
      </c>
      <c r="H43" s="246">
        <f>VLOOKUP($A43,'Table 19 data'!$A$9:$W$184,$B$4+'Table 19 data'!H$4,0)</f>
        <v>79.7</v>
      </c>
      <c r="I43" s="245">
        <f>VLOOKUP($A43,'Table 19 data'!$A$9:$W$184,$B$4+'Table 19 data'!I$4,0)</f>
        <v>2810</v>
      </c>
      <c r="J43" s="246">
        <f>VLOOKUP($A43,'Table 19 data'!$A$9:$W$184,$B$4+'Table 19 data'!J$4,0)</f>
        <v>77.099999999999994</v>
      </c>
      <c r="K43" s="245">
        <f>VLOOKUP($A43,'Table 19 data'!$A$9:$W$184,$B$4+'Table 19 data'!K$4,0)</f>
        <v>2804</v>
      </c>
      <c r="L43" s="246">
        <f>VLOOKUP($A43,'Table 19 data'!$A$9:$W$184,$B$4+'Table 19 data'!L$4,0)</f>
        <v>75.7</v>
      </c>
    </row>
    <row r="44" spans="1:12" ht="11.25" customHeight="1" x14ac:dyDescent="0.2">
      <c r="A44" s="125" t="s">
        <v>82</v>
      </c>
      <c r="B44" s="142" t="s">
        <v>83</v>
      </c>
      <c r="C44" s="245">
        <f>VLOOKUP($A44,'Table 19 data'!$A$9:$W$184,$B$4+'Table 19 data'!C$4,0)</f>
        <v>2488</v>
      </c>
      <c r="D44" s="246">
        <f>VLOOKUP($A44,'Table 19 data'!$A$9:$W$184,$B$4+'Table 19 data'!D$4,0)</f>
        <v>72.5</v>
      </c>
      <c r="E44" s="245">
        <f>VLOOKUP($A44,'Table 19 data'!$A$9:$W$184,$B$4+'Table 19 data'!E$4,0)</f>
        <v>2445</v>
      </c>
      <c r="F44" s="246">
        <f>VLOOKUP($A44,'Table 19 data'!$A$9:$W$184,$B$4+'Table 19 data'!F$4,0)</f>
        <v>74.900000000000006</v>
      </c>
      <c r="G44" s="245">
        <f>VLOOKUP($A44,'Table 19 data'!$A$9:$W$184,$B$4+'Table 19 data'!G$4,0)</f>
        <v>2392</v>
      </c>
      <c r="H44" s="246">
        <f>VLOOKUP($A44,'Table 19 data'!$A$9:$W$184,$B$4+'Table 19 data'!H$4,0)</f>
        <v>74.5</v>
      </c>
      <c r="I44" s="245">
        <f>VLOOKUP($A44,'Table 19 data'!$A$9:$W$184,$B$4+'Table 19 data'!I$4,0)</f>
        <v>2332</v>
      </c>
      <c r="J44" s="246">
        <f>VLOOKUP($A44,'Table 19 data'!$A$9:$W$184,$B$4+'Table 19 data'!J$4,0)</f>
        <v>72.7</v>
      </c>
      <c r="K44" s="245">
        <f>VLOOKUP($A44,'Table 19 data'!$A$9:$W$184,$B$4+'Table 19 data'!K$4,0)</f>
        <v>2373</v>
      </c>
      <c r="L44" s="246">
        <f>VLOOKUP($A44,'Table 19 data'!$A$9:$W$184,$B$4+'Table 19 data'!L$4,0)</f>
        <v>78</v>
      </c>
    </row>
    <row r="45" spans="1:12" ht="11.25" customHeight="1" x14ac:dyDescent="0.2">
      <c r="A45" s="125" t="s">
        <v>84</v>
      </c>
      <c r="B45" s="142" t="s">
        <v>85</v>
      </c>
      <c r="C45" s="245">
        <f>VLOOKUP($A45,'Table 19 data'!$A$9:$W$184,$B$4+'Table 19 data'!C$4,0)</f>
        <v>3810</v>
      </c>
      <c r="D45" s="246">
        <f>VLOOKUP($A45,'Table 19 data'!$A$9:$W$184,$B$4+'Table 19 data'!D$4,0)</f>
        <v>64.900000000000006</v>
      </c>
      <c r="E45" s="245">
        <f>VLOOKUP($A45,'Table 19 data'!$A$9:$W$184,$B$4+'Table 19 data'!E$4,0)</f>
        <v>3759</v>
      </c>
      <c r="F45" s="246">
        <f>VLOOKUP($A45,'Table 19 data'!$A$9:$W$184,$B$4+'Table 19 data'!F$4,0)</f>
        <v>71.3</v>
      </c>
      <c r="G45" s="245">
        <f>VLOOKUP($A45,'Table 19 data'!$A$9:$W$184,$B$4+'Table 19 data'!G$4,0)</f>
        <v>3665</v>
      </c>
      <c r="H45" s="246">
        <f>VLOOKUP($A45,'Table 19 data'!$A$9:$W$184,$B$4+'Table 19 data'!H$4,0)</f>
        <v>72.099999999999994</v>
      </c>
      <c r="I45" s="245">
        <f>VLOOKUP($A45,'Table 19 data'!$A$9:$W$184,$B$4+'Table 19 data'!I$4,0)</f>
        <v>3567</v>
      </c>
      <c r="J45" s="246">
        <f>VLOOKUP($A45,'Table 19 data'!$A$9:$W$184,$B$4+'Table 19 data'!J$4,0)</f>
        <v>72.7</v>
      </c>
      <c r="K45" s="245">
        <f>VLOOKUP($A45,'Table 19 data'!$A$9:$W$184,$B$4+'Table 19 data'!K$4,0)</f>
        <v>3663</v>
      </c>
      <c r="L45" s="246">
        <f>VLOOKUP($A45,'Table 19 data'!$A$9:$W$184,$B$4+'Table 19 data'!L$4,0)</f>
        <v>74.7</v>
      </c>
    </row>
    <row r="46" spans="1:12" ht="11.25" customHeight="1" x14ac:dyDescent="0.2">
      <c r="A46" s="125" t="s">
        <v>86</v>
      </c>
      <c r="B46" s="142" t="s">
        <v>87</v>
      </c>
      <c r="C46" s="245">
        <f>VLOOKUP($A46,'Table 19 data'!$A$9:$W$184,$B$4+'Table 19 data'!C$4,0)</f>
        <v>3862</v>
      </c>
      <c r="D46" s="246">
        <f>VLOOKUP($A46,'Table 19 data'!$A$9:$W$184,$B$4+'Table 19 data'!D$4,0)</f>
        <v>66.8</v>
      </c>
      <c r="E46" s="245">
        <f>VLOOKUP($A46,'Table 19 data'!$A$9:$W$184,$B$4+'Table 19 data'!E$4,0)</f>
        <v>3874</v>
      </c>
      <c r="F46" s="246">
        <f>VLOOKUP($A46,'Table 19 data'!$A$9:$W$184,$B$4+'Table 19 data'!F$4,0)</f>
        <v>73.599999999999994</v>
      </c>
      <c r="G46" s="245">
        <f>VLOOKUP($A46,'Table 19 data'!$A$9:$W$184,$B$4+'Table 19 data'!G$4,0)</f>
        <v>3724</v>
      </c>
      <c r="H46" s="246">
        <f>VLOOKUP($A46,'Table 19 data'!$A$9:$W$184,$B$4+'Table 19 data'!H$4,0)</f>
        <v>75.2</v>
      </c>
      <c r="I46" s="245">
        <f>VLOOKUP($A46,'Table 19 data'!$A$9:$W$184,$B$4+'Table 19 data'!I$4,0)</f>
        <v>3647</v>
      </c>
      <c r="J46" s="246">
        <f>VLOOKUP($A46,'Table 19 data'!$A$9:$W$184,$B$4+'Table 19 data'!J$4,0)</f>
        <v>73.8</v>
      </c>
      <c r="K46" s="245">
        <f>VLOOKUP($A46,'Table 19 data'!$A$9:$W$184,$B$4+'Table 19 data'!K$4,0)</f>
        <v>3607</v>
      </c>
      <c r="L46" s="246">
        <f>VLOOKUP($A46,'Table 19 data'!$A$9:$W$184,$B$4+'Table 19 data'!L$4,0)</f>
        <v>74.400000000000006</v>
      </c>
    </row>
    <row r="47" spans="1:12" ht="11.25" customHeight="1" x14ac:dyDescent="0.2">
      <c r="A47" s="3"/>
      <c r="B47" s="142"/>
      <c r="C47" s="251"/>
      <c r="D47" s="248"/>
      <c r="E47" s="251"/>
      <c r="F47" s="248"/>
      <c r="G47" s="247"/>
      <c r="H47" s="249"/>
      <c r="I47" s="250"/>
      <c r="J47" s="250"/>
      <c r="K47" s="250"/>
      <c r="L47" s="250"/>
    </row>
    <row r="48" spans="1:12" s="98" customFormat="1" ht="11.25" customHeight="1" x14ac:dyDescent="0.2">
      <c r="A48" s="16" t="s">
        <v>382</v>
      </c>
      <c r="B48" s="92" t="s">
        <v>88</v>
      </c>
      <c r="C48" s="243">
        <f>VLOOKUP($A48,'Table 19 data'!$A$9:$W$184,$B$4+'Table 19 data'!C$4,0)</f>
        <v>58610</v>
      </c>
      <c r="D48" s="244">
        <f>VLOOKUP($A48,'Table 19 data'!$A$9:$W$184,$B$4+'Table 19 data'!D$4,0)</f>
        <v>62.3</v>
      </c>
      <c r="E48" s="243">
        <f>VLOOKUP($A48,'Table 19 data'!$A$9:$W$184,$B$4+'Table 19 data'!E$4,0)</f>
        <v>58133</v>
      </c>
      <c r="F48" s="244">
        <f>VLOOKUP($A48,'Table 19 data'!$A$9:$W$184,$B$4+'Table 19 data'!F$4,0)</f>
        <v>66.599999999999994</v>
      </c>
      <c r="G48" s="243">
        <f>VLOOKUP($A48,'Table 19 data'!$A$9:$W$184,$B$4+'Table 19 data'!G$4,0)</f>
        <v>56074</v>
      </c>
      <c r="H48" s="244">
        <f>VLOOKUP($A48,'Table 19 data'!$A$9:$W$184,$B$4+'Table 19 data'!H$4,0)</f>
        <v>69.5</v>
      </c>
      <c r="I48" s="243">
        <f>VLOOKUP($A48,'Table 19 data'!$A$9:$W$184,$B$4+'Table 19 data'!I$4,0)</f>
        <v>55950</v>
      </c>
      <c r="J48" s="244">
        <f>VLOOKUP($A48,'Table 19 data'!$A$9:$W$184,$B$4+'Table 19 data'!J$4,0)</f>
        <v>67</v>
      </c>
      <c r="K48" s="243">
        <f>VLOOKUP($A48,'Table 19 data'!$A$9:$W$184,$B$4+'Table 19 data'!K$4,0)</f>
        <v>56167</v>
      </c>
      <c r="L48" s="244">
        <f>VLOOKUP($A48,'Table 19 data'!$A$9:$W$184,$B$4+'Table 19 data'!L$4,0)</f>
        <v>69.900000000000006</v>
      </c>
    </row>
    <row r="49" spans="1:12" ht="11.25" customHeight="1" x14ac:dyDescent="0.2">
      <c r="A49" s="125" t="s">
        <v>89</v>
      </c>
      <c r="B49" s="142" t="s">
        <v>90</v>
      </c>
      <c r="C49" s="245">
        <f>VLOOKUP($A49,'Table 19 data'!$A$9:$W$184,$B$4+'Table 19 data'!C$4,0)</f>
        <v>2590</v>
      </c>
      <c r="D49" s="246">
        <f>VLOOKUP($A49,'Table 19 data'!$A$9:$W$184,$B$4+'Table 19 data'!D$4,0)</f>
        <v>60.1</v>
      </c>
      <c r="E49" s="245">
        <f>VLOOKUP($A49,'Table 19 data'!$A$9:$W$184,$B$4+'Table 19 data'!E$4,0)</f>
        <v>2517</v>
      </c>
      <c r="F49" s="246">
        <f>VLOOKUP($A49,'Table 19 data'!$A$9:$W$184,$B$4+'Table 19 data'!F$4,0)</f>
        <v>59.4</v>
      </c>
      <c r="G49" s="245">
        <f>VLOOKUP($A49,'Table 19 data'!$A$9:$W$184,$B$4+'Table 19 data'!G$4,0)</f>
        <v>2484</v>
      </c>
      <c r="H49" s="246">
        <f>VLOOKUP($A49,'Table 19 data'!$A$9:$W$184,$B$4+'Table 19 data'!H$4,0)</f>
        <v>61</v>
      </c>
      <c r="I49" s="245">
        <f>VLOOKUP($A49,'Table 19 data'!$A$9:$W$184,$B$4+'Table 19 data'!I$4,0)</f>
        <v>2498</v>
      </c>
      <c r="J49" s="246">
        <f>VLOOKUP($A49,'Table 19 data'!$A$9:$W$184,$B$4+'Table 19 data'!J$4,0)</f>
        <v>56.7</v>
      </c>
      <c r="K49" s="245">
        <f>VLOOKUP($A49,'Table 19 data'!$A$9:$W$184,$B$4+'Table 19 data'!K$4,0)</f>
        <v>2481</v>
      </c>
      <c r="L49" s="246">
        <f>VLOOKUP($A49,'Table 19 data'!$A$9:$W$184,$B$4+'Table 19 data'!L$4,0)</f>
        <v>59.8</v>
      </c>
    </row>
    <row r="50" spans="1:12" ht="11.25" customHeight="1" x14ac:dyDescent="0.2">
      <c r="A50" s="125" t="s">
        <v>91</v>
      </c>
      <c r="B50" s="142" t="s">
        <v>92</v>
      </c>
      <c r="C50" s="245">
        <f>VLOOKUP($A50,'Table 19 data'!$A$9:$W$184,$B$4+'Table 19 data'!C$4,0)</f>
        <v>5626</v>
      </c>
      <c r="D50" s="246">
        <f>VLOOKUP($A50,'Table 19 data'!$A$9:$W$184,$B$4+'Table 19 data'!D$4,0)</f>
        <v>58.9</v>
      </c>
      <c r="E50" s="245">
        <f>VLOOKUP($A50,'Table 19 data'!$A$9:$W$184,$B$4+'Table 19 data'!E$4,0)</f>
        <v>5574</v>
      </c>
      <c r="F50" s="246">
        <f>VLOOKUP($A50,'Table 19 data'!$A$9:$W$184,$B$4+'Table 19 data'!F$4,0)</f>
        <v>62.9</v>
      </c>
      <c r="G50" s="245">
        <f>VLOOKUP($A50,'Table 19 data'!$A$9:$W$184,$B$4+'Table 19 data'!G$4,0)</f>
        <v>5311</v>
      </c>
      <c r="H50" s="246">
        <f>VLOOKUP($A50,'Table 19 data'!$A$9:$W$184,$B$4+'Table 19 data'!H$4,0)</f>
        <v>66.8</v>
      </c>
      <c r="I50" s="245">
        <f>VLOOKUP($A50,'Table 19 data'!$A$9:$W$184,$B$4+'Table 19 data'!I$4,0)</f>
        <v>5288</v>
      </c>
      <c r="J50" s="246">
        <f>VLOOKUP($A50,'Table 19 data'!$A$9:$W$184,$B$4+'Table 19 data'!J$4,0)</f>
        <v>66.900000000000006</v>
      </c>
      <c r="K50" s="245">
        <f>VLOOKUP($A50,'Table 19 data'!$A$9:$W$184,$B$4+'Table 19 data'!K$4,0)</f>
        <v>5368</v>
      </c>
      <c r="L50" s="246">
        <f>VLOOKUP($A50,'Table 19 data'!$A$9:$W$184,$B$4+'Table 19 data'!L$4,0)</f>
        <v>67.099999999999994</v>
      </c>
    </row>
    <row r="51" spans="1:12" ht="11.25" customHeight="1" x14ac:dyDescent="0.2">
      <c r="A51" s="125" t="s">
        <v>93</v>
      </c>
      <c r="B51" s="142" t="s">
        <v>94</v>
      </c>
      <c r="C51" s="245">
        <f>VLOOKUP($A51,'Table 19 data'!$A$9:$W$184,$B$4+'Table 19 data'!C$4,0)</f>
        <v>2575</v>
      </c>
      <c r="D51" s="246">
        <f>VLOOKUP($A51,'Table 19 data'!$A$9:$W$184,$B$4+'Table 19 data'!D$4,0)</f>
        <v>63.8</v>
      </c>
      <c r="E51" s="245">
        <f>VLOOKUP($A51,'Table 19 data'!$A$9:$W$184,$B$4+'Table 19 data'!E$4,0)</f>
        <v>2563</v>
      </c>
      <c r="F51" s="246">
        <f>VLOOKUP($A51,'Table 19 data'!$A$9:$W$184,$B$4+'Table 19 data'!F$4,0)</f>
        <v>69.400000000000006</v>
      </c>
      <c r="G51" s="245">
        <f>VLOOKUP($A51,'Table 19 data'!$A$9:$W$184,$B$4+'Table 19 data'!G$4,0)</f>
        <v>2527</v>
      </c>
      <c r="H51" s="246">
        <f>VLOOKUP($A51,'Table 19 data'!$A$9:$W$184,$B$4+'Table 19 data'!H$4,0)</f>
        <v>71.2</v>
      </c>
      <c r="I51" s="245">
        <f>VLOOKUP($A51,'Table 19 data'!$A$9:$W$184,$B$4+'Table 19 data'!I$4,0)</f>
        <v>2564</v>
      </c>
      <c r="J51" s="246">
        <f>VLOOKUP($A51,'Table 19 data'!$A$9:$W$184,$B$4+'Table 19 data'!J$4,0)</f>
        <v>68.400000000000006</v>
      </c>
      <c r="K51" s="245">
        <f>VLOOKUP($A51,'Table 19 data'!$A$9:$W$184,$B$4+'Table 19 data'!K$4,0)</f>
        <v>2549</v>
      </c>
      <c r="L51" s="246">
        <f>VLOOKUP($A51,'Table 19 data'!$A$9:$W$184,$B$4+'Table 19 data'!L$4,0)</f>
        <v>73</v>
      </c>
    </row>
    <row r="52" spans="1:12" ht="11.25" customHeight="1" x14ac:dyDescent="0.2">
      <c r="A52" s="125" t="s">
        <v>95</v>
      </c>
      <c r="B52" s="142" t="s">
        <v>96</v>
      </c>
      <c r="C52" s="245">
        <f>VLOOKUP($A52,'Table 19 data'!$A$9:$W$184,$B$4+'Table 19 data'!C$4,0)</f>
        <v>3551</v>
      </c>
      <c r="D52" s="246">
        <f>VLOOKUP($A52,'Table 19 data'!$A$9:$W$184,$B$4+'Table 19 data'!D$4,0)</f>
        <v>55.2</v>
      </c>
      <c r="E52" s="245">
        <f>VLOOKUP($A52,'Table 19 data'!$A$9:$W$184,$B$4+'Table 19 data'!E$4,0)</f>
        <v>3476</v>
      </c>
      <c r="F52" s="246">
        <f>VLOOKUP($A52,'Table 19 data'!$A$9:$W$184,$B$4+'Table 19 data'!F$4,0)</f>
        <v>62.5</v>
      </c>
      <c r="G52" s="245">
        <f>VLOOKUP($A52,'Table 19 data'!$A$9:$W$184,$B$4+'Table 19 data'!G$4,0)</f>
        <v>3392</v>
      </c>
      <c r="H52" s="246">
        <f>VLOOKUP($A52,'Table 19 data'!$A$9:$W$184,$B$4+'Table 19 data'!H$4,0)</f>
        <v>66.2</v>
      </c>
      <c r="I52" s="245">
        <f>VLOOKUP($A52,'Table 19 data'!$A$9:$W$184,$B$4+'Table 19 data'!I$4,0)</f>
        <v>3292</v>
      </c>
      <c r="J52" s="246">
        <f>VLOOKUP($A52,'Table 19 data'!$A$9:$W$184,$B$4+'Table 19 data'!J$4,0)</f>
        <v>61.3</v>
      </c>
      <c r="K52" s="245">
        <f>VLOOKUP($A52,'Table 19 data'!$A$9:$W$184,$B$4+'Table 19 data'!K$4,0)</f>
        <v>3325</v>
      </c>
      <c r="L52" s="246">
        <f>VLOOKUP($A52,'Table 19 data'!$A$9:$W$184,$B$4+'Table 19 data'!L$4,0)</f>
        <v>66.900000000000006</v>
      </c>
    </row>
    <row r="53" spans="1:12" ht="11.25" customHeight="1" x14ac:dyDescent="0.2">
      <c r="A53" s="125" t="s">
        <v>97</v>
      </c>
      <c r="B53" s="142" t="s">
        <v>98</v>
      </c>
      <c r="C53" s="245">
        <f>VLOOKUP($A53,'Table 19 data'!$A$9:$W$184,$B$4+'Table 19 data'!C$4,0)</f>
        <v>3952</v>
      </c>
      <c r="D53" s="246">
        <f>VLOOKUP($A53,'Table 19 data'!$A$9:$W$184,$B$4+'Table 19 data'!D$4,0)</f>
        <v>67.400000000000006</v>
      </c>
      <c r="E53" s="245">
        <f>VLOOKUP($A53,'Table 19 data'!$A$9:$W$184,$B$4+'Table 19 data'!E$4,0)</f>
        <v>3894</v>
      </c>
      <c r="F53" s="246">
        <f>VLOOKUP($A53,'Table 19 data'!$A$9:$W$184,$B$4+'Table 19 data'!F$4,0)</f>
        <v>71.7</v>
      </c>
      <c r="G53" s="245">
        <f>VLOOKUP($A53,'Table 19 data'!$A$9:$W$184,$B$4+'Table 19 data'!G$4,0)</f>
        <v>3841</v>
      </c>
      <c r="H53" s="246">
        <f>VLOOKUP($A53,'Table 19 data'!$A$9:$W$184,$B$4+'Table 19 data'!H$4,0)</f>
        <v>69.7</v>
      </c>
      <c r="I53" s="245">
        <f>VLOOKUP($A53,'Table 19 data'!$A$9:$W$184,$B$4+'Table 19 data'!I$4,0)</f>
        <v>3689</v>
      </c>
      <c r="J53" s="246">
        <f>VLOOKUP($A53,'Table 19 data'!$A$9:$W$184,$B$4+'Table 19 data'!J$4,0)</f>
        <v>63.7</v>
      </c>
      <c r="K53" s="245">
        <f>VLOOKUP($A53,'Table 19 data'!$A$9:$W$184,$B$4+'Table 19 data'!K$4,0)</f>
        <v>3809</v>
      </c>
      <c r="L53" s="246">
        <f>VLOOKUP($A53,'Table 19 data'!$A$9:$W$184,$B$4+'Table 19 data'!L$4,0)</f>
        <v>69.2</v>
      </c>
    </row>
    <row r="54" spans="1:12" ht="11.25" customHeight="1" x14ac:dyDescent="0.2">
      <c r="A54" s="125" t="s">
        <v>99</v>
      </c>
      <c r="B54" s="142" t="s">
        <v>100</v>
      </c>
      <c r="C54" s="245">
        <f>VLOOKUP($A54,'Table 19 data'!$A$9:$W$184,$B$4+'Table 19 data'!C$4,0)</f>
        <v>2766</v>
      </c>
      <c r="D54" s="246">
        <f>VLOOKUP($A54,'Table 19 data'!$A$9:$W$184,$B$4+'Table 19 data'!D$4,0)</f>
        <v>51.4</v>
      </c>
      <c r="E54" s="245">
        <f>VLOOKUP($A54,'Table 19 data'!$A$9:$W$184,$B$4+'Table 19 data'!E$4,0)</f>
        <v>2670</v>
      </c>
      <c r="F54" s="246">
        <f>VLOOKUP($A54,'Table 19 data'!$A$9:$W$184,$B$4+'Table 19 data'!F$4,0)</f>
        <v>60.2</v>
      </c>
      <c r="G54" s="245">
        <f>VLOOKUP($A54,'Table 19 data'!$A$9:$W$184,$B$4+'Table 19 data'!G$4,0)</f>
        <v>2394</v>
      </c>
      <c r="H54" s="246">
        <f>VLOOKUP($A54,'Table 19 data'!$A$9:$W$184,$B$4+'Table 19 data'!H$4,0)</f>
        <v>62.2</v>
      </c>
      <c r="I54" s="245">
        <f>VLOOKUP($A54,'Table 19 data'!$A$9:$W$184,$B$4+'Table 19 data'!I$4,0)</f>
        <v>2423</v>
      </c>
      <c r="J54" s="246">
        <f>VLOOKUP($A54,'Table 19 data'!$A$9:$W$184,$B$4+'Table 19 data'!J$4,0)</f>
        <v>59</v>
      </c>
      <c r="K54" s="245">
        <f>VLOOKUP($A54,'Table 19 data'!$A$9:$W$184,$B$4+'Table 19 data'!K$4,0)</f>
        <v>2324</v>
      </c>
      <c r="L54" s="246">
        <f>VLOOKUP($A54,'Table 19 data'!$A$9:$W$184,$B$4+'Table 19 data'!L$4,0)</f>
        <v>63.9</v>
      </c>
    </row>
    <row r="55" spans="1:12" ht="11.25" customHeight="1" x14ac:dyDescent="0.2">
      <c r="A55" s="125" t="s">
        <v>101</v>
      </c>
      <c r="B55" s="142" t="s">
        <v>102</v>
      </c>
      <c r="C55" s="245">
        <f>VLOOKUP($A55,'Table 19 data'!$A$9:$W$184,$B$4+'Table 19 data'!C$4,0)</f>
        <v>4511</v>
      </c>
      <c r="D55" s="246">
        <f>VLOOKUP($A55,'Table 19 data'!$A$9:$W$184,$B$4+'Table 19 data'!D$4,0)</f>
        <v>65.5</v>
      </c>
      <c r="E55" s="245">
        <f>VLOOKUP($A55,'Table 19 data'!$A$9:$W$184,$B$4+'Table 19 data'!E$4,0)</f>
        <v>4432</v>
      </c>
      <c r="F55" s="246">
        <f>VLOOKUP($A55,'Table 19 data'!$A$9:$W$184,$B$4+'Table 19 data'!F$4,0)</f>
        <v>68</v>
      </c>
      <c r="G55" s="245">
        <f>VLOOKUP($A55,'Table 19 data'!$A$9:$W$184,$B$4+'Table 19 data'!G$4,0)</f>
        <v>4387</v>
      </c>
      <c r="H55" s="246">
        <f>VLOOKUP($A55,'Table 19 data'!$A$9:$W$184,$B$4+'Table 19 data'!H$4,0)</f>
        <v>75.400000000000006</v>
      </c>
      <c r="I55" s="245">
        <f>VLOOKUP($A55,'Table 19 data'!$A$9:$W$184,$B$4+'Table 19 data'!I$4,0)</f>
        <v>4464</v>
      </c>
      <c r="J55" s="246">
        <f>VLOOKUP($A55,'Table 19 data'!$A$9:$W$184,$B$4+'Table 19 data'!J$4,0)</f>
        <v>74.5</v>
      </c>
      <c r="K55" s="245">
        <f>VLOOKUP($A55,'Table 19 data'!$A$9:$W$184,$B$4+'Table 19 data'!K$4,0)</f>
        <v>4482</v>
      </c>
      <c r="L55" s="246">
        <f>VLOOKUP($A55,'Table 19 data'!$A$9:$W$184,$B$4+'Table 19 data'!L$4,0)</f>
        <v>73.400000000000006</v>
      </c>
    </row>
    <row r="56" spans="1:12" ht="11.25" customHeight="1" x14ac:dyDescent="0.2">
      <c r="A56" s="125" t="s">
        <v>103</v>
      </c>
      <c r="B56" s="142" t="s">
        <v>104</v>
      </c>
      <c r="C56" s="245">
        <f>VLOOKUP($A56,'Table 19 data'!$A$9:$W$184,$B$4+'Table 19 data'!C$4,0)</f>
        <v>7895</v>
      </c>
      <c r="D56" s="246">
        <f>VLOOKUP($A56,'Table 19 data'!$A$9:$W$184,$B$4+'Table 19 data'!D$4,0)</f>
        <v>58.6</v>
      </c>
      <c r="E56" s="245">
        <f>VLOOKUP($A56,'Table 19 data'!$A$9:$W$184,$B$4+'Table 19 data'!E$4,0)</f>
        <v>7832</v>
      </c>
      <c r="F56" s="246">
        <f>VLOOKUP($A56,'Table 19 data'!$A$9:$W$184,$B$4+'Table 19 data'!F$4,0)</f>
        <v>63.1</v>
      </c>
      <c r="G56" s="245">
        <f>VLOOKUP($A56,'Table 19 data'!$A$9:$W$184,$B$4+'Table 19 data'!G$4,0)</f>
        <v>7354</v>
      </c>
      <c r="H56" s="246">
        <f>VLOOKUP($A56,'Table 19 data'!$A$9:$W$184,$B$4+'Table 19 data'!H$4,0)</f>
        <v>66.7</v>
      </c>
      <c r="I56" s="245">
        <f>VLOOKUP($A56,'Table 19 data'!$A$9:$W$184,$B$4+'Table 19 data'!I$4,0)</f>
        <v>7414</v>
      </c>
      <c r="J56" s="246">
        <f>VLOOKUP($A56,'Table 19 data'!$A$9:$W$184,$B$4+'Table 19 data'!J$4,0)</f>
        <v>63.1</v>
      </c>
      <c r="K56" s="245">
        <f>VLOOKUP($A56,'Table 19 data'!$A$9:$W$184,$B$4+'Table 19 data'!K$4,0)</f>
        <v>7515</v>
      </c>
      <c r="L56" s="246">
        <f>VLOOKUP($A56,'Table 19 data'!$A$9:$W$184,$B$4+'Table 19 data'!L$4,0)</f>
        <v>65.2</v>
      </c>
    </row>
    <row r="57" spans="1:12" ht="11.25" customHeight="1" x14ac:dyDescent="0.2">
      <c r="A57" s="125" t="s">
        <v>105</v>
      </c>
      <c r="B57" s="142" t="s">
        <v>106</v>
      </c>
      <c r="C57" s="245">
        <f>VLOOKUP($A57,'Table 19 data'!$A$9:$W$184,$B$4+'Table 19 data'!C$4,0)</f>
        <v>1898</v>
      </c>
      <c r="D57" s="246">
        <f>VLOOKUP($A57,'Table 19 data'!$A$9:$W$184,$B$4+'Table 19 data'!D$4,0)</f>
        <v>60</v>
      </c>
      <c r="E57" s="245">
        <f>VLOOKUP($A57,'Table 19 data'!$A$9:$W$184,$B$4+'Table 19 data'!E$4,0)</f>
        <v>1931</v>
      </c>
      <c r="F57" s="246">
        <f>VLOOKUP($A57,'Table 19 data'!$A$9:$W$184,$B$4+'Table 19 data'!F$4,0)</f>
        <v>67.099999999999994</v>
      </c>
      <c r="G57" s="245">
        <f>VLOOKUP($A57,'Table 19 data'!$A$9:$W$184,$B$4+'Table 19 data'!G$4,0)</f>
        <v>1786</v>
      </c>
      <c r="H57" s="246">
        <f>VLOOKUP($A57,'Table 19 data'!$A$9:$W$184,$B$4+'Table 19 data'!H$4,0)</f>
        <v>67.900000000000006</v>
      </c>
      <c r="I57" s="245">
        <f>VLOOKUP($A57,'Table 19 data'!$A$9:$W$184,$B$4+'Table 19 data'!I$4,0)</f>
        <v>1807</v>
      </c>
      <c r="J57" s="246">
        <f>VLOOKUP($A57,'Table 19 data'!$A$9:$W$184,$B$4+'Table 19 data'!J$4,0)</f>
        <v>65.900000000000006</v>
      </c>
      <c r="K57" s="245">
        <f>VLOOKUP($A57,'Table 19 data'!$A$9:$W$184,$B$4+'Table 19 data'!K$4,0)</f>
        <v>1785</v>
      </c>
      <c r="L57" s="246">
        <f>VLOOKUP($A57,'Table 19 data'!$A$9:$W$184,$B$4+'Table 19 data'!L$4,0)</f>
        <v>65.900000000000006</v>
      </c>
    </row>
    <row r="58" spans="1:12" ht="11.25" customHeight="1" x14ac:dyDescent="0.2">
      <c r="A58" s="125" t="s">
        <v>107</v>
      </c>
      <c r="B58" s="142" t="s">
        <v>108</v>
      </c>
      <c r="C58" s="245">
        <f>VLOOKUP($A58,'Table 19 data'!$A$9:$W$184,$B$4+'Table 19 data'!C$4,0)</f>
        <v>1965</v>
      </c>
      <c r="D58" s="246">
        <f>VLOOKUP($A58,'Table 19 data'!$A$9:$W$184,$B$4+'Table 19 data'!D$4,0)</f>
        <v>59.5</v>
      </c>
      <c r="E58" s="245">
        <f>VLOOKUP($A58,'Table 19 data'!$A$9:$W$184,$B$4+'Table 19 data'!E$4,0)</f>
        <v>1964</v>
      </c>
      <c r="F58" s="246">
        <f>VLOOKUP($A58,'Table 19 data'!$A$9:$W$184,$B$4+'Table 19 data'!F$4,0)</f>
        <v>63.2</v>
      </c>
      <c r="G58" s="245">
        <f>VLOOKUP($A58,'Table 19 data'!$A$9:$W$184,$B$4+'Table 19 data'!G$4,0)</f>
        <v>1946</v>
      </c>
      <c r="H58" s="246">
        <f>VLOOKUP($A58,'Table 19 data'!$A$9:$W$184,$B$4+'Table 19 data'!H$4,0)</f>
        <v>66.3</v>
      </c>
      <c r="I58" s="245">
        <f>VLOOKUP($A58,'Table 19 data'!$A$9:$W$184,$B$4+'Table 19 data'!I$4,0)</f>
        <v>1893</v>
      </c>
      <c r="J58" s="246">
        <f>VLOOKUP($A58,'Table 19 data'!$A$9:$W$184,$B$4+'Table 19 data'!J$4,0)</f>
        <v>62.8</v>
      </c>
      <c r="K58" s="245">
        <f>VLOOKUP($A58,'Table 19 data'!$A$9:$W$184,$B$4+'Table 19 data'!K$4,0)</f>
        <v>1866</v>
      </c>
      <c r="L58" s="246">
        <f>VLOOKUP($A58,'Table 19 data'!$A$9:$W$184,$B$4+'Table 19 data'!L$4,0)</f>
        <v>65.099999999999994</v>
      </c>
    </row>
    <row r="59" spans="1:12" ht="11.25" customHeight="1" x14ac:dyDescent="0.2">
      <c r="A59" s="125" t="s">
        <v>109</v>
      </c>
      <c r="B59" s="142" t="s">
        <v>110</v>
      </c>
      <c r="C59" s="245">
        <f>VLOOKUP($A59,'Table 19 data'!$A$9:$W$184,$B$4+'Table 19 data'!C$4,0)</f>
        <v>6758</v>
      </c>
      <c r="D59" s="246">
        <f>VLOOKUP($A59,'Table 19 data'!$A$9:$W$184,$B$4+'Table 19 data'!D$4,0)</f>
        <v>71.5</v>
      </c>
      <c r="E59" s="245">
        <f>VLOOKUP($A59,'Table 19 data'!$A$9:$W$184,$B$4+'Table 19 data'!E$4,0)</f>
        <v>6744</v>
      </c>
      <c r="F59" s="246">
        <f>VLOOKUP($A59,'Table 19 data'!$A$9:$W$184,$B$4+'Table 19 data'!F$4,0)</f>
        <v>73.2</v>
      </c>
      <c r="G59" s="245">
        <f>VLOOKUP($A59,'Table 19 data'!$A$9:$W$184,$B$4+'Table 19 data'!G$4,0)</f>
        <v>6521</v>
      </c>
      <c r="H59" s="246">
        <f>VLOOKUP($A59,'Table 19 data'!$A$9:$W$184,$B$4+'Table 19 data'!H$4,0)</f>
        <v>75.599999999999994</v>
      </c>
      <c r="I59" s="245">
        <f>VLOOKUP($A59,'Table 19 data'!$A$9:$W$184,$B$4+'Table 19 data'!I$4,0)</f>
        <v>6576</v>
      </c>
      <c r="J59" s="246">
        <f>VLOOKUP($A59,'Table 19 data'!$A$9:$W$184,$B$4+'Table 19 data'!J$4,0)</f>
        <v>71</v>
      </c>
      <c r="K59" s="245">
        <f>VLOOKUP($A59,'Table 19 data'!$A$9:$W$184,$B$4+'Table 19 data'!K$4,0)</f>
        <v>6552</v>
      </c>
      <c r="L59" s="246">
        <f>VLOOKUP($A59,'Table 19 data'!$A$9:$W$184,$B$4+'Table 19 data'!L$4,0)</f>
        <v>71.900000000000006</v>
      </c>
    </row>
    <row r="60" spans="1:12" ht="11.25" customHeight="1" x14ac:dyDescent="0.2">
      <c r="A60" s="125" t="s">
        <v>111</v>
      </c>
      <c r="B60" s="142" t="s">
        <v>112</v>
      </c>
      <c r="C60" s="245">
        <f>VLOOKUP($A60,'Table 19 data'!$A$9:$W$184,$B$4+'Table 19 data'!C$4,0)</f>
        <v>3563</v>
      </c>
      <c r="D60" s="246">
        <f>VLOOKUP($A60,'Table 19 data'!$A$9:$W$184,$B$4+'Table 19 data'!D$4,0)</f>
        <v>63.3</v>
      </c>
      <c r="E60" s="245">
        <f>VLOOKUP($A60,'Table 19 data'!$A$9:$W$184,$B$4+'Table 19 data'!E$4,0)</f>
        <v>3538</v>
      </c>
      <c r="F60" s="246">
        <f>VLOOKUP($A60,'Table 19 data'!$A$9:$W$184,$B$4+'Table 19 data'!F$4,0)</f>
        <v>66.8</v>
      </c>
      <c r="G60" s="245">
        <f>VLOOKUP($A60,'Table 19 data'!$A$9:$W$184,$B$4+'Table 19 data'!G$4,0)</f>
        <v>3387</v>
      </c>
      <c r="H60" s="246">
        <f>VLOOKUP($A60,'Table 19 data'!$A$9:$W$184,$B$4+'Table 19 data'!H$4,0)</f>
        <v>73</v>
      </c>
      <c r="I60" s="245">
        <f>VLOOKUP($A60,'Table 19 data'!$A$9:$W$184,$B$4+'Table 19 data'!I$4,0)</f>
        <v>3395</v>
      </c>
      <c r="J60" s="246">
        <f>VLOOKUP($A60,'Table 19 data'!$A$9:$W$184,$B$4+'Table 19 data'!J$4,0)</f>
        <v>73</v>
      </c>
      <c r="K60" s="245">
        <f>VLOOKUP($A60,'Table 19 data'!$A$9:$W$184,$B$4+'Table 19 data'!K$4,0)</f>
        <v>3361</v>
      </c>
      <c r="L60" s="246">
        <f>VLOOKUP($A60,'Table 19 data'!$A$9:$W$184,$B$4+'Table 19 data'!L$4,0)</f>
        <v>77.2</v>
      </c>
    </row>
    <row r="61" spans="1:12" ht="11.25" customHeight="1" x14ac:dyDescent="0.2">
      <c r="A61" s="125" t="s">
        <v>113</v>
      </c>
      <c r="B61" s="142" t="s">
        <v>114</v>
      </c>
      <c r="C61" s="245">
        <f>VLOOKUP($A61,'Table 19 data'!$A$9:$W$184,$B$4+'Table 19 data'!C$4,0)</f>
        <v>5507</v>
      </c>
      <c r="D61" s="246">
        <f>VLOOKUP($A61,'Table 19 data'!$A$9:$W$184,$B$4+'Table 19 data'!D$4,0)</f>
        <v>60.2</v>
      </c>
      <c r="E61" s="245">
        <f>VLOOKUP($A61,'Table 19 data'!$A$9:$W$184,$B$4+'Table 19 data'!E$4,0)</f>
        <v>5397</v>
      </c>
      <c r="F61" s="246">
        <f>VLOOKUP($A61,'Table 19 data'!$A$9:$W$184,$B$4+'Table 19 data'!F$4,0)</f>
        <v>65.8</v>
      </c>
      <c r="G61" s="245">
        <f>VLOOKUP($A61,'Table 19 data'!$A$9:$W$184,$B$4+'Table 19 data'!G$4,0)</f>
        <v>5209</v>
      </c>
      <c r="H61" s="246">
        <f>VLOOKUP($A61,'Table 19 data'!$A$9:$W$184,$B$4+'Table 19 data'!H$4,0)</f>
        <v>66.3</v>
      </c>
      <c r="I61" s="245">
        <f>VLOOKUP($A61,'Table 19 data'!$A$9:$W$184,$B$4+'Table 19 data'!I$4,0)</f>
        <v>5164</v>
      </c>
      <c r="J61" s="246">
        <f>VLOOKUP($A61,'Table 19 data'!$A$9:$W$184,$B$4+'Table 19 data'!J$4,0)</f>
        <v>68.5</v>
      </c>
      <c r="K61" s="245">
        <f>VLOOKUP($A61,'Table 19 data'!$A$9:$W$184,$B$4+'Table 19 data'!K$4,0)</f>
        <v>5292</v>
      </c>
      <c r="L61" s="246">
        <f>VLOOKUP($A61,'Table 19 data'!$A$9:$W$184,$B$4+'Table 19 data'!L$4,0)</f>
        <v>72</v>
      </c>
    </row>
    <row r="62" spans="1:12" ht="11.25" customHeight="1" x14ac:dyDescent="0.2">
      <c r="A62" s="125" t="s">
        <v>115</v>
      </c>
      <c r="B62" s="142" t="s">
        <v>116</v>
      </c>
      <c r="C62" s="245">
        <f>VLOOKUP($A62,'Table 19 data'!$A$9:$W$184,$B$4+'Table 19 data'!C$4,0)</f>
        <v>3785</v>
      </c>
      <c r="D62" s="246">
        <f>VLOOKUP($A62,'Table 19 data'!$A$9:$W$184,$B$4+'Table 19 data'!D$4,0)</f>
        <v>66.3</v>
      </c>
      <c r="E62" s="245">
        <f>VLOOKUP($A62,'Table 19 data'!$A$9:$W$184,$B$4+'Table 19 data'!E$4,0)</f>
        <v>3891</v>
      </c>
      <c r="F62" s="246">
        <f>VLOOKUP($A62,'Table 19 data'!$A$9:$W$184,$B$4+'Table 19 data'!F$4,0)</f>
        <v>72.599999999999994</v>
      </c>
      <c r="G62" s="245">
        <f>VLOOKUP($A62,'Table 19 data'!$A$9:$W$184,$B$4+'Table 19 data'!G$4,0)</f>
        <v>3828</v>
      </c>
      <c r="H62" s="246">
        <f>VLOOKUP($A62,'Table 19 data'!$A$9:$W$184,$B$4+'Table 19 data'!H$4,0)</f>
        <v>74.099999999999994</v>
      </c>
      <c r="I62" s="245">
        <f>VLOOKUP($A62,'Table 19 data'!$A$9:$W$184,$B$4+'Table 19 data'!I$4,0)</f>
        <v>3823</v>
      </c>
      <c r="J62" s="246">
        <f>VLOOKUP($A62,'Table 19 data'!$A$9:$W$184,$B$4+'Table 19 data'!J$4,0)</f>
        <v>71.7</v>
      </c>
      <c r="K62" s="245">
        <f>VLOOKUP($A62,'Table 19 data'!$A$9:$W$184,$B$4+'Table 19 data'!K$4,0)</f>
        <v>3774</v>
      </c>
      <c r="L62" s="246">
        <f>VLOOKUP($A62,'Table 19 data'!$A$9:$W$184,$B$4+'Table 19 data'!L$4,0)</f>
        <v>78.099999999999994</v>
      </c>
    </row>
    <row r="63" spans="1:12" ht="11.25" customHeight="1" x14ac:dyDescent="0.2">
      <c r="A63" s="125" t="s">
        <v>117</v>
      </c>
      <c r="B63" s="142" t="s">
        <v>118</v>
      </c>
      <c r="C63" s="245">
        <f>VLOOKUP($A63,'Table 19 data'!$A$9:$W$184,$B$4+'Table 19 data'!C$4,0)</f>
        <v>1668</v>
      </c>
      <c r="D63" s="246">
        <f>VLOOKUP($A63,'Table 19 data'!$A$9:$W$184,$B$4+'Table 19 data'!D$4,0)</f>
        <v>70.7</v>
      </c>
      <c r="E63" s="245">
        <f>VLOOKUP($A63,'Table 19 data'!$A$9:$W$184,$B$4+'Table 19 data'!E$4,0)</f>
        <v>1710</v>
      </c>
      <c r="F63" s="246">
        <f>VLOOKUP($A63,'Table 19 data'!$A$9:$W$184,$B$4+'Table 19 data'!F$4,0)</f>
        <v>71.099999999999994</v>
      </c>
      <c r="G63" s="245">
        <f>VLOOKUP($A63,'Table 19 data'!$A$9:$W$184,$B$4+'Table 19 data'!G$4,0)</f>
        <v>1707</v>
      </c>
      <c r="H63" s="246">
        <f>VLOOKUP($A63,'Table 19 data'!$A$9:$W$184,$B$4+'Table 19 data'!H$4,0)</f>
        <v>76.3</v>
      </c>
      <c r="I63" s="245">
        <f>VLOOKUP($A63,'Table 19 data'!$A$9:$W$184,$B$4+'Table 19 data'!I$4,0)</f>
        <v>1660</v>
      </c>
      <c r="J63" s="246">
        <f>VLOOKUP($A63,'Table 19 data'!$A$9:$W$184,$B$4+'Table 19 data'!J$4,0)</f>
        <v>71.5</v>
      </c>
      <c r="K63" s="245">
        <f>VLOOKUP($A63,'Table 19 data'!$A$9:$W$184,$B$4+'Table 19 data'!K$4,0)</f>
        <v>1684</v>
      </c>
      <c r="L63" s="246">
        <f>VLOOKUP($A63,'Table 19 data'!$A$9:$W$184,$B$4+'Table 19 data'!L$4,0)</f>
        <v>76.7</v>
      </c>
    </row>
    <row r="64" spans="1:12" ht="11.25" customHeight="1" x14ac:dyDescent="0.2">
      <c r="A64" s="3"/>
      <c r="B64" s="142"/>
      <c r="C64" s="247"/>
      <c r="D64" s="248"/>
      <c r="E64" s="247"/>
      <c r="F64" s="248"/>
      <c r="G64" s="247"/>
      <c r="H64" s="249"/>
      <c r="I64" s="250"/>
      <c r="J64" s="250"/>
      <c r="K64" s="250"/>
      <c r="L64" s="250"/>
    </row>
    <row r="65" spans="1:12" s="98" customFormat="1" ht="11.25" customHeight="1" x14ac:dyDescent="0.2">
      <c r="A65" s="16" t="s">
        <v>385</v>
      </c>
      <c r="B65" s="92" t="s">
        <v>119</v>
      </c>
      <c r="C65" s="243">
        <f>VLOOKUP($A65,'Table 19 data'!$A$9:$W$184,$B$4+'Table 19 data'!C$4,0)</f>
        <v>49649</v>
      </c>
      <c r="D65" s="244">
        <f>VLOOKUP($A65,'Table 19 data'!$A$9:$W$184,$B$4+'Table 19 data'!D$4,0)</f>
        <v>65.400000000000006</v>
      </c>
      <c r="E65" s="243">
        <f>VLOOKUP($A65,'Table 19 data'!$A$9:$W$184,$B$4+'Table 19 data'!E$4,0)</f>
        <v>49914</v>
      </c>
      <c r="F65" s="244">
        <f>VLOOKUP($A65,'Table 19 data'!$A$9:$W$184,$B$4+'Table 19 data'!F$4,0)</f>
        <v>69.7</v>
      </c>
      <c r="G65" s="243">
        <f>VLOOKUP($A65,'Table 19 data'!$A$9:$W$184,$B$4+'Table 19 data'!G$4,0)</f>
        <v>48183</v>
      </c>
      <c r="H65" s="244">
        <f>VLOOKUP($A65,'Table 19 data'!$A$9:$W$184,$B$4+'Table 19 data'!H$4,0)</f>
        <v>72.5</v>
      </c>
      <c r="I65" s="243">
        <f>VLOOKUP($A65,'Table 19 data'!$A$9:$W$184,$B$4+'Table 19 data'!I$4,0)</f>
        <v>46976</v>
      </c>
      <c r="J65" s="244">
        <f>VLOOKUP($A65,'Table 19 data'!$A$9:$W$184,$B$4+'Table 19 data'!J$4,0)</f>
        <v>68.7</v>
      </c>
      <c r="K65" s="243">
        <f>VLOOKUP($A65,'Table 19 data'!$A$9:$W$184,$B$4+'Table 19 data'!K$4,0)</f>
        <v>48076</v>
      </c>
      <c r="L65" s="244">
        <f>VLOOKUP($A65,'Table 19 data'!$A$9:$W$184,$B$4+'Table 19 data'!L$4,0)</f>
        <v>69.599999999999994</v>
      </c>
    </row>
    <row r="66" spans="1:12" ht="11.25" customHeight="1" x14ac:dyDescent="0.2">
      <c r="A66" s="125" t="s">
        <v>120</v>
      </c>
      <c r="B66" s="142" t="s">
        <v>121</v>
      </c>
      <c r="C66" s="245">
        <f>VLOOKUP($A66,'Table 19 data'!$A$9:$W$184,$B$4+'Table 19 data'!C$4,0)</f>
        <v>2717</v>
      </c>
      <c r="D66" s="246">
        <f>VLOOKUP($A66,'Table 19 data'!$A$9:$W$184,$B$4+'Table 19 data'!D$4,0)</f>
        <v>63.5</v>
      </c>
      <c r="E66" s="245">
        <f>VLOOKUP($A66,'Table 19 data'!$A$9:$W$184,$B$4+'Table 19 data'!E$4,0)</f>
        <v>2756</v>
      </c>
      <c r="F66" s="246">
        <f>VLOOKUP($A66,'Table 19 data'!$A$9:$W$184,$B$4+'Table 19 data'!F$4,0)</f>
        <v>70.8</v>
      </c>
      <c r="G66" s="245">
        <f>VLOOKUP($A66,'Table 19 data'!$A$9:$W$184,$B$4+'Table 19 data'!G$4,0)</f>
        <v>2683</v>
      </c>
      <c r="H66" s="246">
        <f>VLOOKUP($A66,'Table 19 data'!$A$9:$W$184,$B$4+'Table 19 data'!H$4,0)</f>
        <v>73.2</v>
      </c>
      <c r="I66" s="245">
        <f>VLOOKUP($A66,'Table 19 data'!$A$9:$W$184,$B$4+'Table 19 data'!I$4,0)</f>
        <v>2545</v>
      </c>
      <c r="J66" s="246">
        <f>VLOOKUP($A66,'Table 19 data'!$A$9:$W$184,$B$4+'Table 19 data'!J$4,0)</f>
        <v>69.400000000000006</v>
      </c>
      <c r="K66" s="245">
        <f>VLOOKUP($A66,'Table 19 data'!$A$9:$W$184,$B$4+'Table 19 data'!K$4,0)</f>
        <v>2764</v>
      </c>
      <c r="L66" s="246">
        <f>VLOOKUP($A66,'Table 19 data'!$A$9:$W$184,$B$4+'Table 19 data'!L$4,0)</f>
        <v>68.400000000000006</v>
      </c>
    </row>
    <row r="67" spans="1:12" ht="11.25" customHeight="1" x14ac:dyDescent="0.2">
      <c r="A67" s="125" t="s">
        <v>122</v>
      </c>
      <c r="B67" s="142" t="s">
        <v>123</v>
      </c>
      <c r="C67" s="245">
        <f>VLOOKUP($A67,'Table 19 data'!$A$9:$W$184,$B$4+'Table 19 data'!C$4,0)</f>
        <v>8700</v>
      </c>
      <c r="D67" s="246">
        <f>VLOOKUP($A67,'Table 19 data'!$A$9:$W$184,$B$4+'Table 19 data'!D$4,0)</f>
        <v>64.2</v>
      </c>
      <c r="E67" s="245">
        <f>VLOOKUP($A67,'Table 19 data'!$A$9:$W$184,$B$4+'Table 19 data'!E$4,0)</f>
        <v>8624</v>
      </c>
      <c r="F67" s="246">
        <f>VLOOKUP($A67,'Table 19 data'!$A$9:$W$184,$B$4+'Table 19 data'!F$4,0)</f>
        <v>67.3</v>
      </c>
      <c r="G67" s="245">
        <f>VLOOKUP($A67,'Table 19 data'!$A$9:$W$184,$B$4+'Table 19 data'!G$4,0)</f>
        <v>8532</v>
      </c>
      <c r="H67" s="246">
        <f>VLOOKUP($A67,'Table 19 data'!$A$9:$W$184,$B$4+'Table 19 data'!H$4,0)</f>
        <v>69.599999999999994</v>
      </c>
      <c r="I67" s="245">
        <f>VLOOKUP($A67,'Table 19 data'!$A$9:$W$184,$B$4+'Table 19 data'!I$4,0)</f>
        <v>8130</v>
      </c>
      <c r="J67" s="246">
        <f>VLOOKUP($A67,'Table 19 data'!$A$9:$W$184,$B$4+'Table 19 data'!J$4,0)</f>
        <v>64.400000000000006</v>
      </c>
      <c r="K67" s="245">
        <f>VLOOKUP($A67,'Table 19 data'!$A$9:$W$184,$B$4+'Table 19 data'!K$4,0)</f>
        <v>8228</v>
      </c>
      <c r="L67" s="246">
        <f>VLOOKUP($A67,'Table 19 data'!$A$9:$W$184,$B$4+'Table 19 data'!L$4,0)</f>
        <v>65.599999999999994</v>
      </c>
    </row>
    <row r="68" spans="1:12" ht="11.25" customHeight="1" x14ac:dyDescent="0.2">
      <c r="A68" s="125" t="s">
        <v>124</v>
      </c>
      <c r="B68" s="142" t="s">
        <v>125</v>
      </c>
      <c r="C68" s="245">
        <f>VLOOKUP($A68,'Table 19 data'!$A$9:$W$184,$B$4+'Table 19 data'!C$4,0)</f>
        <v>3187</v>
      </c>
      <c r="D68" s="246">
        <f>VLOOKUP($A68,'Table 19 data'!$A$9:$W$184,$B$4+'Table 19 data'!D$4,0)</f>
        <v>65.900000000000006</v>
      </c>
      <c r="E68" s="245">
        <f>VLOOKUP($A68,'Table 19 data'!$A$9:$W$184,$B$4+'Table 19 data'!E$4,0)</f>
        <v>3264</v>
      </c>
      <c r="F68" s="246">
        <f>VLOOKUP($A68,'Table 19 data'!$A$9:$W$184,$B$4+'Table 19 data'!F$4,0)</f>
        <v>71.599999999999994</v>
      </c>
      <c r="G68" s="245">
        <f>VLOOKUP($A68,'Table 19 data'!$A$9:$W$184,$B$4+'Table 19 data'!G$4,0)</f>
        <v>3058</v>
      </c>
      <c r="H68" s="246">
        <f>VLOOKUP($A68,'Table 19 data'!$A$9:$W$184,$B$4+'Table 19 data'!H$4,0)</f>
        <v>76.599999999999994</v>
      </c>
      <c r="I68" s="245">
        <f>VLOOKUP($A68,'Table 19 data'!$A$9:$W$184,$B$4+'Table 19 data'!I$4,0)</f>
        <v>3054</v>
      </c>
      <c r="J68" s="246">
        <f>VLOOKUP($A68,'Table 19 data'!$A$9:$W$184,$B$4+'Table 19 data'!J$4,0)</f>
        <v>73.2</v>
      </c>
      <c r="K68" s="245">
        <f>VLOOKUP($A68,'Table 19 data'!$A$9:$W$184,$B$4+'Table 19 data'!K$4,0)</f>
        <v>3170</v>
      </c>
      <c r="L68" s="246">
        <f>VLOOKUP($A68,'Table 19 data'!$A$9:$W$184,$B$4+'Table 19 data'!L$4,0)</f>
        <v>72.400000000000006</v>
      </c>
    </row>
    <row r="69" spans="1:12" ht="11.25" customHeight="1" x14ac:dyDescent="0.2">
      <c r="A69" s="125" t="s">
        <v>126</v>
      </c>
      <c r="B69" s="142" t="s">
        <v>127</v>
      </c>
      <c r="C69" s="245">
        <f>VLOOKUP($A69,'Table 19 data'!$A$9:$W$184,$B$4+'Table 19 data'!C$4,0)</f>
        <v>7205</v>
      </c>
      <c r="D69" s="246">
        <f>VLOOKUP($A69,'Table 19 data'!$A$9:$W$184,$B$4+'Table 19 data'!D$4,0)</f>
        <v>70.5</v>
      </c>
      <c r="E69" s="245">
        <f>VLOOKUP($A69,'Table 19 data'!$A$9:$W$184,$B$4+'Table 19 data'!E$4,0)</f>
        <v>7270</v>
      </c>
      <c r="F69" s="246">
        <f>VLOOKUP($A69,'Table 19 data'!$A$9:$W$184,$B$4+'Table 19 data'!F$4,0)</f>
        <v>73.2</v>
      </c>
      <c r="G69" s="245">
        <f>VLOOKUP($A69,'Table 19 data'!$A$9:$W$184,$B$4+'Table 19 data'!G$4,0)</f>
        <v>7216</v>
      </c>
      <c r="H69" s="246">
        <f>VLOOKUP($A69,'Table 19 data'!$A$9:$W$184,$B$4+'Table 19 data'!H$4,0)</f>
        <v>74.7</v>
      </c>
      <c r="I69" s="245">
        <f>VLOOKUP($A69,'Table 19 data'!$A$9:$W$184,$B$4+'Table 19 data'!I$4,0)</f>
        <v>6985</v>
      </c>
      <c r="J69" s="246">
        <f>VLOOKUP($A69,'Table 19 data'!$A$9:$W$184,$B$4+'Table 19 data'!J$4,0)</f>
        <v>71</v>
      </c>
      <c r="K69" s="245">
        <f>VLOOKUP($A69,'Table 19 data'!$A$9:$W$184,$B$4+'Table 19 data'!K$4,0)</f>
        <v>7073</v>
      </c>
      <c r="L69" s="246">
        <f>VLOOKUP($A69,'Table 19 data'!$A$9:$W$184,$B$4+'Table 19 data'!L$4,0)</f>
        <v>70.8</v>
      </c>
    </row>
    <row r="70" spans="1:12" ht="11.25" customHeight="1" x14ac:dyDescent="0.2">
      <c r="A70" s="125" t="s">
        <v>128</v>
      </c>
      <c r="B70" s="142" t="s">
        <v>129</v>
      </c>
      <c r="C70" s="245">
        <f>VLOOKUP($A70,'Table 19 data'!$A$9:$W$184,$B$4+'Table 19 data'!C$4,0)</f>
        <v>8083</v>
      </c>
      <c r="D70" s="246">
        <f>VLOOKUP($A70,'Table 19 data'!$A$9:$W$184,$B$4+'Table 19 data'!D$4,0)</f>
        <v>70.5</v>
      </c>
      <c r="E70" s="245">
        <f>VLOOKUP($A70,'Table 19 data'!$A$9:$W$184,$B$4+'Table 19 data'!E$4,0)</f>
        <v>8266</v>
      </c>
      <c r="F70" s="246">
        <f>VLOOKUP($A70,'Table 19 data'!$A$9:$W$184,$B$4+'Table 19 data'!F$4,0)</f>
        <v>75.400000000000006</v>
      </c>
      <c r="G70" s="245">
        <f>VLOOKUP($A70,'Table 19 data'!$A$9:$W$184,$B$4+'Table 19 data'!G$4,0)</f>
        <v>7905</v>
      </c>
      <c r="H70" s="246">
        <f>VLOOKUP($A70,'Table 19 data'!$A$9:$W$184,$B$4+'Table 19 data'!H$4,0)</f>
        <v>75.8</v>
      </c>
      <c r="I70" s="245">
        <f>VLOOKUP($A70,'Table 19 data'!$A$9:$W$184,$B$4+'Table 19 data'!I$4,0)</f>
        <v>7671</v>
      </c>
      <c r="J70" s="246">
        <f>VLOOKUP($A70,'Table 19 data'!$A$9:$W$184,$B$4+'Table 19 data'!J$4,0)</f>
        <v>71.099999999999994</v>
      </c>
      <c r="K70" s="245">
        <f>VLOOKUP($A70,'Table 19 data'!$A$9:$W$184,$B$4+'Table 19 data'!K$4,0)</f>
        <v>7763</v>
      </c>
      <c r="L70" s="246">
        <f>VLOOKUP($A70,'Table 19 data'!$A$9:$W$184,$B$4+'Table 19 data'!L$4,0)</f>
        <v>70.599999999999994</v>
      </c>
    </row>
    <row r="71" spans="1:12" ht="11.25" customHeight="1" x14ac:dyDescent="0.2">
      <c r="A71" s="125" t="s">
        <v>130</v>
      </c>
      <c r="B71" s="142" t="s">
        <v>131</v>
      </c>
      <c r="C71" s="245">
        <f>VLOOKUP($A71,'Table 19 data'!$A$9:$W$184,$B$4+'Table 19 data'!C$4,0)</f>
        <v>7709</v>
      </c>
      <c r="D71" s="246">
        <f>VLOOKUP($A71,'Table 19 data'!$A$9:$W$184,$B$4+'Table 19 data'!D$4,0)</f>
        <v>67.099999999999994</v>
      </c>
      <c r="E71" s="245">
        <f>VLOOKUP($A71,'Table 19 data'!$A$9:$W$184,$B$4+'Table 19 data'!E$4,0)</f>
        <v>7647</v>
      </c>
      <c r="F71" s="246">
        <f>VLOOKUP($A71,'Table 19 data'!$A$9:$W$184,$B$4+'Table 19 data'!F$4,0)</f>
        <v>70.5</v>
      </c>
      <c r="G71" s="245">
        <f>VLOOKUP($A71,'Table 19 data'!$A$9:$W$184,$B$4+'Table 19 data'!G$4,0)</f>
        <v>7470</v>
      </c>
      <c r="H71" s="246">
        <f>VLOOKUP($A71,'Table 19 data'!$A$9:$W$184,$B$4+'Table 19 data'!H$4,0)</f>
        <v>73.099999999999994</v>
      </c>
      <c r="I71" s="245">
        <f>VLOOKUP($A71,'Table 19 data'!$A$9:$W$184,$B$4+'Table 19 data'!I$4,0)</f>
        <v>7292</v>
      </c>
      <c r="J71" s="246">
        <f>VLOOKUP($A71,'Table 19 data'!$A$9:$W$184,$B$4+'Table 19 data'!J$4,0)</f>
        <v>68.8</v>
      </c>
      <c r="K71" s="245">
        <f>VLOOKUP($A71,'Table 19 data'!$A$9:$W$184,$B$4+'Table 19 data'!K$4,0)</f>
        <v>7622</v>
      </c>
      <c r="L71" s="246">
        <f>VLOOKUP($A71,'Table 19 data'!$A$9:$W$184,$B$4+'Table 19 data'!L$4,0)</f>
        <v>71.400000000000006</v>
      </c>
    </row>
    <row r="72" spans="1:12" ht="11.25" customHeight="1" x14ac:dyDescent="0.2">
      <c r="A72" s="125" t="s">
        <v>132</v>
      </c>
      <c r="B72" s="142" t="s">
        <v>133</v>
      </c>
      <c r="C72" s="245">
        <f>VLOOKUP($A72,'Table 19 data'!$A$9:$W$184,$B$4+'Table 19 data'!C$4,0)</f>
        <v>2606</v>
      </c>
      <c r="D72" s="246">
        <f>VLOOKUP($A72,'Table 19 data'!$A$9:$W$184,$B$4+'Table 19 data'!D$4,0)</f>
        <v>54.7</v>
      </c>
      <c r="E72" s="245">
        <f>VLOOKUP($A72,'Table 19 data'!$A$9:$W$184,$B$4+'Table 19 data'!E$4,0)</f>
        <v>2620</v>
      </c>
      <c r="F72" s="246">
        <f>VLOOKUP($A72,'Table 19 data'!$A$9:$W$184,$B$4+'Table 19 data'!F$4,0)</f>
        <v>61.9</v>
      </c>
      <c r="G72" s="245">
        <f>VLOOKUP($A72,'Table 19 data'!$A$9:$W$184,$B$4+'Table 19 data'!G$4,0)</f>
        <v>2389</v>
      </c>
      <c r="H72" s="246">
        <f>VLOOKUP($A72,'Table 19 data'!$A$9:$W$184,$B$4+'Table 19 data'!H$4,0)</f>
        <v>64.2</v>
      </c>
      <c r="I72" s="245">
        <f>VLOOKUP($A72,'Table 19 data'!$A$9:$W$184,$B$4+'Table 19 data'!I$4,0)</f>
        <v>2386</v>
      </c>
      <c r="J72" s="246">
        <f>VLOOKUP($A72,'Table 19 data'!$A$9:$W$184,$B$4+'Table 19 data'!J$4,0)</f>
        <v>58.6</v>
      </c>
      <c r="K72" s="245">
        <f>VLOOKUP($A72,'Table 19 data'!$A$9:$W$184,$B$4+'Table 19 data'!K$4,0)</f>
        <v>2543</v>
      </c>
      <c r="L72" s="246">
        <f>VLOOKUP($A72,'Table 19 data'!$A$9:$W$184,$B$4+'Table 19 data'!L$4,0)</f>
        <v>63.5</v>
      </c>
    </row>
    <row r="73" spans="1:12" ht="11.25" customHeight="1" x14ac:dyDescent="0.2">
      <c r="A73" s="125" t="s">
        <v>134</v>
      </c>
      <c r="B73" s="142" t="s">
        <v>135</v>
      </c>
      <c r="C73" s="245">
        <f>VLOOKUP($A73,'Table 19 data'!$A$9:$W$184,$B$4+'Table 19 data'!C$4,0)</f>
        <v>8979</v>
      </c>
      <c r="D73" s="246">
        <f>VLOOKUP($A73,'Table 19 data'!$A$9:$W$184,$B$4+'Table 19 data'!D$4,0)</f>
        <v>59.7</v>
      </c>
      <c r="E73" s="245">
        <f>VLOOKUP($A73,'Table 19 data'!$A$9:$W$184,$B$4+'Table 19 data'!E$4,0)</f>
        <v>8981</v>
      </c>
      <c r="F73" s="246">
        <f>VLOOKUP($A73,'Table 19 data'!$A$9:$W$184,$B$4+'Table 19 data'!F$4,0)</f>
        <v>64.400000000000006</v>
      </c>
      <c r="G73" s="245">
        <f>VLOOKUP($A73,'Table 19 data'!$A$9:$W$184,$B$4+'Table 19 data'!G$4,0)</f>
        <v>8489</v>
      </c>
      <c r="H73" s="246">
        <f>VLOOKUP($A73,'Table 19 data'!$A$9:$W$184,$B$4+'Table 19 data'!H$4,0)</f>
        <v>70.3</v>
      </c>
      <c r="I73" s="245">
        <f>VLOOKUP($A73,'Table 19 data'!$A$9:$W$184,$B$4+'Table 19 data'!I$4,0)</f>
        <v>8446</v>
      </c>
      <c r="J73" s="246">
        <f>VLOOKUP($A73,'Table 19 data'!$A$9:$W$184,$B$4+'Table 19 data'!J$4,0)</f>
        <v>70.2</v>
      </c>
      <c r="K73" s="245">
        <f>VLOOKUP($A73,'Table 19 data'!$A$9:$W$184,$B$4+'Table 19 data'!K$4,0)</f>
        <v>8450</v>
      </c>
      <c r="L73" s="246">
        <f>VLOOKUP($A73,'Table 19 data'!$A$9:$W$184,$B$4+'Table 19 data'!L$4,0)</f>
        <v>71</v>
      </c>
    </row>
    <row r="74" spans="1:12" ht="11.25" customHeight="1" x14ac:dyDescent="0.2">
      <c r="A74" s="125" t="s">
        <v>136</v>
      </c>
      <c r="B74" s="142" t="s">
        <v>137</v>
      </c>
      <c r="C74" s="245">
        <f>VLOOKUP($A74,'Table 19 data'!$A$9:$W$184,$B$4+'Table 19 data'!C$4,0)</f>
        <v>463</v>
      </c>
      <c r="D74" s="246">
        <f>VLOOKUP($A74,'Table 19 data'!$A$9:$W$184,$B$4+'Table 19 data'!D$4,0)</f>
        <v>71.7</v>
      </c>
      <c r="E74" s="245">
        <f>VLOOKUP($A74,'Table 19 data'!$A$9:$W$184,$B$4+'Table 19 data'!E$4,0)</f>
        <v>486</v>
      </c>
      <c r="F74" s="246">
        <f>VLOOKUP($A74,'Table 19 data'!$A$9:$W$184,$B$4+'Table 19 data'!F$4,0)</f>
        <v>72.8</v>
      </c>
      <c r="G74" s="245">
        <f>VLOOKUP($A74,'Table 19 data'!$A$9:$W$184,$B$4+'Table 19 data'!G$4,0)</f>
        <v>441</v>
      </c>
      <c r="H74" s="246">
        <f>VLOOKUP($A74,'Table 19 data'!$A$9:$W$184,$B$4+'Table 19 data'!H$4,0)</f>
        <v>83.2</v>
      </c>
      <c r="I74" s="245">
        <f>VLOOKUP($A74,'Table 19 data'!$A$9:$W$184,$B$4+'Table 19 data'!I$4,0)</f>
        <v>467</v>
      </c>
      <c r="J74" s="246">
        <f>VLOOKUP($A74,'Table 19 data'!$A$9:$W$184,$B$4+'Table 19 data'!J$4,0)</f>
        <v>59.7</v>
      </c>
      <c r="K74" s="245">
        <f>VLOOKUP($A74,'Table 19 data'!$A$9:$W$184,$B$4+'Table 19 data'!K$4,0)</f>
        <v>463</v>
      </c>
      <c r="L74" s="246">
        <f>VLOOKUP($A74,'Table 19 data'!$A$9:$W$184,$B$4+'Table 19 data'!L$4,0)</f>
        <v>69.099999999999994</v>
      </c>
    </row>
    <row r="75" spans="1:12" ht="11.25" customHeight="1" x14ac:dyDescent="0.2">
      <c r="A75" s="3"/>
      <c r="B75" s="142"/>
      <c r="C75" s="247"/>
      <c r="D75" s="248"/>
      <c r="E75" s="247"/>
      <c r="F75" s="248"/>
      <c r="G75" s="247"/>
      <c r="H75" s="249"/>
      <c r="I75" s="250"/>
      <c r="J75" s="250"/>
      <c r="K75" s="250"/>
      <c r="L75" s="250"/>
    </row>
    <row r="76" spans="1:12" s="98" customFormat="1" ht="11.25" customHeight="1" x14ac:dyDescent="0.2">
      <c r="A76" s="17" t="s">
        <v>386</v>
      </c>
      <c r="B76" s="92" t="s">
        <v>138</v>
      </c>
      <c r="C76" s="243">
        <f>VLOOKUP($A76,'Table 19 data'!$A$9:$W$184,$B$4+'Table 19 data'!C$4,0)</f>
        <v>61951</v>
      </c>
      <c r="D76" s="244">
        <f>VLOOKUP($A76,'Table 19 data'!$A$9:$W$184,$B$4+'Table 19 data'!D$4,0)</f>
        <v>64.7</v>
      </c>
      <c r="E76" s="243">
        <f>VLOOKUP($A76,'Table 19 data'!$A$9:$W$184,$B$4+'Table 19 data'!E$4,0)</f>
        <v>61916</v>
      </c>
      <c r="F76" s="244">
        <f>VLOOKUP($A76,'Table 19 data'!$A$9:$W$184,$B$4+'Table 19 data'!F$4,0)</f>
        <v>70.900000000000006</v>
      </c>
      <c r="G76" s="243">
        <f>VLOOKUP($A76,'Table 19 data'!$A$9:$W$184,$B$4+'Table 19 data'!G$4,0)</f>
        <v>59918</v>
      </c>
      <c r="H76" s="244">
        <f>VLOOKUP($A76,'Table 19 data'!$A$9:$W$184,$B$4+'Table 19 data'!H$4,0)</f>
        <v>72.599999999999994</v>
      </c>
      <c r="I76" s="243">
        <f>VLOOKUP($A76,'Table 19 data'!$A$9:$W$184,$B$4+'Table 19 data'!I$4,0)</f>
        <v>60428</v>
      </c>
      <c r="J76" s="244">
        <f>VLOOKUP($A76,'Table 19 data'!$A$9:$W$184,$B$4+'Table 19 data'!J$4,0)</f>
        <v>69.599999999999994</v>
      </c>
      <c r="K76" s="243">
        <f>VLOOKUP($A76,'Table 19 data'!$A$9:$W$184,$B$4+'Table 19 data'!K$4,0)</f>
        <v>61585</v>
      </c>
      <c r="L76" s="244">
        <f>VLOOKUP($A76,'Table 19 data'!$A$9:$W$184,$B$4+'Table 19 data'!L$4,0)</f>
        <v>71.400000000000006</v>
      </c>
    </row>
    <row r="77" spans="1:12" ht="11.25" customHeight="1" x14ac:dyDescent="0.2">
      <c r="A77" s="125" t="s">
        <v>139</v>
      </c>
      <c r="B77" s="142" t="s">
        <v>140</v>
      </c>
      <c r="C77" s="245">
        <f>VLOOKUP($A77,'Table 19 data'!$A$9:$W$184,$B$4+'Table 19 data'!C$4,0)</f>
        <v>11518</v>
      </c>
      <c r="D77" s="246">
        <f>VLOOKUP($A77,'Table 19 data'!$A$9:$W$184,$B$4+'Table 19 data'!D$4,0)</f>
        <v>64.900000000000006</v>
      </c>
      <c r="E77" s="245">
        <f>VLOOKUP($A77,'Table 19 data'!$A$9:$W$184,$B$4+'Table 19 data'!E$4,0)</f>
        <v>11514</v>
      </c>
      <c r="F77" s="246">
        <f>VLOOKUP($A77,'Table 19 data'!$A$9:$W$184,$B$4+'Table 19 data'!F$4,0)</f>
        <v>72.599999999999994</v>
      </c>
      <c r="G77" s="245">
        <f>VLOOKUP($A77,'Table 19 data'!$A$9:$W$184,$B$4+'Table 19 data'!G$4,0)</f>
        <v>11322</v>
      </c>
      <c r="H77" s="246">
        <f>VLOOKUP($A77,'Table 19 data'!$A$9:$W$184,$B$4+'Table 19 data'!H$4,0)</f>
        <v>74.599999999999994</v>
      </c>
      <c r="I77" s="245">
        <f>VLOOKUP($A77,'Table 19 data'!$A$9:$W$184,$B$4+'Table 19 data'!I$4,0)</f>
        <v>11609</v>
      </c>
      <c r="J77" s="246">
        <f>VLOOKUP($A77,'Table 19 data'!$A$9:$W$184,$B$4+'Table 19 data'!J$4,0)</f>
        <v>73</v>
      </c>
      <c r="K77" s="245">
        <f>VLOOKUP($A77,'Table 19 data'!$A$9:$W$184,$B$4+'Table 19 data'!K$4,0)</f>
        <v>11763</v>
      </c>
      <c r="L77" s="246">
        <f>VLOOKUP($A77,'Table 19 data'!$A$9:$W$184,$B$4+'Table 19 data'!L$4,0)</f>
        <v>73.5</v>
      </c>
    </row>
    <row r="78" spans="1:12" ht="11.25" customHeight="1" x14ac:dyDescent="0.2">
      <c r="A78" s="125" t="s">
        <v>141</v>
      </c>
      <c r="B78" s="142" t="s">
        <v>142</v>
      </c>
      <c r="C78" s="245">
        <f>VLOOKUP($A78,'Table 19 data'!$A$9:$W$184,$B$4+'Table 19 data'!C$4,0)</f>
        <v>3308</v>
      </c>
      <c r="D78" s="246">
        <f>VLOOKUP($A78,'Table 19 data'!$A$9:$W$184,$B$4+'Table 19 data'!D$4,0)</f>
        <v>63.8</v>
      </c>
      <c r="E78" s="245">
        <f>VLOOKUP($A78,'Table 19 data'!$A$9:$W$184,$B$4+'Table 19 data'!E$4,0)</f>
        <v>3398</v>
      </c>
      <c r="F78" s="246">
        <f>VLOOKUP($A78,'Table 19 data'!$A$9:$W$184,$B$4+'Table 19 data'!F$4,0)</f>
        <v>69.900000000000006</v>
      </c>
      <c r="G78" s="245">
        <f>VLOOKUP($A78,'Table 19 data'!$A$9:$W$184,$B$4+'Table 19 data'!G$4,0)</f>
        <v>3196</v>
      </c>
      <c r="H78" s="246">
        <f>VLOOKUP($A78,'Table 19 data'!$A$9:$W$184,$B$4+'Table 19 data'!H$4,0)</f>
        <v>70.8</v>
      </c>
      <c r="I78" s="245">
        <f>VLOOKUP($A78,'Table 19 data'!$A$9:$W$184,$B$4+'Table 19 data'!I$4,0)</f>
        <v>3332</v>
      </c>
      <c r="J78" s="246">
        <f>VLOOKUP($A78,'Table 19 data'!$A$9:$W$184,$B$4+'Table 19 data'!J$4,0)</f>
        <v>70.5</v>
      </c>
      <c r="K78" s="245">
        <f>VLOOKUP($A78,'Table 19 data'!$A$9:$W$184,$B$4+'Table 19 data'!K$4,0)</f>
        <v>3370</v>
      </c>
      <c r="L78" s="246">
        <f>VLOOKUP($A78,'Table 19 data'!$A$9:$W$184,$B$4+'Table 19 data'!L$4,0)</f>
        <v>71.3</v>
      </c>
    </row>
    <row r="79" spans="1:12" ht="11.25" customHeight="1" x14ac:dyDescent="0.2">
      <c r="A79" s="125" t="s">
        <v>143</v>
      </c>
      <c r="B79" s="142" t="s">
        <v>144</v>
      </c>
      <c r="C79" s="245">
        <f>VLOOKUP($A79,'Table 19 data'!$A$9:$W$184,$B$4+'Table 19 data'!C$4,0)</f>
        <v>3856</v>
      </c>
      <c r="D79" s="246">
        <f>VLOOKUP($A79,'Table 19 data'!$A$9:$W$184,$B$4+'Table 19 data'!D$4,0)</f>
        <v>67.7</v>
      </c>
      <c r="E79" s="245">
        <f>VLOOKUP($A79,'Table 19 data'!$A$9:$W$184,$B$4+'Table 19 data'!E$4,0)</f>
        <v>3822</v>
      </c>
      <c r="F79" s="246">
        <f>VLOOKUP($A79,'Table 19 data'!$A$9:$W$184,$B$4+'Table 19 data'!F$4,0)</f>
        <v>73.3</v>
      </c>
      <c r="G79" s="245">
        <f>VLOOKUP($A79,'Table 19 data'!$A$9:$W$184,$B$4+'Table 19 data'!G$4,0)</f>
        <v>3666</v>
      </c>
      <c r="H79" s="246">
        <f>VLOOKUP($A79,'Table 19 data'!$A$9:$W$184,$B$4+'Table 19 data'!H$4,0)</f>
        <v>73.8</v>
      </c>
      <c r="I79" s="245">
        <f>VLOOKUP($A79,'Table 19 data'!$A$9:$W$184,$B$4+'Table 19 data'!I$4,0)</f>
        <v>3734</v>
      </c>
      <c r="J79" s="246">
        <f>VLOOKUP($A79,'Table 19 data'!$A$9:$W$184,$B$4+'Table 19 data'!J$4,0)</f>
        <v>68.099999999999994</v>
      </c>
      <c r="K79" s="245">
        <f>VLOOKUP($A79,'Table 19 data'!$A$9:$W$184,$B$4+'Table 19 data'!K$4,0)</f>
        <v>3773</v>
      </c>
      <c r="L79" s="246">
        <f>VLOOKUP($A79,'Table 19 data'!$A$9:$W$184,$B$4+'Table 19 data'!L$4,0)</f>
        <v>69.900000000000006</v>
      </c>
    </row>
    <row r="80" spans="1:12" ht="11.25" customHeight="1" x14ac:dyDescent="0.2">
      <c r="A80" s="125" t="s">
        <v>355</v>
      </c>
      <c r="B80" s="142" t="s">
        <v>145</v>
      </c>
      <c r="C80" s="245">
        <f>VLOOKUP($A80,'Table 19 data'!$A$9:$W$184,$B$4+'Table 19 data'!C$4,0)</f>
        <v>1832</v>
      </c>
      <c r="D80" s="246">
        <f>VLOOKUP($A80,'Table 19 data'!$A$9:$W$184,$B$4+'Table 19 data'!D$4,0)</f>
        <v>67</v>
      </c>
      <c r="E80" s="245">
        <f>VLOOKUP($A80,'Table 19 data'!$A$9:$W$184,$B$4+'Table 19 data'!E$4,0)</f>
        <v>1842</v>
      </c>
      <c r="F80" s="246">
        <f>VLOOKUP($A80,'Table 19 data'!$A$9:$W$184,$B$4+'Table 19 data'!F$4,0)</f>
        <v>72.8</v>
      </c>
      <c r="G80" s="245">
        <f>VLOOKUP($A80,'Table 19 data'!$A$9:$W$184,$B$4+'Table 19 data'!G$4,0)</f>
        <v>1764</v>
      </c>
      <c r="H80" s="246">
        <f>VLOOKUP($A80,'Table 19 data'!$A$9:$W$184,$B$4+'Table 19 data'!H$4,0)</f>
        <v>76</v>
      </c>
      <c r="I80" s="245">
        <f>VLOOKUP($A80,'Table 19 data'!$A$9:$W$184,$B$4+'Table 19 data'!I$4,0)</f>
        <v>1754</v>
      </c>
      <c r="J80" s="246">
        <f>VLOOKUP($A80,'Table 19 data'!$A$9:$W$184,$B$4+'Table 19 data'!J$4,0)</f>
        <v>65.2</v>
      </c>
      <c r="K80" s="245">
        <f>VLOOKUP($A80,'Table 19 data'!$A$9:$W$184,$B$4+'Table 19 data'!K$4,0)</f>
        <v>1724</v>
      </c>
      <c r="L80" s="246">
        <f>VLOOKUP($A80,'Table 19 data'!$A$9:$W$184,$B$4+'Table 19 data'!L$4,0)</f>
        <v>66.2</v>
      </c>
    </row>
    <row r="81" spans="1:12" ht="11.25" customHeight="1" x14ac:dyDescent="0.2">
      <c r="A81" s="125" t="s">
        <v>146</v>
      </c>
      <c r="B81" s="142" t="s">
        <v>147</v>
      </c>
      <c r="C81" s="245">
        <f>VLOOKUP($A81,'Table 19 data'!$A$9:$W$184,$B$4+'Table 19 data'!C$4,0)</f>
        <v>3450</v>
      </c>
      <c r="D81" s="246">
        <f>VLOOKUP($A81,'Table 19 data'!$A$9:$W$184,$B$4+'Table 19 data'!D$4,0)</f>
        <v>54.8</v>
      </c>
      <c r="E81" s="245">
        <f>VLOOKUP($A81,'Table 19 data'!$A$9:$W$184,$B$4+'Table 19 data'!E$4,0)</f>
        <v>3408</v>
      </c>
      <c r="F81" s="246">
        <f>VLOOKUP($A81,'Table 19 data'!$A$9:$W$184,$B$4+'Table 19 data'!F$4,0)</f>
        <v>62.5</v>
      </c>
      <c r="G81" s="245">
        <f>VLOOKUP($A81,'Table 19 data'!$A$9:$W$184,$B$4+'Table 19 data'!G$4,0)</f>
        <v>3394</v>
      </c>
      <c r="H81" s="246">
        <f>VLOOKUP($A81,'Table 19 data'!$A$9:$W$184,$B$4+'Table 19 data'!H$4,0)</f>
        <v>68.3</v>
      </c>
      <c r="I81" s="245">
        <f>VLOOKUP($A81,'Table 19 data'!$A$9:$W$184,$B$4+'Table 19 data'!I$4,0)</f>
        <v>3513</v>
      </c>
      <c r="J81" s="246">
        <f>VLOOKUP($A81,'Table 19 data'!$A$9:$W$184,$B$4+'Table 19 data'!J$4,0)</f>
        <v>65.3</v>
      </c>
      <c r="K81" s="245">
        <f>VLOOKUP($A81,'Table 19 data'!$A$9:$W$184,$B$4+'Table 19 data'!K$4,0)</f>
        <v>3537</v>
      </c>
      <c r="L81" s="246">
        <f>VLOOKUP($A81,'Table 19 data'!$A$9:$W$184,$B$4+'Table 19 data'!L$4,0)</f>
        <v>69.3</v>
      </c>
    </row>
    <row r="82" spans="1:12" ht="11.25" customHeight="1" x14ac:dyDescent="0.2">
      <c r="A82" s="125" t="s">
        <v>148</v>
      </c>
      <c r="B82" s="142" t="s">
        <v>149</v>
      </c>
      <c r="C82" s="245">
        <f>VLOOKUP($A82,'Table 19 data'!$A$9:$W$184,$B$4+'Table 19 data'!C$4,0)</f>
        <v>3081</v>
      </c>
      <c r="D82" s="246">
        <f>VLOOKUP($A82,'Table 19 data'!$A$9:$W$184,$B$4+'Table 19 data'!D$4,0)</f>
        <v>69.3</v>
      </c>
      <c r="E82" s="245">
        <f>VLOOKUP($A82,'Table 19 data'!$A$9:$W$184,$B$4+'Table 19 data'!E$4,0)</f>
        <v>3164</v>
      </c>
      <c r="F82" s="246">
        <f>VLOOKUP($A82,'Table 19 data'!$A$9:$W$184,$B$4+'Table 19 data'!F$4,0)</f>
        <v>69.7</v>
      </c>
      <c r="G82" s="245">
        <f>VLOOKUP($A82,'Table 19 data'!$A$9:$W$184,$B$4+'Table 19 data'!G$4,0)</f>
        <v>3067</v>
      </c>
      <c r="H82" s="246">
        <f>VLOOKUP($A82,'Table 19 data'!$A$9:$W$184,$B$4+'Table 19 data'!H$4,0)</f>
        <v>70.5</v>
      </c>
      <c r="I82" s="245">
        <f>VLOOKUP($A82,'Table 19 data'!$A$9:$W$184,$B$4+'Table 19 data'!I$4,0)</f>
        <v>2994</v>
      </c>
      <c r="J82" s="246">
        <f>VLOOKUP($A82,'Table 19 data'!$A$9:$W$184,$B$4+'Table 19 data'!J$4,0)</f>
        <v>66.099999999999994</v>
      </c>
      <c r="K82" s="245">
        <f>VLOOKUP($A82,'Table 19 data'!$A$9:$W$184,$B$4+'Table 19 data'!K$4,0)</f>
        <v>3129</v>
      </c>
      <c r="L82" s="246">
        <f>VLOOKUP($A82,'Table 19 data'!$A$9:$W$184,$B$4+'Table 19 data'!L$4,0)</f>
        <v>68.2</v>
      </c>
    </row>
    <row r="83" spans="1:12" ht="11.25" customHeight="1" x14ac:dyDescent="0.2">
      <c r="A83" s="125" t="s">
        <v>150</v>
      </c>
      <c r="B83" s="142" t="s">
        <v>151</v>
      </c>
      <c r="C83" s="245">
        <f>VLOOKUP($A83,'Table 19 data'!$A$9:$W$184,$B$4+'Table 19 data'!C$4,0)</f>
        <v>3008</v>
      </c>
      <c r="D83" s="246">
        <f>VLOOKUP($A83,'Table 19 data'!$A$9:$W$184,$B$4+'Table 19 data'!D$4,0)</f>
        <v>69.2</v>
      </c>
      <c r="E83" s="245">
        <f>VLOOKUP($A83,'Table 19 data'!$A$9:$W$184,$B$4+'Table 19 data'!E$4,0)</f>
        <v>3005</v>
      </c>
      <c r="F83" s="246">
        <f>VLOOKUP($A83,'Table 19 data'!$A$9:$W$184,$B$4+'Table 19 data'!F$4,0)</f>
        <v>75.3</v>
      </c>
      <c r="G83" s="245">
        <f>VLOOKUP($A83,'Table 19 data'!$A$9:$W$184,$B$4+'Table 19 data'!G$4,0)</f>
        <v>2937</v>
      </c>
      <c r="H83" s="246">
        <f>VLOOKUP($A83,'Table 19 data'!$A$9:$W$184,$B$4+'Table 19 data'!H$4,0)</f>
        <v>75.5</v>
      </c>
      <c r="I83" s="245">
        <f>VLOOKUP($A83,'Table 19 data'!$A$9:$W$184,$B$4+'Table 19 data'!I$4,0)</f>
        <v>2971</v>
      </c>
      <c r="J83" s="246">
        <f>VLOOKUP($A83,'Table 19 data'!$A$9:$W$184,$B$4+'Table 19 data'!J$4,0)</f>
        <v>71.7</v>
      </c>
      <c r="K83" s="245">
        <f>VLOOKUP($A83,'Table 19 data'!$A$9:$W$184,$B$4+'Table 19 data'!K$4,0)</f>
        <v>2955</v>
      </c>
      <c r="L83" s="246">
        <f>VLOOKUP($A83,'Table 19 data'!$A$9:$W$184,$B$4+'Table 19 data'!L$4,0)</f>
        <v>75.599999999999994</v>
      </c>
    </row>
    <row r="84" spans="1:12" ht="11.25" customHeight="1" x14ac:dyDescent="0.2">
      <c r="A84" s="125" t="s">
        <v>152</v>
      </c>
      <c r="B84" s="142" t="s">
        <v>153</v>
      </c>
      <c r="C84" s="245">
        <f>VLOOKUP($A84,'Table 19 data'!$A$9:$W$184,$B$4+'Table 19 data'!C$4,0)</f>
        <v>9460</v>
      </c>
      <c r="D84" s="246">
        <f>VLOOKUP($A84,'Table 19 data'!$A$9:$W$184,$B$4+'Table 19 data'!D$4,0)</f>
        <v>67.099999999999994</v>
      </c>
      <c r="E84" s="245">
        <f>VLOOKUP($A84,'Table 19 data'!$A$9:$W$184,$B$4+'Table 19 data'!E$4,0)</f>
        <v>9455</v>
      </c>
      <c r="F84" s="246">
        <f>VLOOKUP($A84,'Table 19 data'!$A$9:$W$184,$B$4+'Table 19 data'!F$4,0)</f>
        <v>72.7</v>
      </c>
      <c r="G84" s="245">
        <f>VLOOKUP($A84,'Table 19 data'!$A$9:$W$184,$B$4+'Table 19 data'!G$4,0)</f>
        <v>9026</v>
      </c>
      <c r="H84" s="246">
        <f>VLOOKUP($A84,'Table 19 data'!$A$9:$W$184,$B$4+'Table 19 data'!H$4,0)</f>
        <v>72.3</v>
      </c>
      <c r="I84" s="245">
        <f>VLOOKUP($A84,'Table 19 data'!$A$9:$W$184,$B$4+'Table 19 data'!I$4,0)</f>
        <v>9208</v>
      </c>
      <c r="J84" s="246">
        <f>VLOOKUP($A84,'Table 19 data'!$A$9:$W$184,$B$4+'Table 19 data'!J$4,0)</f>
        <v>69.2</v>
      </c>
      <c r="K84" s="245">
        <f>VLOOKUP($A84,'Table 19 data'!$A$9:$W$184,$B$4+'Table 19 data'!K$4,0)</f>
        <v>9345</v>
      </c>
      <c r="L84" s="246">
        <f>VLOOKUP($A84,'Table 19 data'!$A$9:$W$184,$B$4+'Table 19 data'!L$4,0)</f>
        <v>69.900000000000006</v>
      </c>
    </row>
    <row r="85" spans="1:12" ht="11.25" customHeight="1" x14ac:dyDescent="0.2">
      <c r="A85" s="125" t="s">
        <v>154</v>
      </c>
      <c r="B85" s="142" t="s">
        <v>155</v>
      </c>
      <c r="C85" s="245">
        <f>VLOOKUP($A85,'Table 19 data'!$A$9:$W$184,$B$4+'Table 19 data'!C$4,0)</f>
        <v>2573</v>
      </c>
      <c r="D85" s="246">
        <f>VLOOKUP($A85,'Table 19 data'!$A$9:$W$184,$B$4+'Table 19 data'!D$4,0)</f>
        <v>60.6</v>
      </c>
      <c r="E85" s="245">
        <f>VLOOKUP($A85,'Table 19 data'!$A$9:$W$184,$B$4+'Table 19 data'!E$4,0)</f>
        <v>2482</v>
      </c>
      <c r="F85" s="246">
        <f>VLOOKUP($A85,'Table 19 data'!$A$9:$W$184,$B$4+'Table 19 data'!F$4,0)</f>
        <v>68.400000000000006</v>
      </c>
      <c r="G85" s="245">
        <f>VLOOKUP($A85,'Table 19 data'!$A$9:$W$184,$B$4+'Table 19 data'!G$4,0)</f>
        <v>2448</v>
      </c>
      <c r="H85" s="246">
        <f>VLOOKUP($A85,'Table 19 data'!$A$9:$W$184,$B$4+'Table 19 data'!H$4,0)</f>
        <v>66.7</v>
      </c>
      <c r="I85" s="245">
        <f>VLOOKUP($A85,'Table 19 data'!$A$9:$W$184,$B$4+'Table 19 data'!I$4,0)</f>
        <v>2291</v>
      </c>
      <c r="J85" s="246">
        <f>VLOOKUP($A85,'Table 19 data'!$A$9:$W$184,$B$4+'Table 19 data'!J$4,0)</f>
        <v>67.3</v>
      </c>
      <c r="K85" s="245">
        <f>VLOOKUP($A85,'Table 19 data'!$A$9:$W$184,$B$4+'Table 19 data'!K$4,0)</f>
        <v>2494</v>
      </c>
      <c r="L85" s="246">
        <f>VLOOKUP($A85,'Table 19 data'!$A$9:$W$184,$B$4+'Table 19 data'!L$4,0)</f>
        <v>64.7</v>
      </c>
    </row>
    <row r="86" spans="1:12" ht="11.25" customHeight="1" x14ac:dyDescent="0.2">
      <c r="A86" s="125" t="s">
        <v>156</v>
      </c>
      <c r="B86" s="142" t="s">
        <v>157</v>
      </c>
      <c r="C86" s="245">
        <f>VLOOKUP($A86,'Table 19 data'!$A$9:$W$184,$B$4+'Table 19 data'!C$4,0)</f>
        <v>2042</v>
      </c>
      <c r="D86" s="246">
        <f>VLOOKUP($A86,'Table 19 data'!$A$9:$W$184,$B$4+'Table 19 data'!D$4,0)</f>
        <v>59.6</v>
      </c>
      <c r="E86" s="245">
        <f>VLOOKUP($A86,'Table 19 data'!$A$9:$W$184,$B$4+'Table 19 data'!E$4,0)</f>
        <v>2051</v>
      </c>
      <c r="F86" s="246">
        <f>VLOOKUP($A86,'Table 19 data'!$A$9:$W$184,$B$4+'Table 19 data'!F$4,0)</f>
        <v>67.599999999999994</v>
      </c>
      <c r="G86" s="245">
        <f>VLOOKUP($A86,'Table 19 data'!$A$9:$W$184,$B$4+'Table 19 data'!G$4,0)</f>
        <v>1940</v>
      </c>
      <c r="H86" s="246">
        <f>VLOOKUP($A86,'Table 19 data'!$A$9:$W$184,$B$4+'Table 19 data'!H$4,0)</f>
        <v>67.599999999999994</v>
      </c>
      <c r="I86" s="245">
        <f>VLOOKUP($A86,'Table 19 data'!$A$9:$W$184,$B$4+'Table 19 data'!I$4,0)</f>
        <v>1901</v>
      </c>
      <c r="J86" s="246">
        <f>VLOOKUP($A86,'Table 19 data'!$A$9:$W$184,$B$4+'Table 19 data'!J$4,0)</f>
        <v>67.099999999999994</v>
      </c>
      <c r="K86" s="245">
        <f>VLOOKUP($A86,'Table 19 data'!$A$9:$W$184,$B$4+'Table 19 data'!K$4,0)</f>
        <v>1991</v>
      </c>
      <c r="L86" s="246">
        <f>VLOOKUP($A86,'Table 19 data'!$A$9:$W$184,$B$4+'Table 19 data'!L$4,0)</f>
        <v>69.900000000000006</v>
      </c>
    </row>
    <row r="87" spans="1:12" ht="11.25" customHeight="1" x14ac:dyDescent="0.2">
      <c r="A87" s="125" t="s">
        <v>158</v>
      </c>
      <c r="B87" s="142" t="s">
        <v>159</v>
      </c>
      <c r="C87" s="245">
        <f>VLOOKUP($A87,'Table 19 data'!$A$9:$W$184,$B$4+'Table 19 data'!C$4,0)</f>
        <v>3580</v>
      </c>
      <c r="D87" s="246">
        <f>VLOOKUP($A87,'Table 19 data'!$A$9:$W$184,$B$4+'Table 19 data'!D$4,0)</f>
        <v>58.1</v>
      </c>
      <c r="E87" s="245">
        <f>VLOOKUP($A87,'Table 19 data'!$A$9:$W$184,$B$4+'Table 19 data'!E$4,0)</f>
        <v>3468</v>
      </c>
      <c r="F87" s="246">
        <f>VLOOKUP($A87,'Table 19 data'!$A$9:$W$184,$B$4+'Table 19 data'!F$4,0)</f>
        <v>64.5</v>
      </c>
      <c r="G87" s="245">
        <f>VLOOKUP($A87,'Table 19 data'!$A$9:$W$184,$B$4+'Table 19 data'!G$4,0)</f>
        <v>3317</v>
      </c>
      <c r="H87" s="246">
        <f>VLOOKUP($A87,'Table 19 data'!$A$9:$W$184,$B$4+'Table 19 data'!H$4,0)</f>
        <v>68.900000000000006</v>
      </c>
      <c r="I87" s="245">
        <f>VLOOKUP($A87,'Table 19 data'!$A$9:$W$184,$B$4+'Table 19 data'!I$4,0)</f>
        <v>3258</v>
      </c>
      <c r="J87" s="246">
        <f>VLOOKUP($A87,'Table 19 data'!$A$9:$W$184,$B$4+'Table 19 data'!J$4,0)</f>
        <v>62.2</v>
      </c>
      <c r="K87" s="245">
        <f>VLOOKUP($A87,'Table 19 data'!$A$9:$W$184,$B$4+'Table 19 data'!K$4,0)</f>
        <v>3339</v>
      </c>
      <c r="L87" s="246">
        <f>VLOOKUP($A87,'Table 19 data'!$A$9:$W$184,$B$4+'Table 19 data'!L$4,0)</f>
        <v>66.900000000000006</v>
      </c>
    </row>
    <row r="88" spans="1:12" ht="11.25" customHeight="1" x14ac:dyDescent="0.2">
      <c r="A88" s="125" t="s">
        <v>160</v>
      </c>
      <c r="B88" s="142" t="s">
        <v>161</v>
      </c>
      <c r="C88" s="245">
        <f>VLOOKUP($A88,'Table 19 data'!$A$9:$W$184,$B$4+'Table 19 data'!C$4,0)</f>
        <v>5713</v>
      </c>
      <c r="D88" s="246">
        <f>VLOOKUP($A88,'Table 19 data'!$A$9:$W$184,$B$4+'Table 19 data'!D$4,0)</f>
        <v>68.5</v>
      </c>
      <c r="E88" s="245">
        <f>VLOOKUP($A88,'Table 19 data'!$A$9:$W$184,$B$4+'Table 19 data'!E$4,0)</f>
        <v>5899</v>
      </c>
      <c r="F88" s="246">
        <f>VLOOKUP($A88,'Table 19 data'!$A$9:$W$184,$B$4+'Table 19 data'!F$4,0)</f>
        <v>74.8</v>
      </c>
      <c r="G88" s="245">
        <f>VLOOKUP($A88,'Table 19 data'!$A$9:$W$184,$B$4+'Table 19 data'!G$4,0)</f>
        <v>5715</v>
      </c>
      <c r="H88" s="246">
        <f>VLOOKUP($A88,'Table 19 data'!$A$9:$W$184,$B$4+'Table 19 data'!H$4,0)</f>
        <v>75.900000000000006</v>
      </c>
      <c r="I88" s="245">
        <f>VLOOKUP($A88,'Table 19 data'!$A$9:$W$184,$B$4+'Table 19 data'!I$4,0)</f>
        <v>5643</v>
      </c>
      <c r="J88" s="246">
        <f>VLOOKUP($A88,'Table 19 data'!$A$9:$W$184,$B$4+'Table 19 data'!J$4,0)</f>
        <v>72.3</v>
      </c>
      <c r="K88" s="245">
        <f>VLOOKUP($A88,'Table 19 data'!$A$9:$W$184,$B$4+'Table 19 data'!K$4,0)</f>
        <v>5819</v>
      </c>
      <c r="L88" s="246">
        <f>VLOOKUP($A88,'Table 19 data'!$A$9:$W$184,$B$4+'Table 19 data'!L$4,0)</f>
        <v>75.400000000000006</v>
      </c>
    </row>
    <row r="89" spans="1:12" ht="11.25" customHeight="1" x14ac:dyDescent="0.2">
      <c r="A89" s="125" t="s">
        <v>162</v>
      </c>
      <c r="B89" s="142" t="s">
        <v>163</v>
      </c>
      <c r="C89" s="245">
        <f>VLOOKUP($A89,'Table 19 data'!$A$9:$W$184,$B$4+'Table 19 data'!C$4,0)</f>
        <v>2598</v>
      </c>
      <c r="D89" s="246">
        <f>VLOOKUP($A89,'Table 19 data'!$A$9:$W$184,$B$4+'Table 19 data'!D$4,0)</f>
        <v>61.7</v>
      </c>
      <c r="E89" s="245">
        <f>VLOOKUP($A89,'Table 19 data'!$A$9:$W$184,$B$4+'Table 19 data'!E$4,0)</f>
        <v>2575</v>
      </c>
      <c r="F89" s="246">
        <f>VLOOKUP($A89,'Table 19 data'!$A$9:$W$184,$B$4+'Table 19 data'!F$4,0)</f>
        <v>66.7</v>
      </c>
      <c r="G89" s="245">
        <f>VLOOKUP($A89,'Table 19 data'!$A$9:$W$184,$B$4+'Table 19 data'!G$4,0)</f>
        <v>2391</v>
      </c>
      <c r="H89" s="246">
        <f>VLOOKUP($A89,'Table 19 data'!$A$9:$W$184,$B$4+'Table 19 data'!H$4,0)</f>
        <v>73.5</v>
      </c>
      <c r="I89" s="245">
        <f>VLOOKUP($A89,'Table 19 data'!$A$9:$W$184,$B$4+'Table 19 data'!I$4,0)</f>
        <v>2456</v>
      </c>
      <c r="J89" s="246">
        <f>VLOOKUP($A89,'Table 19 data'!$A$9:$W$184,$B$4+'Table 19 data'!J$4,0)</f>
        <v>71.599999999999994</v>
      </c>
      <c r="K89" s="245">
        <f>VLOOKUP($A89,'Table 19 data'!$A$9:$W$184,$B$4+'Table 19 data'!K$4,0)</f>
        <v>2493</v>
      </c>
      <c r="L89" s="246">
        <f>VLOOKUP($A89,'Table 19 data'!$A$9:$W$184,$B$4+'Table 19 data'!L$4,0)</f>
        <v>72.599999999999994</v>
      </c>
    </row>
    <row r="90" spans="1:12" ht="11.25" customHeight="1" x14ac:dyDescent="0.2">
      <c r="A90" s="125" t="s">
        <v>164</v>
      </c>
      <c r="B90" s="142" t="s">
        <v>165</v>
      </c>
      <c r="C90" s="245">
        <f>VLOOKUP($A90,'Table 19 data'!$A$9:$W$184,$B$4+'Table 19 data'!C$4,0)</f>
        <v>5932</v>
      </c>
      <c r="D90" s="246">
        <f>VLOOKUP($A90,'Table 19 data'!$A$9:$W$184,$B$4+'Table 19 data'!D$4,0)</f>
        <v>64.8</v>
      </c>
      <c r="E90" s="245">
        <f>VLOOKUP($A90,'Table 19 data'!$A$9:$W$184,$B$4+'Table 19 data'!E$4,0)</f>
        <v>5833</v>
      </c>
      <c r="F90" s="246">
        <f>VLOOKUP($A90,'Table 19 data'!$A$9:$W$184,$B$4+'Table 19 data'!F$4,0)</f>
        <v>70.5</v>
      </c>
      <c r="G90" s="245">
        <f>VLOOKUP($A90,'Table 19 data'!$A$9:$W$184,$B$4+'Table 19 data'!G$4,0)</f>
        <v>5735</v>
      </c>
      <c r="H90" s="246">
        <f>VLOOKUP($A90,'Table 19 data'!$A$9:$W$184,$B$4+'Table 19 data'!H$4,0)</f>
        <v>73.5</v>
      </c>
      <c r="I90" s="245">
        <f>VLOOKUP($A90,'Table 19 data'!$A$9:$W$184,$B$4+'Table 19 data'!I$4,0)</f>
        <v>5764</v>
      </c>
      <c r="J90" s="246">
        <f>VLOOKUP($A90,'Table 19 data'!$A$9:$W$184,$B$4+'Table 19 data'!J$4,0)</f>
        <v>71.400000000000006</v>
      </c>
      <c r="K90" s="245">
        <f>VLOOKUP($A90,'Table 19 data'!$A$9:$W$184,$B$4+'Table 19 data'!K$4,0)</f>
        <v>5853</v>
      </c>
      <c r="L90" s="246">
        <f>VLOOKUP($A90,'Table 19 data'!$A$9:$W$184,$B$4+'Table 19 data'!L$4,0)</f>
        <v>74.5</v>
      </c>
    </row>
    <row r="91" spans="1:12" ht="11.25" customHeight="1" x14ac:dyDescent="0.2">
      <c r="A91" s="3"/>
      <c r="B91" s="142"/>
      <c r="C91" s="247"/>
      <c r="D91" s="248"/>
      <c r="E91" s="247"/>
      <c r="F91" s="248"/>
      <c r="G91" s="247"/>
      <c r="H91" s="249"/>
      <c r="I91" s="250"/>
      <c r="J91" s="250"/>
      <c r="K91" s="250"/>
      <c r="L91" s="250"/>
    </row>
    <row r="92" spans="1:12" s="98" customFormat="1" ht="11.25" customHeight="1" x14ac:dyDescent="0.2">
      <c r="A92" s="17" t="s">
        <v>383</v>
      </c>
      <c r="B92" s="92" t="s">
        <v>166</v>
      </c>
      <c r="C92" s="243">
        <f>VLOOKUP($A92,'Table 19 data'!$A$9:$W$184,$B$4+'Table 19 data'!C$4,0)</f>
        <v>62625</v>
      </c>
      <c r="D92" s="244">
        <f>VLOOKUP($A92,'Table 19 data'!$A$9:$W$184,$B$4+'Table 19 data'!D$4,0)</f>
        <v>66.7</v>
      </c>
      <c r="E92" s="243">
        <f>VLOOKUP($A92,'Table 19 data'!$A$9:$W$184,$B$4+'Table 19 data'!E$4,0)</f>
        <v>63200</v>
      </c>
      <c r="F92" s="244">
        <f>VLOOKUP($A92,'Table 19 data'!$A$9:$W$184,$B$4+'Table 19 data'!F$4,0)</f>
        <v>71.3</v>
      </c>
      <c r="G92" s="243">
        <f>VLOOKUP($A92,'Table 19 data'!$A$9:$W$184,$B$4+'Table 19 data'!G$4,0)</f>
        <v>61371</v>
      </c>
      <c r="H92" s="244">
        <f>VLOOKUP($A92,'Table 19 data'!$A$9:$W$184,$B$4+'Table 19 data'!H$4,0)</f>
        <v>72.900000000000006</v>
      </c>
      <c r="I92" s="243">
        <f>VLOOKUP($A92,'Table 19 data'!$A$9:$W$184,$B$4+'Table 19 data'!I$4,0)</f>
        <v>60815</v>
      </c>
      <c r="J92" s="244">
        <f>VLOOKUP($A92,'Table 19 data'!$A$9:$W$184,$B$4+'Table 19 data'!J$4,0)</f>
        <v>67.599999999999994</v>
      </c>
      <c r="K92" s="243">
        <f>VLOOKUP($A92,'Table 19 data'!$A$9:$W$184,$B$4+'Table 19 data'!K$4,0)</f>
        <v>62172</v>
      </c>
      <c r="L92" s="244">
        <f>VLOOKUP($A92,'Table 19 data'!$A$9:$W$184,$B$4+'Table 19 data'!L$4,0)</f>
        <v>70.099999999999994</v>
      </c>
    </row>
    <row r="93" spans="1:12" ht="11.25" customHeight="1" x14ac:dyDescent="0.2">
      <c r="A93" s="125" t="s">
        <v>167</v>
      </c>
      <c r="B93" s="126" t="s">
        <v>168</v>
      </c>
      <c r="C93" s="245">
        <f>VLOOKUP($A93,'Table 19 data'!$A$9:$W$184,$B$4+'Table 19 data'!C$4,0)</f>
        <v>1737</v>
      </c>
      <c r="D93" s="246">
        <f>VLOOKUP($A93,'Table 19 data'!$A$9:$W$184,$B$4+'Table 19 data'!D$4,0)</f>
        <v>66.7</v>
      </c>
      <c r="E93" s="245">
        <f>VLOOKUP($A93,'Table 19 data'!$A$9:$W$184,$B$4+'Table 19 data'!E$4,0)</f>
        <v>1743</v>
      </c>
      <c r="F93" s="246">
        <f>VLOOKUP($A93,'Table 19 data'!$A$9:$W$184,$B$4+'Table 19 data'!F$4,0)</f>
        <v>70.3</v>
      </c>
      <c r="G93" s="245">
        <f>VLOOKUP($A93,'Table 19 data'!$A$9:$W$184,$B$4+'Table 19 data'!G$4,0)</f>
        <v>1686</v>
      </c>
      <c r="H93" s="246">
        <f>VLOOKUP($A93,'Table 19 data'!$A$9:$W$184,$B$4+'Table 19 data'!H$4,0)</f>
        <v>76.599999999999994</v>
      </c>
      <c r="I93" s="245">
        <f>VLOOKUP($A93,'Table 19 data'!$A$9:$W$184,$B$4+'Table 19 data'!I$4,0)</f>
        <v>1732</v>
      </c>
      <c r="J93" s="246">
        <f>VLOOKUP($A93,'Table 19 data'!$A$9:$W$184,$B$4+'Table 19 data'!J$4,0)</f>
        <v>67.099999999999994</v>
      </c>
      <c r="K93" s="245">
        <f>VLOOKUP($A93,'Table 19 data'!$A$9:$W$184,$B$4+'Table 19 data'!K$4,0)</f>
        <v>1785</v>
      </c>
      <c r="L93" s="246">
        <f>VLOOKUP($A93,'Table 19 data'!$A$9:$W$184,$B$4+'Table 19 data'!L$4,0)</f>
        <v>71.3</v>
      </c>
    </row>
    <row r="94" spans="1:12" ht="11.25" customHeight="1" x14ac:dyDescent="0.2">
      <c r="A94" s="125" t="s">
        <v>169</v>
      </c>
      <c r="B94" s="142" t="s">
        <v>170</v>
      </c>
      <c r="C94" s="245">
        <f>VLOOKUP($A94,'Table 19 data'!$A$9:$W$184,$B$4+'Table 19 data'!C$4,0)</f>
        <v>5605</v>
      </c>
      <c r="D94" s="246">
        <f>VLOOKUP($A94,'Table 19 data'!$A$9:$W$184,$B$4+'Table 19 data'!D$4,0)</f>
        <v>70.2</v>
      </c>
      <c r="E94" s="245">
        <f>VLOOKUP($A94,'Table 19 data'!$A$9:$W$184,$B$4+'Table 19 data'!E$4,0)</f>
        <v>5835</v>
      </c>
      <c r="F94" s="246">
        <f>VLOOKUP($A94,'Table 19 data'!$A$9:$W$184,$B$4+'Table 19 data'!F$4,0)</f>
        <v>72.599999999999994</v>
      </c>
      <c r="G94" s="245">
        <f>VLOOKUP($A94,'Table 19 data'!$A$9:$W$184,$B$4+'Table 19 data'!G$4,0)</f>
        <v>5700</v>
      </c>
      <c r="H94" s="246">
        <f>VLOOKUP($A94,'Table 19 data'!$A$9:$W$184,$B$4+'Table 19 data'!H$4,0)</f>
        <v>73.400000000000006</v>
      </c>
      <c r="I94" s="245">
        <f>VLOOKUP($A94,'Table 19 data'!$A$9:$W$184,$B$4+'Table 19 data'!I$4,0)</f>
        <v>5624</v>
      </c>
      <c r="J94" s="246">
        <f>VLOOKUP($A94,'Table 19 data'!$A$9:$W$184,$B$4+'Table 19 data'!J$4,0)</f>
        <v>69.099999999999994</v>
      </c>
      <c r="K94" s="245">
        <f>VLOOKUP($A94,'Table 19 data'!$A$9:$W$184,$B$4+'Table 19 data'!K$4,0)</f>
        <v>5779</v>
      </c>
      <c r="L94" s="246">
        <f>VLOOKUP($A94,'Table 19 data'!$A$9:$W$184,$B$4+'Table 19 data'!L$4,0)</f>
        <v>72.099999999999994</v>
      </c>
    </row>
    <row r="95" spans="1:12" ht="11.25" customHeight="1" x14ac:dyDescent="0.2">
      <c r="A95" s="125" t="s">
        <v>171</v>
      </c>
      <c r="B95" s="126" t="s">
        <v>172</v>
      </c>
      <c r="C95" s="245">
        <f>VLOOKUP($A95,'Table 19 data'!$A$9:$W$184,$B$4+'Table 19 data'!C$4,0)</f>
        <v>2769</v>
      </c>
      <c r="D95" s="246">
        <f>VLOOKUP($A95,'Table 19 data'!$A$9:$W$184,$B$4+'Table 19 data'!D$4,0)</f>
        <v>64.599999999999994</v>
      </c>
      <c r="E95" s="245">
        <f>VLOOKUP($A95,'Table 19 data'!$A$9:$W$184,$B$4+'Table 19 data'!E$4,0)</f>
        <v>2882</v>
      </c>
      <c r="F95" s="246">
        <f>VLOOKUP($A95,'Table 19 data'!$A$9:$W$184,$B$4+'Table 19 data'!F$4,0)</f>
        <v>68.900000000000006</v>
      </c>
      <c r="G95" s="245">
        <f>VLOOKUP($A95,'Table 19 data'!$A$9:$W$184,$B$4+'Table 19 data'!G$4,0)</f>
        <v>2725</v>
      </c>
      <c r="H95" s="246">
        <f>VLOOKUP($A95,'Table 19 data'!$A$9:$W$184,$B$4+'Table 19 data'!H$4,0)</f>
        <v>72.5</v>
      </c>
      <c r="I95" s="245">
        <f>VLOOKUP($A95,'Table 19 data'!$A$9:$W$184,$B$4+'Table 19 data'!I$4,0)</f>
        <v>2806</v>
      </c>
      <c r="J95" s="246">
        <f>VLOOKUP($A95,'Table 19 data'!$A$9:$W$184,$B$4+'Table 19 data'!J$4,0)</f>
        <v>65.099999999999994</v>
      </c>
      <c r="K95" s="245">
        <f>VLOOKUP($A95,'Table 19 data'!$A$9:$W$184,$B$4+'Table 19 data'!K$4,0)</f>
        <v>2738</v>
      </c>
      <c r="L95" s="246">
        <f>VLOOKUP($A95,'Table 19 data'!$A$9:$W$184,$B$4+'Table 19 data'!L$4,0)</f>
        <v>65.5</v>
      </c>
    </row>
    <row r="96" spans="1:12" ht="11.25" customHeight="1" x14ac:dyDescent="0.2">
      <c r="A96" s="125" t="s">
        <v>173</v>
      </c>
      <c r="B96" s="142" t="s">
        <v>174</v>
      </c>
      <c r="C96" s="245">
        <f>VLOOKUP($A96,'Table 19 data'!$A$9:$W$184,$B$4+'Table 19 data'!C$4,0)</f>
        <v>15638</v>
      </c>
      <c r="D96" s="246">
        <f>VLOOKUP($A96,'Table 19 data'!$A$9:$W$184,$B$4+'Table 19 data'!D$4,0)</f>
        <v>64</v>
      </c>
      <c r="E96" s="245">
        <f>VLOOKUP($A96,'Table 19 data'!$A$9:$W$184,$B$4+'Table 19 data'!E$4,0)</f>
        <v>15703</v>
      </c>
      <c r="F96" s="246">
        <f>VLOOKUP($A96,'Table 19 data'!$A$9:$W$184,$B$4+'Table 19 data'!F$4,0)</f>
        <v>69.5</v>
      </c>
      <c r="G96" s="245">
        <f>VLOOKUP($A96,'Table 19 data'!$A$9:$W$184,$B$4+'Table 19 data'!G$4,0)</f>
        <v>15102</v>
      </c>
      <c r="H96" s="246">
        <f>VLOOKUP($A96,'Table 19 data'!$A$9:$W$184,$B$4+'Table 19 data'!H$4,0)</f>
        <v>72.400000000000006</v>
      </c>
      <c r="I96" s="245">
        <f>VLOOKUP($A96,'Table 19 data'!$A$9:$W$184,$B$4+'Table 19 data'!I$4,0)</f>
        <v>14953</v>
      </c>
      <c r="J96" s="246">
        <f>VLOOKUP($A96,'Table 19 data'!$A$9:$W$184,$B$4+'Table 19 data'!J$4,0)</f>
        <v>67.3</v>
      </c>
      <c r="K96" s="245">
        <f>VLOOKUP($A96,'Table 19 data'!$A$9:$W$184,$B$4+'Table 19 data'!K$4,0)</f>
        <v>15115</v>
      </c>
      <c r="L96" s="246">
        <f>VLOOKUP($A96,'Table 19 data'!$A$9:$W$184,$B$4+'Table 19 data'!L$4,0)</f>
        <v>70.099999999999994</v>
      </c>
    </row>
    <row r="97" spans="1:12" ht="11.25" customHeight="1" x14ac:dyDescent="0.2">
      <c r="A97" s="125" t="s">
        <v>175</v>
      </c>
      <c r="B97" s="142" t="s">
        <v>176</v>
      </c>
      <c r="C97" s="245">
        <f>VLOOKUP($A97,'Table 19 data'!$A$9:$W$184,$B$4+'Table 19 data'!C$4,0)</f>
        <v>12470</v>
      </c>
      <c r="D97" s="246">
        <f>VLOOKUP($A97,'Table 19 data'!$A$9:$W$184,$B$4+'Table 19 data'!D$4,0)</f>
        <v>71.7</v>
      </c>
      <c r="E97" s="245">
        <f>VLOOKUP($A97,'Table 19 data'!$A$9:$W$184,$B$4+'Table 19 data'!E$4,0)</f>
        <v>12553</v>
      </c>
      <c r="F97" s="246">
        <f>VLOOKUP($A97,'Table 19 data'!$A$9:$W$184,$B$4+'Table 19 data'!F$4,0)</f>
        <v>76.7</v>
      </c>
      <c r="G97" s="245">
        <f>VLOOKUP($A97,'Table 19 data'!$A$9:$W$184,$B$4+'Table 19 data'!G$4,0)</f>
        <v>12341</v>
      </c>
      <c r="H97" s="246">
        <f>VLOOKUP($A97,'Table 19 data'!$A$9:$W$184,$B$4+'Table 19 data'!H$4,0)</f>
        <v>77.2</v>
      </c>
      <c r="I97" s="245">
        <f>VLOOKUP($A97,'Table 19 data'!$A$9:$W$184,$B$4+'Table 19 data'!I$4,0)</f>
        <v>12105</v>
      </c>
      <c r="J97" s="246">
        <f>VLOOKUP($A97,'Table 19 data'!$A$9:$W$184,$B$4+'Table 19 data'!J$4,0)</f>
        <v>71.2</v>
      </c>
      <c r="K97" s="245">
        <f>VLOOKUP($A97,'Table 19 data'!$A$9:$W$184,$B$4+'Table 19 data'!K$4,0)</f>
        <v>12438</v>
      </c>
      <c r="L97" s="246">
        <f>VLOOKUP($A97,'Table 19 data'!$A$9:$W$184,$B$4+'Table 19 data'!L$4,0)</f>
        <v>73.5</v>
      </c>
    </row>
    <row r="98" spans="1:12" ht="11.25" customHeight="1" x14ac:dyDescent="0.2">
      <c r="A98" s="125" t="s">
        <v>177</v>
      </c>
      <c r="B98" s="142" t="s">
        <v>178</v>
      </c>
      <c r="C98" s="245">
        <f>VLOOKUP($A98,'Table 19 data'!$A$9:$W$184,$B$4+'Table 19 data'!C$4,0)</f>
        <v>2237</v>
      </c>
      <c r="D98" s="246">
        <f>VLOOKUP($A98,'Table 19 data'!$A$9:$W$184,$B$4+'Table 19 data'!D$4,0)</f>
        <v>63.6</v>
      </c>
      <c r="E98" s="245">
        <f>VLOOKUP($A98,'Table 19 data'!$A$9:$W$184,$B$4+'Table 19 data'!E$4,0)</f>
        <v>2230</v>
      </c>
      <c r="F98" s="246">
        <f>VLOOKUP($A98,'Table 19 data'!$A$9:$W$184,$B$4+'Table 19 data'!F$4,0)</f>
        <v>71.5</v>
      </c>
      <c r="G98" s="245">
        <f>VLOOKUP($A98,'Table 19 data'!$A$9:$W$184,$B$4+'Table 19 data'!G$4,0)</f>
        <v>2205</v>
      </c>
      <c r="H98" s="246">
        <f>VLOOKUP($A98,'Table 19 data'!$A$9:$W$184,$B$4+'Table 19 data'!H$4,0)</f>
        <v>69.599999999999994</v>
      </c>
      <c r="I98" s="245">
        <f>VLOOKUP($A98,'Table 19 data'!$A$9:$W$184,$B$4+'Table 19 data'!I$4,0)</f>
        <v>2280</v>
      </c>
      <c r="J98" s="246">
        <f>VLOOKUP($A98,'Table 19 data'!$A$9:$W$184,$B$4+'Table 19 data'!J$4,0)</f>
        <v>70</v>
      </c>
      <c r="K98" s="245">
        <f>VLOOKUP($A98,'Table 19 data'!$A$9:$W$184,$B$4+'Table 19 data'!K$4,0)</f>
        <v>2297</v>
      </c>
      <c r="L98" s="246">
        <f>VLOOKUP($A98,'Table 19 data'!$A$9:$W$184,$B$4+'Table 19 data'!L$4,0)</f>
        <v>73.400000000000006</v>
      </c>
    </row>
    <row r="99" spans="1:12" ht="11.25" customHeight="1" x14ac:dyDescent="0.2">
      <c r="A99" s="125" t="s">
        <v>179</v>
      </c>
      <c r="B99" s="142" t="s">
        <v>180</v>
      </c>
      <c r="C99" s="245">
        <f>VLOOKUP($A99,'Table 19 data'!$A$9:$W$184,$B$4+'Table 19 data'!C$4,0)</f>
        <v>8587</v>
      </c>
      <c r="D99" s="246">
        <f>VLOOKUP($A99,'Table 19 data'!$A$9:$W$184,$B$4+'Table 19 data'!D$4,0)</f>
        <v>65.2</v>
      </c>
      <c r="E99" s="245">
        <f>VLOOKUP($A99,'Table 19 data'!$A$9:$W$184,$B$4+'Table 19 data'!E$4,0)</f>
        <v>8770</v>
      </c>
      <c r="F99" s="246">
        <f>VLOOKUP($A99,'Table 19 data'!$A$9:$W$184,$B$4+'Table 19 data'!F$4,0)</f>
        <v>67.599999999999994</v>
      </c>
      <c r="G99" s="245">
        <f>VLOOKUP($A99,'Table 19 data'!$A$9:$W$184,$B$4+'Table 19 data'!G$4,0)</f>
        <v>8520</v>
      </c>
      <c r="H99" s="246">
        <f>VLOOKUP($A99,'Table 19 data'!$A$9:$W$184,$B$4+'Table 19 data'!H$4,0)</f>
        <v>70.099999999999994</v>
      </c>
      <c r="I99" s="245">
        <f>VLOOKUP($A99,'Table 19 data'!$A$9:$W$184,$B$4+'Table 19 data'!I$4,0)</f>
        <v>8278</v>
      </c>
      <c r="J99" s="246">
        <f>VLOOKUP($A99,'Table 19 data'!$A$9:$W$184,$B$4+'Table 19 data'!J$4,0)</f>
        <v>67.599999999999994</v>
      </c>
      <c r="K99" s="245">
        <f>VLOOKUP($A99,'Table 19 data'!$A$9:$W$184,$B$4+'Table 19 data'!K$4,0)</f>
        <v>8586</v>
      </c>
      <c r="L99" s="246">
        <f>VLOOKUP($A99,'Table 19 data'!$A$9:$W$184,$B$4+'Table 19 data'!L$4,0)</f>
        <v>67.099999999999994</v>
      </c>
    </row>
    <row r="100" spans="1:12" ht="11.25" customHeight="1" x14ac:dyDescent="0.2">
      <c r="A100" s="125" t="s">
        <v>181</v>
      </c>
      <c r="B100" s="142" t="s">
        <v>182</v>
      </c>
      <c r="C100" s="245">
        <f>VLOOKUP($A100,'Table 19 data'!$A$9:$W$184,$B$4+'Table 19 data'!C$4,0)</f>
        <v>2145</v>
      </c>
      <c r="D100" s="246">
        <f>VLOOKUP($A100,'Table 19 data'!$A$9:$W$184,$B$4+'Table 19 data'!D$4,0)</f>
        <v>55.9</v>
      </c>
      <c r="E100" s="245">
        <f>VLOOKUP($A100,'Table 19 data'!$A$9:$W$184,$B$4+'Table 19 data'!E$4,0)</f>
        <v>2113</v>
      </c>
      <c r="F100" s="246">
        <f>VLOOKUP($A100,'Table 19 data'!$A$9:$W$184,$B$4+'Table 19 data'!F$4,0)</f>
        <v>64.099999999999994</v>
      </c>
      <c r="G100" s="245">
        <f>VLOOKUP($A100,'Table 19 data'!$A$9:$W$184,$B$4+'Table 19 data'!G$4,0)</f>
        <v>2058</v>
      </c>
      <c r="H100" s="246">
        <f>VLOOKUP($A100,'Table 19 data'!$A$9:$W$184,$B$4+'Table 19 data'!H$4,0)</f>
        <v>64.8</v>
      </c>
      <c r="I100" s="245">
        <f>VLOOKUP($A100,'Table 19 data'!$A$9:$W$184,$B$4+'Table 19 data'!I$4,0)</f>
        <v>2036</v>
      </c>
      <c r="J100" s="246">
        <f>VLOOKUP($A100,'Table 19 data'!$A$9:$W$184,$B$4+'Table 19 data'!J$4,0)</f>
        <v>62.4</v>
      </c>
      <c r="K100" s="245">
        <f>VLOOKUP($A100,'Table 19 data'!$A$9:$W$184,$B$4+'Table 19 data'!K$4,0)</f>
        <v>2063</v>
      </c>
      <c r="L100" s="246">
        <f>VLOOKUP($A100,'Table 19 data'!$A$9:$W$184,$B$4+'Table 19 data'!L$4,0)</f>
        <v>69.2</v>
      </c>
    </row>
    <row r="101" spans="1:12" ht="11.25" customHeight="1" x14ac:dyDescent="0.2">
      <c r="A101" s="125" t="s">
        <v>183</v>
      </c>
      <c r="B101" s="142" t="s">
        <v>184</v>
      </c>
      <c r="C101" s="245">
        <f>VLOOKUP($A101,'Table 19 data'!$A$9:$W$184,$B$4+'Table 19 data'!C$4,0)</f>
        <v>2098</v>
      </c>
      <c r="D101" s="246">
        <f>VLOOKUP($A101,'Table 19 data'!$A$9:$W$184,$B$4+'Table 19 data'!D$4,0)</f>
        <v>74.5</v>
      </c>
      <c r="E101" s="245">
        <f>VLOOKUP($A101,'Table 19 data'!$A$9:$W$184,$B$4+'Table 19 data'!E$4,0)</f>
        <v>2131</v>
      </c>
      <c r="F101" s="246">
        <f>VLOOKUP($A101,'Table 19 data'!$A$9:$W$184,$B$4+'Table 19 data'!F$4,0)</f>
        <v>77.099999999999994</v>
      </c>
      <c r="G101" s="245">
        <f>VLOOKUP($A101,'Table 19 data'!$A$9:$W$184,$B$4+'Table 19 data'!G$4,0)</f>
        <v>1957</v>
      </c>
      <c r="H101" s="246">
        <f>VLOOKUP($A101,'Table 19 data'!$A$9:$W$184,$B$4+'Table 19 data'!H$4,0)</f>
        <v>77.3</v>
      </c>
      <c r="I101" s="245">
        <f>VLOOKUP($A101,'Table 19 data'!$A$9:$W$184,$B$4+'Table 19 data'!I$4,0)</f>
        <v>2078</v>
      </c>
      <c r="J101" s="246">
        <f>VLOOKUP($A101,'Table 19 data'!$A$9:$W$184,$B$4+'Table 19 data'!J$4,0)</f>
        <v>69.900000000000006</v>
      </c>
      <c r="K101" s="245">
        <f>VLOOKUP($A101,'Table 19 data'!$A$9:$W$184,$B$4+'Table 19 data'!K$4,0)</f>
        <v>2089</v>
      </c>
      <c r="L101" s="246">
        <f>VLOOKUP($A101,'Table 19 data'!$A$9:$W$184,$B$4+'Table 19 data'!L$4,0)</f>
        <v>69.900000000000006</v>
      </c>
    </row>
    <row r="102" spans="1:12" ht="11.25" customHeight="1" x14ac:dyDescent="0.2">
      <c r="A102" s="125" t="s">
        <v>185</v>
      </c>
      <c r="B102" s="142" t="s">
        <v>186</v>
      </c>
      <c r="C102" s="245">
        <f>VLOOKUP($A102,'Table 19 data'!$A$9:$W$184,$B$4+'Table 19 data'!C$4,0)</f>
        <v>7533</v>
      </c>
      <c r="D102" s="246">
        <f>VLOOKUP($A102,'Table 19 data'!$A$9:$W$184,$B$4+'Table 19 data'!D$4,0)</f>
        <v>66.5</v>
      </c>
      <c r="E102" s="245">
        <f>VLOOKUP($A102,'Table 19 data'!$A$9:$W$184,$B$4+'Table 19 data'!E$4,0)</f>
        <v>7509</v>
      </c>
      <c r="F102" s="246">
        <f>VLOOKUP($A102,'Table 19 data'!$A$9:$W$184,$B$4+'Table 19 data'!F$4,0)</f>
        <v>70.3</v>
      </c>
      <c r="G102" s="245">
        <f>VLOOKUP($A102,'Table 19 data'!$A$9:$W$184,$B$4+'Table 19 data'!G$4,0)</f>
        <v>7391</v>
      </c>
      <c r="H102" s="246">
        <f>VLOOKUP($A102,'Table 19 data'!$A$9:$W$184,$B$4+'Table 19 data'!H$4,0)</f>
        <v>70.599999999999994</v>
      </c>
      <c r="I102" s="245">
        <f>VLOOKUP($A102,'Table 19 data'!$A$9:$W$184,$B$4+'Table 19 data'!I$4,0)</f>
        <v>7276</v>
      </c>
      <c r="J102" s="246">
        <f>VLOOKUP($A102,'Table 19 data'!$A$9:$W$184,$B$4+'Table 19 data'!J$4,0)</f>
        <v>61.9</v>
      </c>
      <c r="K102" s="245">
        <f>VLOOKUP($A102,'Table 19 data'!$A$9:$W$184,$B$4+'Table 19 data'!K$4,0)</f>
        <v>7517</v>
      </c>
      <c r="L102" s="246">
        <f>VLOOKUP($A102,'Table 19 data'!$A$9:$W$184,$B$4+'Table 19 data'!L$4,0)</f>
        <v>66.2</v>
      </c>
    </row>
    <row r="103" spans="1:12" ht="11.25" customHeight="1" x14ac:dyDescent="0.2">
      <c r="A103" s="125" t="s">
        <v>187</v>
      </c>
      <c r="B103" s="142" t="s">
        <v>188</v>
      </c>
      <c r="C103" s="245">
        <f>VLOOKUP($A103,'Table 19 data'!$A$9:$W$184,$B$4+'Table 19 data'!C$4,0)</f>
        <v>1806</v>
      </c>
      <c r="D103" s="246">
        <f>VLOOKUP($A103,'Table 19 data'!$A$9:$W$184,$B$4+'Table 19 data'!D$4,0)</f>
        <v>64</v>
      </c>
      <c r="E103" s="245">
        <f>VLOOKUP($A103,'Table 19 data'!$A$9:$W$184,$B$4+'Table 19 data'!E$4,0)</f>
        <v>1731</v>
      </c>
      <c r="F103" s="246">
        <f>VLOOKUP($A103,'Table 19 data'!$A$9:$W$184,$B$4+'Table 19 data'!F$4,0)</f>
        <v>72</v>
      </c>
      <c r="G103" s="245">
        <f>VLOOKUP($A103,'Table 19 data'!$A$9:$W$184,$B$4+'Table 19 data'!G$4,0)</f>
        <v>1686</v>
      </c>
      <c r="H103" s="246">
        <f>VLOOKUP($A103,'Table 19 data'!$A$9:$W$184,$B$4+'Table 19 data'!H$4,0)</f>
        <v>73</v>
      </c>
      <c r="I103" s="245">
        <f>VLOOKUP($A103,'Table 19 data'!$A$9:$W$184,$B$4+'Table 19 data'!I$4,0)</f>
        <v>1647</v>
      </c>
      <c r="J103" s="246">
        <f>VLOOKUP($A103,'Table 19 data'!$A$9:$W$184,$B$4+'Table 19 data'!J$4,0)</f>
        <v>68.2</v>
      </c>
      <c r="K103" s="245">
        <f>VLOOKUP($A103,'Table 19 data'!$A$9:$W$184,$B$4+'Table 19 data'!K$4,0)</f>
        <v>1765</v>
      </c>
      <c r="L103" s="246">
        <f>VLOOKUP($A103,'Table 19 data'!$A$9:$W$184,$B$4+'Table 19 data'!L$4,0)</f>
        <v>73.5</v>
      </c>
    </row>
    <row r="104" spans="1:12" ht="11.25" customHeight="1" x14ac:dyDescent="0.2">
      <c r="A104" s="3"/>
      <c r="B104" s="142"/>
      <c r="C104" s="247"/>
      <c r="D104" s="248"/>
      <c r="E104" s="247"/>
      <c r="F104" s="248"/>
      <c r="G104" s="247"/>
      <c r="H104" s="249"/>
      <c r="I104" s="250"/>
      <c r="J104" s="250"/>
      <c r="K104" s="250"/>
      <c r="L104" s="250"/>
    </row>
    <row r="105" spans="1:12" s="98" customFormat="1" ht="11.25" customHeight="1" x14ac:dyDescent="0.2">
      <c r="A105" s="17" t="s">
        <v>384</v>
      </c>
      <c r="B105" s="92" t="s">
        <v>189</v>
      </c>
      <c r="C105" s="243">
        <f>VLOOKUP($A105,'Table 19 data'!$A$9:$W$184,$B$4+'Table 19 data'!C$4,0)</f>
        <v>67808</v>
      </c>
      <c r="D105" s="244">
        <f>VLOOKUP($A105,'Table 19 data'!$A$9:$W$184,$B$4+'Table 19 data'!D$4,0)</f>
        <v>71.8</v>
      </c>
      <c r="E105" s="243">
        <f>VLOOKUP($A105,'Table 19 data'!$A$9:$W$184,$B$4+'Table 19 data'!E$4,0)</f>
        <v>68726</v>
      </c>
      <c r="F105" s="244">
        <f>VLOOKUP($A105,'Table 19 data'!$A$9:$W$184,$B$4+'Table 19 data'!F$4,0)</f>
        <v>75.8</v>
      </c>
      <c r="G105" s="243">
        <f>VLOOKUP($A105,'Table 19 data'!$A$9:$W$184,$B$4+'Table 19 data'!G$4,0)</f>
        <v>68020</v>
      </c>
      <c r="H105" s="244">
        <f>VLOOKUP($A105,'Table 19 data'!$A$9:$W$184,$B$4+'Table 19 data'!H$4,0)</f>
        <v>78.400000000000006</v>
      </c>
      <c r="I105" s="243">
        <f>VLOOKUP($A105,'Table 19 data'!$A$9:$W$184,$B$4+'Table 19 data'!I$4,0)</f>
        <v>68819</v>
      </c>
      <c r="J105" s="244">
        <f>VLOOKUP($A105,'Table 19 data'!$A$9:$W$184,$B$4+'Table 19 data'!J$4,0)</f>
        <v>75</v>
      </c>
      <c r="K105" s="243">
        <f>VLOOKUP($A105,'Table 19 data'!$A$9:$W$184,$B$4+'Table 19 data'!K$4,0)</f>
        <v>70958</v>
      </c>
      <c r="L105" s="244">
        <f>VLOOKUP($A105,'Table 19 data'!$A$9:$W$184,$B$4+'Table 19 data'!L$4,0)</f>
        <v>78.2</v>
      </c>
    </row>
    <row r="106" spans="1:12" s="98" customFormat="1" ht="11.25" customHeight="1" x14ac:dyDescent="0.2">
      <c r="A106" s="16" t="s">
        <v>190</v>
      </c>
      <c r="B106" s="92" t="s">
        <v>191</v>
      </c>
      <c r="C106" s="243">
        <f>VLOOKUP($A106,'Table 19 data'!$A$9:$W$184,$B$4+'Table 19 data'!C$4,0)</f>
        <v>20746</v>
      </c>
      <c r="D106" s="244">
        <f>VLOOKUP($A106,'Table 19 data'!$A$9:$W$184,$B$4+'Table 19 data'!D$4,0)</f>
        <v>70</v>
      </c>
      <c r="E106" s="243">
        <f>VLOOKUP($A106,'Table 19 data'!$A$9:$W$184,$B$4+'Table 19 data'!E$4,0)</f>
        <v>20937</v>
      </c>
      <c r="F106" s="244">
        <f>VLOOKUP($A106,'Table 19 data'!$A$9:$W$184,$B$4+'Table 19 data'!F$4,0)</f>
        <v>73.7</v>
      </c>
      <c r="G106" s="243">
        <f>VLOOKUP($A106,'Table 19 data'!$A$9:$W$184,$B$4+'Table 19 data'!G$4,0)</f>
        <v>20961</v>
      </c>
      <c r="H106" s="244">
        <f>VLOOKUP($A106,'Table 19 data'!$A$9:$W$184,$B$4+'Table 19 data'!H$4,0)</f>
        <v>77.7</v>
      </c>
      <c r="I106" s="243">
        <f>VLOOKUP($A106,'Table 19 data'!$A$9:$W$184,$B$4+'Table 19 data'!I$4,0)</f>
        <v>21744</v>
      </c>
      <c r="J106" s="244">
        <f>VLOOKUP($A106,'Table 19 data'!$A$9:$W$184,$B$4+'Table 19 data'!J$4,0)</f>
        <v>75.599999999999994</v>
      </c>
      <c r="K106" s="243">
        <f>VLOOKUP($A106,'Table 19 data'!$A$9:$W$184,$B$4+'Table 19 data'!K$4,0)</f>
        <v>22469</v>
      </c>
      <c r="L106" s="244">
        <f>VLOOKUP($A106,'Table 19 data'!$A$9:$W$184,$B$4+'Table 19 data'!L$4,0)</f>
        <v>78.3</v>
      </c>
    </row>
    <row r="107" spans="1:12" ht="11.25" customHeight="1" x14ac:dyDescent="0.2">
      <c r="A107" s="125" t="s">
        <v>192</v>
      </c>
      <c r="B107" s="142" t="s">
        <v>193</v>
      </c>
      <c r="C107" s="245">
        <f>VLOOKUP($A107,'Table 19 data'!$A$9:$W$184,$B$4+'Table 19 data'!C$4,0)</f>
        <v>1359</v>
      </c>
      <c r="D107" s="246">
        <f>VLOOKUP($A107,'Table 19 data'!$A$9:$W$184,$B$4+'Table 19 data'!D$4,0)</f>
        <v>72.8</v>
      </c>
      <c r="E107" s="245">
        <f>VLOOKUP($A107,'Table 19 data'!$A$9:$W$184,$B$4+'Table 19 data'!E$4,0)</f>
        <v>1419</v>
      </c>
      <c r="F107" s="246">
        <f>VLOOKUP($A107,'Table 19 data'!$A$9:$W$184,$B$4+'Table 19 data'!F$4,0)</f>
        <v>74.3</v>
      </c>
      <c r="G107" s="245">
        <f>VLOOKUP($A107,'Table 19 data'!$A$9:$W$184,$B$4+'Table 19 data'!G$4,0)</f>
        <v>1397</v>
      </c>
      <c r="H107" s="246">
        <f>VLOOKUP($A107,'Table 19 data'!$A$9:$W$184,$B$4+'Table 19 data'!H$4,0)</f>
        <v>78.2</v>
      </c>
      <c r="I107" s="245">
        <f>VLOOKUP($A107,'Table 19 data'!$A$9:$W$184,$B$4+'Table 19 data'!I$4,0)</f>
        <v>1404</v>
      </c>
      <c r="J107" s="246">
        <f>VLOOKUP($A107,'Table 19 data'!$A$9:$W$184,$B$4+'Table 19 data'!J$4,0)</f>
        <v>75</v>
      </c>
      <c r="K107" s="245">
        <f>VLOOKUP($A107,'Table 19 data'!$A$9:$W$184,$B$4+'Table 19 data'!K$4,0)</f>
        <v>1440</v>
      </c>
      <c r="L107" s="246">
        <f>VLOOKUP($A107,'Table 19 data'!$A$9:$W$184,$B$4+'Table 19 data'!L$4,0)</f>
        <v>75.099999999999994</v>
      </c>
    </row>
    <row r="108" spans="1:12" ht="11.25" customHeight="1" x14ac:dyDescent="0.2">
      <c r="A108" s="125" t="s">
        <v>194</v>
      </c>
      <c r="B108" s="142" t="s">
        <v>195</v>
      </c>
      <c r="C108" s="245" t="str">
        <f>VLOOKUP($A108,'Table 19 data'!$A$9:$W$184,$B$4+'Table 19 data'!C$4,0)</f>
        <v>.</v>
      </c>
      <c r="D108" s="246" t="str">
        <f>VLOOKUP($A108,'Table 19 data'!$A$9:$W$184,$B$4+'Table 19 data'!D$4,0)</f>
        <v>.</v>
      </c>
      <c r="E108" s="245" t="str">
        <f>VLOOKUP($A108,'Table 19 data'!$A$9:$W$184,$B$4+'Table 19 data'!E$4,0)</f>
        <v>.</v>
      </c>
      <c r="F108" s="246" t="str">
        <f>VLOOKUP($A108,'Table 19 data'!$A$9:$W$184,$B$4+'Table 19 data'!F$4,0)</f>
        <v>.</v>
      </c>
      <c r="G108" s="245" t="str">
        <f>VLOOKUP($A108,'Table 19 data'!$A$9:$W$184,$B$4+'Table 19 data'!G$4,0)</f>
        <v>.</v>
      </c>
      <c r="H108" s="246" t="str">
        <f>VLOOKUP($A108,'Table 19 data'!$A$9:$W$184,$B$4+'Table 19 data'!H$4,0)</f>
        <v>.</v>
      </c>
      <c r="I108" s="245" t="str">
        <f>VLOOKUP($A108,'Table 19 data'!$A$9:$W$184,$B$4+'Table 19 data'!I$4,0)</f>
        <v>.</v>
      </c>
      <c r="J108" s="246" t="str">
        <f>VLOOKUP($A108,'Table 19 data'!$A$9:$W$184,$B$4+'Table 19 data'!J$4,0)</f>
        <v>.</v>
      </c>
      <c r="K108" s="245" t="str">
        <f>VLOOKUP($A108,'Table 19 data'!$A$9:$W$184,$B$4+'Table 19 data'!K$4,0)</f>
        <v>.</v>
      </c>
      <c r="L108" s="246" t="str">
        <f>VLOOKUP($A108,'Table 19 data'!$A$9:$W$184,$B$4+'Table 19 data'!L$4,0)</f>
        <v>.</v>
      </c>
    </row>
    <row r="109" spans="1:12" ht="11.25" customHeight="1" x14ac:dyDescent="0.2">
      <c r="A109" s="125" t="s">
        <v>197</v>
      </c>
      <c r="B109" s="142" t="s">
        <v>198</v>
      </c>
      <c r="C109" s="245">
        <f>VLOOKUP($A109,'Table 19 data'!$A$9:$W$184,$B$4+'Table 19 data'!C$4,0)</f>
        <v>1234</v>
      </c>
      <c r="D109" s="246">
        <f>VLOOKUP($A109,'Table 19 data'!$A$9:$W$184,$B$4+'Table 19 data'!D$4,0)</f>
        <v>71.400000000000006</v>
      </c>
      <c r="E109" s="245">
        <f>VLOOKUP($A109,'Table 19 data'!$A$9:$W$184,$B$4+'Table 19 data'!E$4,0)</f>
        <v>1214</v>
      </c>
      <c r="F109" s="246">
        <f>VLOOKUP($A109,'Table 19 data'!$A$9:$W$184,$B$4+'Table 19 data'!F$4,0)</f>
        <v>79.5</v>
      </c>
      <c r="G109" s="245">
        <f>VLOOKUP($A109,'Table 19 data'!$A$9:$W$184,$B$4+'Table 19 data'!G$4,0)</f>
        <v>1350</v>
      </c>
      <c r="H109" s="246">
        <f>VLOOKUP($A109,'Table 19 data'!$A$9:$W$184,$B$4+'Table 19 data'!H$4,0)</f>
        <v>79</v>
      </c>
      <c r="I109" s="245">
        <f>VLOOKUP($A109,'Table 19 data'!$A$9:$W$184,$B$4+'Table 19 data'!I$4,0)</f>
        <v>1462</v>
      </c>
      <c r="J109" s="246">
        <f>VLOOKUP($A109,'Table 19 data'!$A$9:$W$184,$B$4+'Table 19 data'!J$4,0)</f>
        <v>78.2</v>
      </c>
      <c r="K109" s="245">
        <f>VLOOKUP($A109,'Table 19 data'!$A$9:$W$184,$B$4+'Table 19 data'!K$4,0)</f>
        <v>1534</v>
      </c>
      <c r="L109" s="246">
        <f>VLOOKUP($A109,'Table 19 data'!$A$9:$W$184,$B$4+'Table 19 data'!L$4,0)</f>
        <v>77.8</v>
      </c>
    </row>
    <row r="110" spans="1:12" ht="11.25" customHeight="1" x14ac:dyDescent="0.2">
      <c r="A110" s="125" t="s">
        <v>199</v>
      </c>
      <c r="B110" s="142" t="s">
        <v>200</v>
      </c>
      <c r="C110" s="245">
        <f>VLOOKUP($A110,'Table 19 data'!$A$9:$W$184,$B$4+'Table 19 data'!C$4,0)</f>
        <v>937</v>
      </c>
      <c r="D110" s="246">
        <f>VLOOKUP($A110,'Table 19 data'!$A$9:$W$184,$B$4+'Table 19 data'!D$4,0)</f>
        <v>78.8</v>
      </c>
      <c r="E110" s="245">
        <f>VLOOKUP($A110,'Table 19 data'!$A$9:$W$184,$B$4+'Table 19 data'!E$4,0)</f>
        <v>919</v>
      </c>
      <c r="F110" s="246">
        <f>VLOOKUP($A110,'Table 19 data'!$A$9:$W$184,$B$4+'Table 19 data'!F$4,0)</f>
        <v>87.9</v>
      </c>
      <c r="G110" s="245">
        <f>VLOOKUP($A110,'Table 19 data'!$A$9:$W$184,$B$4+'Table 19 data'!G$4,0)</f>
        <v>946</v>
      </c>
      <c r="H110" s="246">
        <f>VLOOKUP($A110,'Table 19 data'!$A$9:$W$184,$B$4+'Table 19 data'!H$4,0)</f>
        <v>84</v>
      </c>
      <c r="I110" s="245">
        <f>VLOOKUP($A110,'Table 19 data'!$A$9:$W$184,$B$4+'Table 19 data'!I$4,0)</f>
        <v>995</v>
      </c>
      <c r="J110" s="246">
        <f>VLOOKUP($A110,'Table 19 data'!$A$9:$W$184,$B$4+'Table 19 data'!J$4,0)</f>
        <v>77.400000000000006</v>
      </c>
      <c r="K110" s="245">
        <f>VLOOKUP($A110,'Table 19 data'!$A$9:$W$184,$B$4+'Table 19 data'!K$4,0)</f>
        <v>1053</v>
      </c>
      <c r="L110" s="246">
        <f>VLOOKUP($A110,'Table 19 data'!$A$9:$W$184,$B$4+'Table 19 data'!L$4,0)</f>
        <v>73.900000000000006</v>
      </c>
    </row>
    <row r="111" spans="1:12" ht="11.25" customHeight="1" x14ac:dyDescent="0.2">
      <c r="A111" s="125" t="s">
        <v>201</v>
      </c>
      <c r="B111" s="142" t="s">
        <v>202</v>
      </c>
      <c r="C111" s="245">
        <f>VLOOKUP($A111,'Table 19 data'!$A$9:$W$184,$B$4+'Table 19 data'!C$4,0)</f>
        <v>1934</v>
      </c>
      <c r="D111" s="246">
        <f>VLOOKUP($A111,'Table 19 data'!$A$9:$W$184,$B$4+'Table 19 data'!D$4,0)</f>
        <v>68.3</v>
      </c>
      <c r="E111" s="245">
        <f>VLOOKUP($A111,'Table 19 data'!$A$9:$W$184,$B$4+'Table 19 data'!E$4,0)</f>
        <v>1938</v>
      </c>
      <c r="F111" s="246">
        <f>VLOOKUP($A111,'Table 19 data'!$A$9:$W$184,$B$4+'Table 19 data'!F$4,0)</f>
        <v>70.400000000000006</v>
      </c>
      <c r="G111" s="245">
        <f>VLOOKUP($A111,'Table 19 data'!$A$9:$W$184,$B$4+'Table 19 data'!G$4,0)</f>
        <v>1837</v>
      </c>
      <c r="H111" s="246">
        <f>VLOOKUP($A111,'Table 19 data'!$A$9:$W$184,$B$4+'Table 19 data'!H$4,0)</f>
        <v>78.7</v>
      </c>
      <c r="I111" s="245">
        <f>VLOOKUP($A111,'Table 19 data'!$A$9:$W$184,$B$4+'Table 19 data'!I$4,0)</f>
        <v>1925</v>
      </c>
      <c r="J111" s="246">
        <f>VLOOKUP($A111,'Table 19 data'!$A$9:$W$184,$B$4+'Table 19 data'!J$4,0)</f>
        <v>75.099999999999994</v>
      </c>
      <c r="K111" s="245">
        <f>VLOOKUP($A111,'Table 19 data'!$A$9:$W$184,$B$4+'Table 19 data'!K$4,0)</f>
        <v>1984</v>
      </c>
      <c r="L111" s="246">
        <f>VLOOKUP($A111,'Table 19 data'!$A$9:$W$184,$B$4+'Table 19 data'!L$4,0)</f>
        <v>79.099999999999994</v>
      </c>
    </row>
    <row r="112" spans="1:12" ht="11.25" customHeight="1" x14ac:dyDescent="0.2">
      <c r="A112" s="125" t="s">
        <v>203</v>
      </c>
      <c r="B112" s="142" t="s">
        <v>204</v>
      </c>
      <c r="C112" s="245">
        <f>VLOOKUP($A112,'Table 19 data'!$A$9:$W$184,$B$4+'Table 19 data'!C$4,0)</f>
        <v>1287</v>
      </c>
      <c r="D112" s="246">
        <f>VLOOKUP($A112,'Table 19 data'!$A$9:$W$184,$B$4+'Table 19 data'!D$4,0)</f>
        <v>70.3</v>
      </c>
      <c r="E112" s="245">
        <f>VLOOKUP($A112,'Table 19 data'!$A$9:$W$184,$B$4+'Table 19 data'!E$4,0)</f>
        <v>1284</v>
      </c>
      <c r="F112" s="246">
        <f>VLOOKUP($A112,'Table 19 data'!$A$9:$W$184,$B$4+'Table 19 data'!F$4,0)</f>
        <v>70.7</v>
      </c>
      <c r="G112" s="245">
        <f>VLOOKUP($A112,'Table 19 data'!$A$9:$W$184,$B$4+'Table 19 data'!G$4,0)</f>
        <v>1208</v>
      </c>
      <c r="H112" s="246">
        <f>VLOOKUP($A112,'Table 19 data'!$A$9:$W$184,$B$4+'Table 19 data'!H$4,0)</f>
        <v>69.099999999999994</v>
      </c>
      <c r="I112" s="245">
        <f>VLOOKUP($A112,'Table 19 data'!$A$9:$W$184,$B$4+'Table 19 data'!I$4,0)</f>
        <v>1353</v>
      </c>
      <c r="J112" s="246">
        <f>VLOOKUP($A112,'Table 19 data'!$A$9:$W$184,$B$4+'Table 19 data'!J$4,0)</f>
        <v>69.599999999999994</v>
      </c>
      <c r="K112" s="245">
        <f>VLOOKUP($A112,'Table 19 data'!$A$9:$W$184,$B$4+'Table 19 data'!K$4,0)</f>
        <v>1327</v>
      </c>
      <c r="L112" s="246">
        <f>VLOOKUP($A112,'Table 19 data'!$A$9:$W$184,$B$4+'Table 19 data'!L$4,0)</f>
        <v>79.8</v>
      </c>
    </row>
    <row r="113" spans="1:12" ht="11.25" customHeight="1" x14ac:dyDescent="0.2">
      <c r="A113" s="125" t="s">
        <v>205</v>
      </c>
      <c r="B113" s="142" t="s">
        <v>206</v>
      </c>
      <c r="C113" s="245">
        <f>VLOOKUP($A113,'Table 19 data'!$A$9:$W$184,$B$4+'Table 19 data'!C$4,0)</f>
        <v>546</v>
      </c>
      <c r="D113" s="246">
        <f>VLOOKUP($A113,'Table 19 data'!$A$9:$W$184,$B$4+'Table 19 data'!D$4,0)</f>
        <v>75.5</v>
      </c>
      <c r="E113" s="245">
        <f>VLOOKUP($A113,'Table 19 data'!$A$9:$W$184,$B$4+'Table 19 data'!E$4,0)</f>
        <v>533</v>
      </c>
      <c r="F113" s="246">
        <f>VLOOKUP($A113,'Table 19 data'!$A$9:$W$184,$B$4+'Table 19 data'!F$4,0)</f>
        <v>80.3</v>
      </c>
      <c r="G113" s="245">
        <f>VLOOKUP($A113,'Table 19 data'!$A$9:$W$184,$B$4+'Table 19 data'!G$4,0)</f>
        <v>551</v>
      </c>
      <c r="H113" s="246">
        <f>VLOOKUP($A113,'Table 19 data'!$A$9:$W$184,$B$4+'Table 19 data'!H$4,0)</f>
        <v>86.4</v>
      </c>
      <c r="I113" s="245">
        <f>VLOOKUP($A113,'Table 19 data'!$A$9:$W$184,$B$4+'Table 19 data'!I$4,0)</f>
        <v>581</v>
      </c>
      <c r="J113" s="246">
        <f>VLOOKUP($A113,'Table 19 data'!$A$9:$W$184,$B$4+'Table 19 data'!J$4,0)</f>
        <v>86.1</v>
      </c>
      <c r="K113" s="245">
        <f>VLOOKUP($A113,'Table 19 data'!$A$9:$W$184,$B$4+'Table 19 data'!K$4,0)</f>
        <v>585</v>
      </c>
      <c r="L113" s="246">
        <f>VLOOKUP($A113,'Table 19 data'!$A$9:$W$184,$B$4+'Table 19 data'!L$4,0)</f>
        <v>87.9</v>
      </c>
    </row>
    <row r="114" spans="1:12" ht="11.25" customHeight="1" x14ac:dyDescent="0.2">
      <c r="A114" s="125" t="s">
        <v>207</v>
      </c>
      <c r="B114" s="142" t="s">
        <v>208</v>
      </c>
      <c r="C114" s="245">
        <f>VLOOKUP($A114,'Table 19 data'!$A$9:$W$184,$B$4+'Table 19 data'!C$4,0)</f>
        <v>1382</v>
      </c>
      <c r="D114" s="246">
        <f>VLOOKUP($A114,'Table 19 data'!$A$9:$W$184,$B$4+'Table 19 data'!D$4,0)</f>
        <v>71.599999999999994</v>
      </c>
      <c r="E114" s="245">
        <f>VLOOKUP($A114,'Table 19 data'!$A$9:$W$184,$B$4+'Table 19 data'!E$4,0)</f>
        <v>1449</v>
      </c>
      <c r="F114" s="246">
        <f>VLOOKUP($A114,'Table 19 data'!$A$9:$W$184,$B$4+'Table 19 data'!F$4,0)</f>
        <v>71.2</v>
      </c>
      <c r="G114" s="245">
        <f>VLOOKUP($A114,'Table 19 data'!$A$9:$W$184,$B$4+'Table 19 data'!G$4,0)</f>
        <v>1459</v>
      </c>
      <c r="H114" s="246">
        <f>VLOOKUP($A114,'Table 19 data'!$A$9:$W$184,$B$4+'Table 19 data'!H$4,0)</f>
        <v>75.400000000000006</v>
      </c>
      <c r="I114" s="245">
        <f>VLOOKUP($A114,'Table 19 data'!$A$9:$W$184,$B$4+'Table 19 data'!I$4,0)</f>
        <v>1613</v>
      </c>
      <c r="J114" s="246">
        <f>VLOOKUP($A114,'Table 19 data'!$A$9:$W$184,$B$4+'Table 19 data'!J$4,0)</f>
        <v>77.2</v>
      </c>
      <c r="K114" s="245">
        <f>VLOOKUP($A114,'Table 19 data'!$A$9:$W$184,$B$4+'Table 19 data'!K$4,0)</f>
        <v>1736</v>
      </c>
      <c r="L114" s="246">
        <f>VLOOKUP($A114,'Table 19 data'!$A$9:$W$184,$B$4+'Table 19 data'!L$4,0)</f>
        <v>78.2</v>
      </c>
    </row>
    <row r="115" spans="1:12" ht="11.25" customHeight="1" x14ac:dyDescent="0.2">
      <c r="A115" s="125" t="s">
        <v>209</v>
      </c>
      <c r="B115" s="142" t="s">
        <v>210</v>
      </c>
      <c r="C115" s="245">
        <f>VLOOKUP($A115,'Table 19 data'!$A$9:$W$184,$B$4+'Table 19 data'!C$4,0)</f>
        <v>1924</v>
      </c>
      <c r="D115" s="246">
        <f>VLOOKUP($A115,'Table 19 data'!$A$9:$W$184,$B$4+'Table 19 data'!D$4,0)</f>
        <v>69.3</v>
      </c>
      <c r="E115" s="245">
        <f>VLOOKUP($A115,'Table 19 data'!$A$9:$W$184,$B$4+'Table 19 data'!E$4,0)</f>
        <v>1978</v>
      </c>
      <c r="F115" s="246">
        <f>VLOOKUP($A115,'Table 19 data'!$A$9:$W$184,$B$4+'Table 19 data'!F$4,0)</f>
        <v>68.099999999999994</v>
      </c>
      <c r="G115" s="245">
        <f>VLOOKUP($A115,'Table 19 data'!$A$9:$W$184,$B$4+'Table 19 data'!G$4,0)</f>
        <v>1956</v>
      </c>
      <c r="H115" s="246">
        <f>VLOOKUP($A115,'Table 19 data'!$A$9:$W$184,$B$4+'Table 19 data'!H$4,0)</f>
        <v>75.2</v>
      </c>
      <c r="I115" s="245">
        <f>VLOOKUP($A115,'Table 19 data'!$A$9:$W$184,$B$4+'Table 19 data'!I$4,0)</f>
        <v>2042</v>
      </c>
      <c r="J115" s="246">
        <f>VLOOKUP($A115,'Table 19 data'!$A$9:$W$184,$B$4+'Table 19 data'!J$4,0)</f>
        <v>71.099999999999994</v>
      </c>
      <c r="K115" s="245">
        <f>VLOOKUP($A115,'Table 19 data'!$A$9:$W$184,$B$4+'Table 19 data'!K$4,0)</f>
        <v>2148</v>
      </c>
      <c r="L115" s="246">
        <f>VLOOKUP($A115,'Table 19 data'!$A$9:$W$184,$B$4+'Table 19 data'!L$4,0)</f>
        <v>73.5</v>
      </c>
    </row>
    <row r="116" spans="1:12" ht="11.25" customHeight="1" x14ac:dyDescent="0.2">
      <c r="A116" s="125" t="s">
        <v>211</v>
      </c>
      <c r="B116" s="142" t="s">
        <v>212</v>
      </c>
      <c r="C116" s="245">
        <f>VLOOKUP($A116,'Table 19 data'!$A$9:$W$184,$B$4+'Table 19 data'!C$4,0)</f>
        <v>3075</v>
      </c>
      <c r="D116" s="246">
        <f>VLOOKUP($A116,'Table 19 data'!$A$9:$W$184,$B$4+'Table 19 data'!D$4,0)</f>
        <v>68.599999999999994</v>
      </c>
      <c r="E116" s="245">
        <f>VLOOKUP($A116,'Table 19 data'!$A$9:$W$184,$B$4+'Table 19 data'!E$4,0)</f>
        <v>3019</v>
      </c>
      <c r="F116" s="246">
        <f>VLOOKUP($A116,'Table 19 data'!$A$9:$W$184,$B$4+'Table 19 data'!F$4,0)</f>
        <v>69.3</v>
      </c>
      <c r="G116" s="245">
        <f>VLOOKUP($A116,'Table 19 data'!$A$9:$W$184,$B$4+'Table 19 data'!G$4,0)</f>
        <v>2946</v>
      </c>
      <c r="H116" s="246">
        <f>VLOOKUP($A116,'Table 19 data'!$A$9:$W$184,$B$4+'Table 19 data'!H$4,0)</f>
        <v>75.7</v>
      </c>
      <c r="I116" s="245">
        <f>VLOOKUP($A116,'Table 19 data'!$A$9:$W$184,$B$4+'Table 19 data'!I$4,0)</f>
        <v>3175</v>
      </c>
      <c r="J116" s="246">
        <f>VLOOKUP($A116,'Table 19 data'!$A$9:$W$184,$B$4+'Table 19 data'!J$4,0)</f>
        <v>76.3</v>
      </c>
      <c r="K116" s="245">
        <f>VLOOKUP($A116,'Table 19 data'!$A$9:$W$184,$B$4+'Table 19 data'!K$4,0)</f>
        <v>3197</v>
      </c>
      <c r="L116" s="246">
        <f>VLOOKUP($A116,'Table 19 data'!$A$9:$W$184,$B$4+'Table 19 data'!L$4,0)</f>
        <v>77.5</v>
      </c>
    </row>
    <row r="117" spans="1:12" ht="11.25" customHeight="1" x14ac:dyDescent="0.2">
      <c r="A117" s="125" t="s">
        <v>213</v>
      </c>
      <c r="B117" s="142" t="s">
        <v>214</v>
      </c>
      <c r="C117" s="245">
        <f>VLOOKUP($A117,'Table 19 data'!$A$9:$W$184,$B$4+'Table 19 data'!C$4,0)</f>
        <v>2097</v>
      </c>
      <c r="D117" s="246">
        <f>VLOOKUP($A117,'Table 19 data'!$A$9:$W$184,$B$4+'Table 19 data'!D$4,0)</f>
        <v>67.099999999999994</v>
      </c>
      <c r="E117" s="245">
        <f>VLOOKUP($A117,'Table 19 data'!$A$9:$W$184,$B$4+'Table 19 data'!E$4,0)</f>
        <v>2073</v>
      </c>
      <c r="F117" s="246">
        <f>VLOOKUP($A117,'Table 19 data'!$A$9:$W$184,$B$4+'Table 19 data'!F$4,0)</f>
        <v>75.7</v>
      </c>
      <c r="G117" s="245">
        <f>VLOOKUP($A117,'Table 19 data'!$A$9:$W$184,$B$4+'Table 19 data'!G$4,0)</f>
        <v>2065</v>
      </c>
      <c r="H117" s="246">
        <f>VLOOKUP($A117,'Table 19 data'!$A$9:$W$184,$B$4+'Table 19 data'!H$4,0)</f>
        <v>76.599999999999994</v>
      </c>
      <c r="I117" s="245">
        <f>VLOOKUP($A117,'Table 19 data'!$A$9:$W$184,$B$4+'Table 19 data'!I$4,0)</f>
        <v>2052</v>
      </c>
      <c r="J117" s="246">
        <f>VLOOKUP($A117,'Table 19 data'!$A$9:$W$184,$B$4+'Table 19 data'!J$4,0)</f>
        <v>76.8</v>
      </c>
      <c r="K117" s="245">
        <f>VLOOKUP($A117,'Table 19 data'!$A$9:$W$184,$B$4+'Table 19 data'!K$4,0)</f>
        <v>2114</v>
      </c>
      <c r="L117" s="246">
        <f>VLOOKUP($A117,'Table 19 data'!$A$9:$W$184,$B$4+'Table 19 data'!L$4,0)</f>
        <v>81.599999999999994</v>
      </c>
    </row>
    <row r="118" spans="1:12" ht="11.25" customHeight="1" x14ac:dyDescent="0.2">
      <c r="A118" s="125" t="s">
        <v>215</v>
      </c>
      <c r="B118" s="142" t="s">
        <v>216</v>
      </c>
      <c r="C118" s="245">
        <f>VLOOKUP($A118,'Table 19 data'!$A$9:$W$184,$B$4+'Table 19 data'!C$4,0)</f>
        <v>2164</v>
      </c>
      <c r="D118" s="246">
        <f>VLOOKUP($A118,'Table 19 data'!$A$9:$W$184,$B$4+'Table 19 data'!D$4,0)</f>
        <v>63.5</v>
      </c>
      <c r="E118" s="245">
        <f>VLOOKUP($A118,'Table 19 data'!$A$9:$W$184,$B$4+'Table 19 data'!E$4,0)</f>
        <v>2228</v>
      </c>
      <c r="F118" s="246">
        <f>VLOOKUP($A118,'Table 19 data'!$A$9:$W$184,$B$4+'Table 19 data'!F$4,0)</f>
        <v>69.400000000000006</v>
      </c>
      <c r="G118" s="245">
        <f>VLOOKUP($A118,'Table 19 data'!$A$9:$W$184,$B$4+'Table 19 data'!G$4,0)</f>
        <v>2361</v>
      </c>
      <c r="H118" s="246">
        <f>VLOOKUP($A118,'Table 19 data'!$A$9:$W$184,$B$4+'Table 19 data'!H$4,0)</f>
        <v>76.099999999999994</v>
      </c>
      <c r="I118" s="245">
        <f>VLOOKUP($A118,'Table 19 data'!$A$9:$W$184,$B$4+'Table 19 data'!I$4,0)</f>
        <v>2246</v>
      </c>
      <c r="J118" s="246">
        <f>VLOOKUP($A118,'Table 19 data'!$A$9:$W$184,$B$4+'Table 19 data'!J$4,0)</f>
        <v>73.3</v>
      </c>
      <c r="K118" s="245">
        <f>VLOOKUP($A118,'Table 19 data'!$A$9:$W$184,$B$4+'Table 19 data'!K$4,0)</f>
        <v>2376</v>
      </c>
      <c r="L118" s="246">
        <f>VLOOKUP($A118,'Table 19 data'!$A$9:$W$184,$B$4+'Table 19 data'!L$4,0)</f>
        <v>78.599999999999994</v>
      </c>
    </row>
    <row r="119" spans="1:12" ht="11.25" customHeight="1" x14ac:dyDescent="0.2">
      <c r="A119" s="125" t="s">
        <v>217</v>
      </c>
      <c r="B119" s="142" t="s">
        <v>218</v>
      </c>
      <c r="C119" s="245">
        <f>VLOOKUP($A119,'Table 19 data'!$A$9:$W$184,$B$4+'Table 19 data'!C$4,0)</f>
        <v>1632</v>
      </c>
      <c r="D119" s="246">
        <f>VLOOKUP($A119,'Table 19 data'!$A$9:$W$184,$B$4+'Table 19 data'!D$4,0)</f>
        <v>73.8</v>
      </c>
      <c r="E119" s="245">
        <f>VLOOKUP($A119,'Table 19 data'!$A$9:$W$184,$B$4+'Table 19 data'!E$4,0)</f>
        <v>1630</v>
      </c>
      <c r="F119" s="246">
        <f>VLOOKUP($A119,'Table 19 data'!$A$9:$W$184,$B$4+'Table 19 data'!F$4,0)</f>
        <v>78.8</v>
      </c>
      <c r="G119" s="245">
        <f>VLOOKUP($A119,'Table 19 data'!$A$9:$W$184,$B$4+'Table 19 data'!G$4,0)</f>
        <v>1630</v>
      </c>
      <c r="H119" s="246">
        <f>VLOOKUP($A119,'Table 19 data'!$A$9:$W$184,$B$4+'Table 19 data'!H$4,0)</f>
        <v>81</v>
      </c>
      <c r="I119" s="245">
        <f>VLOOKUP($A119,'Table 19 data'!$A$9:$W$184,$B$4+'Table 19 data'!I$4,0)</f>
        <v>1621</v>
      </c>
      <c r="J119" s="246">
        <f>VLOOKUP($A119,'Table 19 data'!$A$9:$W$184,$B$4+'Table 19 data'!J$4,0)</f>
        <v>72.900000000000006</v>
      </c>
      <c r="K119" s="245">
        <f>VLOOKUP($A119,'Table 19 data'!$A$9:$W$184,$B$4+'Table 19 data'!K$4,0)</f>
        <v>1648</v>
      </c>
      <c r="L119" s="246">
        <f>VLOOKUP($A119,'Table 19 data'!$A$9:$W$184,$B$4+'Table 19 data'!L$4,0)</f>
        <v>76</v>
      </c>
    </row>
    <row r="120" spans="1:12" ht="11.25" customHeight="1" x14ac:dyDescent="0.2">
      <c r="A120" s="125" t="s">
        <v>219</v>
      </c>
      <c r="B120" s="142" t="s">
        <v>220</v>
      </c>
      <c r="C120" s="245">
        <f>VLOOKUP($A120,'Table 19 data'!$A$9:$W$184,$B$4+'Table 19 data'!C$4,0)</f>
        <v>1175</v>
      </c>
      <c r="D120" s="246">
        <f>VLOOKUP($A120,'Table 19 data'!$A$9:$W$184,$B$4+'Table 19 data'!D$4,0)</f>
        <v>72.099999999999994</v>
      </c>
      <c r="E120" s="245">
        <f>VLOOKUP($A120,'Table 19 data'!$A$9:$W$184,$B$4+'Table 19 data'!E$4,0)</f>
        <v>1253</v>
      </c>
      <c r="F120" s="246">
        <f>VLOOKUP($A120,'Table 19 data'!$A$9:$W$184,$B$4+'Table 19 data'!F$4,0)</f>
        <v>82.7</v>
      </c>
      <c r="G120" s="245">
        <f>VLOOKUP($A120,'Table 19 data'!$A$9:$W$184,$B$4+'Table 19 data'!G$4,0)</f>
        <v>1255</v>
      </c>
      <c r="H120" s="246">
        <f>VLOOKUP($A120,'Table 19 data'!$A$9:$W$184,$B$4+'Table 19 data'!H$4,0)</f>
        <v>86.3</v>
      </c>
      <c r="I120" s="245">
        <f>VLOOKUP($A120,'Table 19 data'!$A$9:$W$184,$B$4+'Table 19 data'!I$4,0)</f>
        <v>1275</v>
      </c>
      <c r="J120" s="246">
        <f>VLOOKUP($A120,'Table 19 data'!$A$9:$W$184,$B$4+'Table 19 data'!J$4,0)</f>
        <v>82.3</v>
      </c>
      <c r="K120" s="245">
        <f>VLOOKUP($A120,'Table 19 data'!$A$9:$W$184,$B$4+'Table 19 data'!K$4,0)</f>
        <v>1327</v>
      </c>
      <c r="L120" s="246">
        <f>VLOOKUP($A120,'Table 19 data'!$A$9:$W$184,$B$4+'Table 19 data'!L$4,0)</f>
        <v>85.3</v>
      </c>
    </row>
    <row r="121" spans="1:12" ht="11.25" customHeight="1" x14ac:dyDescent="0.2">
      <c r="A121" s="3"/>
      <c r="B121" s="142"/>
      <c r="C121" s="247"/>
      <c r="D121" s="248"/>
      <c r="E121" s="247"/>
      <c r="F121" s="248"/>
      <c r="G121" s="247"/>
      <c r="H121" s="249"/>
      <c r="I121" s="250"/>
      <c r="J121" s="250"/>
      <c r="K121" s="250"/>
      <c r="L121" s="250"/>
    </row>
    <row r="122" spans="1:12" s="98" customFormat="1" ht="11.25" customHeight="1" x14ac:dyDescent="0.2">
      <c r="A122" s="17" t="s">
        <v>221</v>
      </c>
      <c r="B122" s="92" t="s">
        <v>222</v>
      </c>
      <c r="C122" s="243">
        <f>VLOOKUP($A122,'Table 19 data'!$A$9:$W$184,$B$4+'Table 19 data'!C$4,0)</f>
        <v>47062</v>
      </c>
      <c r="D122" s="244">
        <f>VLOOKUP($A122,'Table 19 data'!$A$9:$W$184,$B$4+'Table 19 data'!D$4,0)</f>
        <v>72.599999999999994</v>
      </c>
      <c r="E122" s="243">
        <f>VLOOKUP($A122,'Table 19 data'!$A$9:$W$184,$B$4+'Table 19 data'!E$4,0)</f>
        <v>47789</v>
      </c>
      <c r="F122" s="244">
        <f>VLOOKUP($A122,'Table 19 data'!$A$9:$W$184,$B$4+'Table 19 data'!F$4,0)</f>
        <v>76.7</v>
      </c>
      <c r="G122" s="243">
        <f>VLOOKUP($A122,'Table 19 data'!$A$9:$W$184,$B$4+'Table 19 data'!G$4,0)</f>
        <v>47059</v>
      </c>
      <c r="H122" s="244">
        <f>VLOOKUP($A122,'Table 19 data'!$A$9:$W$184,$B$4+'Table 19 data'!H$4,0)</f>
        <v>78.7</v>
      </c>
      <c r="I122" s="243">
        <f>VLOOKUP($A122,'Table 19 data'!$A$9:$W$184,$B$4+'Table 19 data'!I$4,0)</f>
        <v>47075</v>
      </c>
      <c r="J122" s="244">
        <f>VLOOKUP($A122,'Table 19 data'!$A$9:$W$184,$B$4+'Table 19 data'!J$4,0)</f>
        <v>74.8</v>
      </c>
      <c r="K122" s="243">
        <f>VLOOKUP($A122,'Table 19 data'!$A$9:$W$184,$B$4+'Table 19 data'!K$4,0)</f>
        <v>48489</v>
      </c>
      <c r="L122" s="244">
        <f>VLOOKUP($A122,'Table 19 data'!$A$9:$W$184,$B$4+'Table 19 data'!L$4,0)</f>
        <v>78.2</v>
      </c>
    </row>
    <row r="123" spans="1:12" ht="11.25" customHeight="1" x14ac:dyDescent="0.2">
      <c r="A123" s="125" t="s">
        <v>223</v>
      </c>
      <c r="B123" s="142" t="s">
        <v>224</v>
      </c>
      <c r="C123" s="245">
        <f>VLOOKUP($A123,'Table 19 data'!$A$9:$W$184,$B$4+'Table 19 data'!C$4,0)</f>
        <v>1898</v>
      </c>
      <c r="D123" s="246">
        <f>VLOOKUP($A123,'Table 19 data'!$A$9:$W$184,$B$4+'Table 19 data'!D$4,0)</f>
        <v>64.400000000000006</v>
      </c>
      <c r="E123" s="245">
        <f>VLOOKUP($A123,'Table 19 data'!$A$9:$W$184,$B$4+'Table 19 data'!E$4,0)</f>
        <v>1997</v>
      </c>
      <c r="F123" s="246">
        <f>VLOOKUP($A123,'Table 19 data'!$A$9:$W$184,$B$4+'Table 19 data'!F$4,0)</f>
        <v>70.3</v>
      </c>
      <c r="G123" s="245">
        <f>VLOOKUP($A123,'Table 19 data'!$A$9:$W$184,$B$4+'Table 19 data'!G$4,0)</f>
        <v>1919</v>
      </c>
      <c r="H123" s="246">
        <f>VLOOKUP($A123,'Table 19 data'!$A$9:$W$184,$B$4+'Table 19 data'!H$4,0)</f>
        <v>74</v>
      </c>
      <c r="I123" s="245">
        <f>VLOOKUP($A123,'Table 19 data'!$A$9:$W$184,$B$4+'Table 19 data'!I$4,0)</f>
        <v>1972</v>
      </c>
      <c r="J123" s="246">
        <f>VLOOKUP($A123,'Table 19 data'!$A$9:$W$184,$B$4+'Table 19 data'!J$4,0)</f>
        <v>71.5</v>
      </c>
      <c r="K123" s="245">
        <f>VLOOKUP($A123,'Table 19 data'!$A$9:$W$184,$B$4+'Table 19 data'!K$4,0)</f>
        <v>2100</v>
      </c>
      <c r="L123" s="246">
        <f>VLOOKUP($A123,'Table 19 data'!$A$9:$W$184,$B$4+'Table 19 data'!L$4,0)</f>
        <v>78.8</v>
      </c>
    </row>
    <row r="124" spans="1:12" ht="11.25" customHeight="1" x14ac:dyDescent="0.2">
      <c r="A124" s="125" t="s">
        <v>225</v>
      </c>
      <c r="B124" s="142" t="s">
        <v>226</v>
      </c>
      <c r="C124" s="245">
        <f>VLOOKUP($A124,'Table 19 data'!$A$9:$W$184,$B$4+'Table 19 data'!C$4,0)</f>
        <v>3012</v>
      </c>
      <c r="D124" s="246">
        <f>VLOOKUP($A124,'Table 19 data'!$A$9:$W$184,$B$4+'Table 19 data'!D$4,0)</f>
        <v>79.400000000000006</v>
      </c>
      <c r="E124" s="245">
        <f>VLOOKUP($A124,'Table 19 data'!$A$9:$W$184,$B$4+'Table 19 data'!E$4,0)</f>
        <v>3152</v>
      </c>
      <c r="F124" s="246">
        <f>VLOOKUP($A124,'Table 19 data'!$A$9:$W$184,$B$4+'Table 19 data'!F$4,0)</f>
        <v>83.3</v>
      </c>
      <c r="G124" s="245">
        <f>VLOOKUP($A124,'Table 19 data'!$A$9:$W$184,$B$4+'Table 19 data'!G$4,0)</f>
        <v>3131</v>
      </c>
      <c r="H124" s="246">
        <f>VLOOKUP($A124,'Table 19 data'!$A$9:$W$184,$B$4+'Table 19 data'!H$4,0)</f>
        <v>83.5</v>
      </c>
      <c r="I124" s="245">
        <f>VLOOKUP($A124,'Table 19 data'!$A$9:$W$184,$B$4+'Table 19 data'!I$4,0)</f>
        <v>3056</v>
      </c>
      <c r="J124" s="246">
        <f>VLOOKUP($A124,'Table 19 data'!$A$9:$W$184,$B$4+'Table 19 data'!J$4,0)</f>
        <v>82.2</v>
      </c>
      <c r="K124" s="245">
        <f>VLOOKUP($A124,'Table 19 data'!$A$9:$W$184,$B$4+'Table 19 data'!K$4,0)</f>
        <v>3257</v>
      </c>
      <c r="L124" s="246">
        <f>VLOOKUP($A124,'Table 19 data'!$A$9:$W$184,$B$4+'Table 19 data'!L$4,0)</f>
        <v>82.5</v>
      </c>
    </row>
    <row r="125" spans="1:12" ht="11.25" customHeight="1" x14ac:dyDescent="0.2">
      <c r="A125" s="125" t="s">
        <v>227</v>
      </c>
      <c r="B125" s="142" t="s">
        <v>228</v>
      </c>
      <c r="C125" s="245">
        <f>VLOOKUP($A125,'Table 19 data'!$A$9:$W$184,$B$4+'Table 19 data'!C$4,0)</f>
        <v>3065</v>
      </c>
      <c r="D125" s="246">
        <f>VLOOKUP($A125,'Table 19 data'!$A$9:$W$184,$B$4+'Table 19 data'!D$4,0)</f>
        <v>69.8</v>
      </c>
      <c r="E125" s="245">
        <f>VLOOKUP($A125,'Table 19 data'!$A$9:$W$184,$B$4+'Table 19 data'!E$4,0)</f>
        <v>3144</v>
      </c>
      <c r="F125" s="246">
        <f>VLOOKUP($A125,'Table 19 data'!$A$9:$W$184,$B$4+'Table 19 data'!F$4,0)</f>
        <v>72.2</v>
      </c>
      <c r="G125" s="245">
        <f>VLOOKUP($A125,'Table 19 data'!$A$9:$W$184,$B$4+'Table 19 data'!G$4,0)</f>
        <v>3129</v>
      </c>
      <c r="H125" s="246">
        <f>VLOOKUP($A125,'Table 19 data'!$A$9:$W$184,$B$4+'Table 19 data'!H$4,0)</f>
        <v>75.5</v>
      </c>
      <c r="I125" s="245">
        <f>VLOOKUP($A125,'Table 19 data'!$A$9:$W$184,$B$4+'Table 19 data'!I$4,0)</f>
        <v>3161</v>
      </c>
      <c r="J125" s="246">
        <f>VLOOKUP($A125,'Table 19 data'!$A$9:$W$184,$B$4+'Table 19 data'!J$4,0)</f>
        <v>69.599999999999994</v>
      </c>
      <c r="K125" s="245">
        <f>VLOOKUP($A125,'Table 19 data'!$A$9:$W$184,$B$4+'Table 19 data'!K$4,0)</f>
        <v>3063</v>
      </c>
      <c r="L125" s="246">
        <f>VLOOKUP($A125,'Table 19 data'!$A$9:$W$184,$B$4+'Table 19 data'!L$4,0)</f>
        <v>71.099999999999994</v>
      </c>
    </row>
    <row r="126" spans="1:12" ht="11.25" customHeight="1" x14ac:dyDescent="0.2">
      <c r="A126" s="125" t="s">
        <v>229</v>
      </c>
      <c r="B126" s="142" t="s">
        <v>230</v>
      </c>
      <c r="C126" s="245">
        <f>VLOOKUP($A126,'Table 19 data'!$A$9:$W$184,$B$4+'Table 19 data'!C$4,0)</f>
        <v>2436</v>
      </c>
      <c r="D126" s="246">
        <f>VLOOKUP($A126,'Table 19 data'!$A$9:$W$184,$B$4+'Table 19 data'!D$4,0)</f>
        <v>77.099999999999994</v>
      </c>
      <c r="E126" s="245">
        <f>VLOOKUP($A126,'Table 19 data'!$A$9:$W$184,$B$4+'Table 19 data'!E$4,0)</f>
        <v>2550</v>
      </c>
      <c r="F126" s="246">
        <f>VLOOKUP($A126,'Table 19 data'!$A$9:$W$184,$B$4+'Table 19 data'!F$4,0)</f>
        <v>79.400000000000006</v>
      </c>
      <c r="G126" s="245">
        <f>VLOOKUP($A126,'Table 19 data'!$A$9:$W$184,$B$4+'Table 19 data'!G$4,0)</f>
        <v>2454</v>
      </c>
      <c r="H126" s="246">
        <f>VLOOKUP($A126,'Table 19 data'!$A$9:$W$184,$B$4+'Table 19 data'!H$4,0)</f>
        <v>82</v>
      </c>
      <c r="I126" s="245">
        <f>VLOOKUP($A126,'Table 19 data'!$A$9:$W$184,$B$4+'Table 19 data'!I$4,0)</f>
        <v>2523</v>
      </c>
      <c r="J126" s="246">
        <f>VLOOKUP($A126,'Table 19 data'!$A$9:$W$184,$B$4+'Table 19 data'!J$4,0)</f>
        <v>74.8</v>
      </c>
      <c r="K126" s="245">
        <f>VLOOKUP($A126,'Table 19 data'!$A$9:$W$184,$B$4+'Table 19 data'!K$4,0)</f>
        <v>2575</v>
      </c>
      <c r="L126" s="246">
        <f>VLOOKUP($A126,'Table 19 data'!$A$9:$W$184,$B$4+'Table 19 data'!L$4,0)</f>
        <v>78.8</v>
      </c>
    </row>
    <row r="127" spans="1:12" ht="11.25" customHeight="1" x14ac:dyDescent="0.2">
      <c r="A127" s="125" t="s">
        <v>231</v>
      </c>
      <c r="B127" s="142" t="s">
        <v>232</v>
      </c>
      <c r="C127" s="245">
        <f>VLOOKUP($A127,'Table 19 data'!$A$9:$W$184,$B$4+'Table 19 data'!C$4,0)</f>
        <v>3367</v>
      </c>
      <c r="D127" s="246">
        <f>VLOOKUP($A127,'Table 19 data'!$A$9:$W$184,$B$4+'Table 19 data'!D$4,0)</f>
        <v>76.3</v>
      </c>
      <c r="E127" s="245">
        <f>VLOOKUP($A127,'Table 19 data'!$A$9:$W$184,$B$4+'Table 19 data'!E$4,0)</f>
        <v>3289</v>
      </c>
      <c r="F127" s="246">
        <f>VLOOKUP($A127,'Table 19 data'!$A$9:$W$184,$B$4+'Table 19 data'!F$4,0)</f>
        <v>78.8</v>
      </c>
      <c r="G127" s="245">
        <f>VLOOKUP($A127,'Table 19 data'!$A$9:$W$184,$B$4+'Table 19 data'!G$4,0)</f>
        <v>3299</v>
      </c>
      <c r="H127" s="246">
        <f>VLOOKUP($A127,'Table 19 data'!$A$9:$W$184,$B$4+'Table 19 data'!H$4,0)</f>
        <v>81.099999999999994</v>
      </c>
      <c r="I127" s="245">
        <f>VLOOKUP($A127,'Table 19 data'!$A$9:$W$184,$B$4+'Table 19 data'!I$4,0)</f>
        <v>3209</v>
      </c>
      <c r="J127" s="246">
        <f>VLOOKUP($A127,'Table 19 data'!$A$9:$W$184,$B$4+'Table 19 data'!J$4,0)</f>
        <v>77.7</v>
      </c>
      <c r="K127" s="245">
        <f>VLOOKUP($A127,'Table 19 data'!$A$9:$W$184,$B$4+'Table 19 data'!K$4,0)</f>
        <v>3291</v>
      </c>
      <c r="L127" s="246">
        <f>VLOOKUP($A127,'Table 19 data'!$A$9:$W$184,$B$4+'Table 19 data'!L$4,0)</f>
        <v>82.7</v>
      </c>
    </row>
    <row r="128" spans="1:12" ht="11.25" customHeight="1" x14ac:dyDescent="0.2">
      <c r="A128" s="125" t="s">
        <v>233</v>
      </c>
      <c r="B128" s="142" t="s">
        <v>234</v>
      </c>
      <c r="C128" s="245">
        <f>VLOOKUP($A128,'Table 19 data'!$A$9:$W$184,$B$4+'Table 19 data'!C$4,0)</f>
        <v>3408</v>
      </c>
      <c r="D128" s="246">
        <f>VLOOKUP($A128,'Table 19 data'!$A$9:$W$184,$B$4+'Table 19 data'!D$4,0)</f>
        <v>67.8</v>
      </c>
      <c r="E128" s="245">
        <f>VLOOKUP($A128,'Table 19 data'!$A$9:$W$184,$B$4+'Table 19 data'!E$4,0)</f>
        <v>3431</v>
      </c>
      <c r="F128" s="246">
        <f>VLOOKUP($A128,'Table 19 data'!$A$9:$W$184,$B$4+'Table 19 data'!F$4,0)</f>
        <v>71.900000000000006</v>
      </c>
      <c r="G128" s="245">
        <f>VLOOKUP($A128,'Table 19 data'!$A$9:$W$184,$B$4+'Table 19 data'!G$4,0)</f>
        <v>3446</v>
      </c>
      <c r="H128" s="246">
        <f>VLOOKUP($A128,'Table 19 data'!$A$9:$W$184,$B$4+'Table 19 data'!H$4,0)</f>
        <v>74.900000000000006</v>
      </c>
      <c r="I128" s="245">
        <f>VLOOKUP($A128,'Table 19 data'!$A$9:$W$184,$B$4+'Table 19 data'!I$4,0)</f>
        <v>3350</v>
      </c>
      <c r="J128" s="246">
        <f>VLOOKUP($A128,'Table 19 data'!$A$9:$W$184,$B$4+'Table 19 data'!J$4,0)</f>
        <v>74.2</v>
      </c>
      <c r="K128" s="245">
        <f>VLOOKUP($A128,'Table 19 data'!$A$9:$W$184,$B$4+'Table 19 data'!K$4,0)</f>
        <v>3482</v>
      </c>
      <c r="L128" s="246">
        <f>VLOOKUP($A128,'Table 19 data'!$A$9:$W$184,$B$4+'Table 19 data'!L$4,0)</f>
        <v>77.3</v>
      </c>
    </row>
    <row r="129" spans="1:12" ht="11.25" customHeight="1" x14ac:dyDescent="0.2">
      <c r="A129" s="125" t="s">
        <v>235</v>
      </c>
      <c r="B129" s="142" t="s">
        <v>236</v>
      </c>
      <c r="C129" s="245">
        <f>VLOOKUP($A129,'Table 19 data'!$A$9:$W$184,$B$4+'Table 19 data'!C$4,0)</f>
        <v>2492</v>
      </c>
      <c r="D129" s="246">
        <f>VLOOKUP($A129,'Table 19 data'!$A$9:$W$184,$B$4+'Table 19 data'!D$4,0)</f>
        <v>75.900000000000006</v>
      </c>
      <c r="E129" s="245">
        <f>VLOOKUP($A129,'Table 19 data'!$A$9:$W$184,$B$4+'Table 19 data'!E$4,0)</f>
        <v>2590</v>
      </c>
      <c r="F129" s="246">
        <f>VLOOKUP($A129,'Table 19 data'!$A$9:$W$184,$B$4+'Table 19 data'!F$4,0)</f>
        <v>80.3</v>
      </c>
      <c r="G129" s="245">
        <f>VLOOKUP($A129,'Table 19 data'!$A$9:$W$184,$B$4+'Table 19 data'!G$4,0)</f>
        <v>2444</v>
      </c>
      <c r="H129" s="246">
        <f>VLOOKUP($A129,'Table 19 data'!$A$9:$W$184,$B$4+'Table 19 data'!H$4,0)</f>
        <v>79.099999999999994</v>
      </c>
      <c r="I129" s="245">
        <f>VLOOKUP($A129,'Table 19 data'!$A$9:$W$184,$B$4+'Table 19 data'!I$4,0)</f>
        <v>2534</v>
      </c>
      <c r="J129" s="246">
        <f>VLOOKUP($A129,'Table 19 data'!$A$9:$W$184,$B$4+'Table 19 data'!J$4,0)</f>
        <v>77.599999999999994</v>
      </c>
      <c r="K129" s="245">
        <f>VLOOKUP($A129,'Table 19 data'!$A$9:$W$184,$B$4+'Table 19 data'!K$4,0)</f>
        <v>2600</v>
      </c>
      <c r="L129" s="246">
        <f>VLOOKUP($A129,'Table 19 data'!$A$9:$W$184,$B$4+'Table 19 data'!L$4,0)</f>
        <v>78.900000000000006</v>
      </c>
    </row>
    <row r="130" spans="1:12" ht="11.25" customHeight="1" x14ac:dyDescent="0.2">
      <c r="A130" s="125" t="s">
        <v>237</v>
      </c>
      <c r="B130" s="142" t="s">
        <v>238</v>
      </c>
      <c r="C130" s="245">
        <f>VLOOKUP($A130,'Table 19 data'!$A$9:$W$184,$B$4+'Table 19 data'!C$4,0)</f>
        <v>3394</v>
      </c>
      <c r="D130" s="246">
        <f>VLOOKUP($A130,'Table 19 data'!$A$9:$W$184,$B$4+'Table 19 data'!D$4,0)</f>
        <v>69.2</v>
      </c>
      <c r="E130" s="245">
        <f>VLOOKUP($A130,'Table 19 data'!$A$9:$W$184,$B$4+'Table 19 data'!E$4,0)</f>
        <v>3407</v>
      </c>
      <c r="F130" s="246">
        <f>VLOOKUP($A130,'Table 19 data'!$A$9:$W$184,$B$4+'Table 19 data'!F$4,0)</f>
        <v>76</v>
      </c>
      <c r="G130" s="245">
        <f>VLOOKUP($A130,'Table 19 data'!$A$9:$W$184,$B$4+'Table 19 data'!G$4,0)</f>
        <v>3296</v>
      </c>
      <c r="H130" s="246">
        <f>VLOOKUP($A130,'Table 19 data'!$A$9:$W$184,$B$4+'Table 19 data'!H$4,0)</f>
        <v>75.900000000000006</v>
      </c>
      <c r="I130" s="245">
        <f>VLOOKUP($A130,'Table 19 data'!$A$9:$W$184,$B$4+'Table 19 data'!I$4,0)</f>
        <v>3480</v>
      </c>
      <c r="J130" s="246">
        <f>VLOOKUP($A130,'Table 19 data'!$A$9:$W$184,$B$4+'Table 19 data'!J$4,0)</f>
        <v>71.599999999999994</v>
      </c>
      <c r="K130" s="245">
        <f>VLOOKUP($A130,'Table 19 data'!$A$9:$W$184,$B$4+'Table 19 data'!K$4,0)</f>
        <v>3559</v>
      </c>
      <c r="L130" s="246">
        <f>VLOOKUP($A130,'Table 19 data'!$A$9:$W$184,$B$4+'Table 19 data'!L$4,0)</f>
        <v>76.400000000000006</v>
      </c>
    </row>
    <row r="131" spans="1:12" ht="11.25" customHeight="1" x14ac:dyDescent="0.2">
      <c r="A131" s="125" t="s">
        <v>239</v>
      </c>
      <c r="B131" s="142" t="s">
        <v>240</v>
      </c>
      <c r="C131" s="245">
        <f>VLOOKUP($A131,'Table 19 data'!$A$9:$W$184,$B$4+'Table 19 data'!C$4,0)</f>
        <v>2183</v>
      </c>
      <c r="D131" s="246">
        <f>VLOOKUP($A131,'Table 19 data'!$A$9:$W$184,$B$4+'Table 19 data'!D$4,0)</f>
        <v>64.5</v>
      </c>
      <c r="E131" s="245">
        <f>VLOOKUP($A131,'Table 19 data'!$A$9:$W$184,$B$4+'Table 19 data'!E$4,0)</f>
        <v>2109</v>
      </c>
      <c r="F131" s="246">
        <f>VLOOKUP($A131,'Table 19 data'!$A$9:$W$184,$B$4+'Table 19 data'!F$4,0)</f>
        <v>73</v>
      </c>
      <c r="G131" s="245">
        <f>VLOOKUP($A131,'Table 19 data'!$A$9:$W$184,$B$4+'Table 19 data'!G$4,0)</f>
        <v>2042</v>
      </c>
      <c r="H131" s="246">
        <f>VLOOKUP($A131,'Table 19 data'!$A$9:$W$184,$B$4+'Table 19 data'!H$4,0)</f>
        <v>74.8</v>
      </c>
      <c r="I131" s="245">
        <f>VLOOKUP($A131,'Table 19 data'!$A$9:$W$184,$B$4+'Table 19 data'!I$4,0)</f>
        <v>1974</v>
      </c>
      <c r="J131" s="246">
        <f>VLOOKUP($A131,'Table 19 data'!$A$9:$W$184,$B$4+'Table 19 data'!J$4,0)</f>
        <v>76.7</v>
      </c>
      <c r="K131" s="245">
        <f>VLOOKUP($A131,'Table 19 data'!$A$9:$W$184,$B$4+'Table 19 data'!K$4,0)</f>
        <v>1961</v>
      </c>
      <c r="L131" s="246">
        <f>VLOOKUP($A131,'Table 19 data'!$A$9:$W$184,$B$4+'Table 19 data'!L$4,0)</f>
        <v>80.599999999999994</v>
      </c>
    </row>
    <row r="132" spans="1:12" ht="11.25" customHeight="1" x14ac:dyDescent="0.2">
      <c r="A132" s="125" t="s">
        <v>241</v>
      </c>
      <c r="B132" s="142" t="s">
        <v>242</v>
      </c>
      <c r="C132" s="245">
        <f>VLOOKUP($A132,'Table 19 data'!$A$9:$W$184,$B$4+'Table 19 data'!C$4,0)</f>
        <v>1900</v>
      </c>
      <c r="D132" s="246">
        <f>VLOOKUP($A132,'Table 19 data'!$A$9:$W$184,$B$4+'Table 19 data'!D$4,0)</f>
        <v>78.599999999999994</v>
      </c>
      <c r="E132" s="245">
        <f>VLOOKUP($A132,'Table 19 data'!$A$9:$W$184,$B$4+'Table 19 data'!E$4,0)</f>
        <v>1965</v>
      </c>
      <c r="F132" s="246">
        <f>VLOOKUP($A132,'Table 19 data'!$A$9:$W$184,$B$4+'Table 19 data'!F$4,0)</f>
        <v>80.099999999999994</v>
      </c>
      <c r="G132" s="245">
        <f>VLOOKUP($A132,'Table 19 data'!$A$9:$W$184,$B$4+'Table 19 data'!G$4,0)</f>
        <v>1915</v>
      </c>
      <c r="H132" s="246">
        <f>VLOOKUP($A132,'Table 19 data'!$A$9:$W$184,$B$4+'Table 19 data'!H$4,0)</f>
        <v>80.900000000000006</v>
      </c>
      <c r="I132" s="245">
        <f>VLOOKUP($A132,'Table 19 data'!$A$9:$W$184,$B$4+'Table 19 data'!I$4,0)</f>
        <v>1907</v>
      </c>
      <c r="J132" s="246">
        <f>VLOOKUP($A132,'Table 19 data'!$A$9:$W$184,$B$4+'Table 19 data'!J$4,0)</f>
        <v>82.3</v>
      </c>
      <c r="K132" s="245">
        <f>VLOOKUP($A132,'Table 19 data'!$A$9:$W$184,$B$4+'Table 19 data'!K$4,0)</f>
        <v>1956</v>
      </c>
      <c r="L132" s="246">
        <f>VLOOKUP($A132,'Table 19 data'!$A$9:$W$184,$B$4+'Table 19 data'!L$4,0)</f>
        <v>79.7</v>
      </c>
    </row>
    <row r="133" spans="1:12" ht="11.25" customHeight="1" x14ac:dyDescent="0.2">
      <c r="A133" s="125" t="s">
        <v>243</v>
      </c>
      <c r="B133" s="142" t="s">
        <v>244</v>
      </c>
      <c r="C133" s="245">
        <f>VLOOKUP($A133,'Table 19 data'!$A$9:$W$184,$B$4+'Table 19 data'!C$4,0)</f>
        <v>2945</v>
      </c>
      <c r="D133" s="246">
        <f>VLOOKUP($A133,'Table 19 data'!$A$9:$W$184,$B$4+'Table 19 data'!D$4,0)</f>
        <v>69.2</v>
      </c>
      <c r="E133" s="245">
        <f>VLOOKUP($A133,'Table 19 data'!$A$9:$W$184,$B$4+'Table 19 data'!E$4,0)</f>
        <v>3004</v>
      </c>
      <c r="F133" s="246">
        <f>VLOOKUP($A133,'Table 19 data'!$A$9:$W$184,$B$4+'Table 19 data'!F$4,0)</f>
        <v>70.900000000000006</v>
      </c>
      <c r="G133" s="245">
        <f>VLOOKUP($A133,'Table 19 data'!$A$9:$W$184,$B$4+'Table 19 data'!G$4,0)</f>
        <v>2969</v>
      </c>
      <c r="H133" s="246">
        <f>VLOOKUP($A133,'Table 19 data'!$A$9:$W$184,$B$4+'Table 19 data'!H$4,0)</f>
        <v>75.599999999999994</v>
      </c>
      <c r="I133" s="245">
        <f>VLOOKUP($A133,'Table 19 data'!$A$9:$W$184,$B$4+'Table 19 data'!I$4,0)</f>
        <v>2933</v>
      </c>
      <c r="J133" s="246">
        <f>VLOOKUP($A133,'Table 19 data'!$A$9:$W$184,$B$4+'Table 19 data'!J$4,0)</f>
        <v>64.900000000000006</v>
      </c>
      <c r="K133" s="245">
        <f>VLOOKUP($A133,'Table 19 data'!$A$9:$W$184,$B$4+'Table 19 data'!K$4,0)</f>
        <v>2960</v>
      </c>
      <c r="L133" s="246">
        <f>VLOOKUP($A133,'Table 19 data'!$A$9:$W$184,$B$4+'Table 19 data'!L$4,0)</f>
        <v>72.5</v>
      </c>
    </row>
    <row r="134" spans="1:12" ht="11.25" customHeight="1" x14ac:dyDescent="0.2">
      <c r="A134" s="125" t="s">
        <v>245</v>
      </c>
      <c r="B134" s="142" t="s">
        <v>246</v>
      </c>
      <c r="C134" s="245">
        <f>VLOOKUP($A134,'Table 19 data'!$A$9:$W$184,$B$4+'Table 19 data'!C$4,0)</f>
        <v>2692</v>
      </c>
      <c r="D134" s="246">
        <f>VLOOKUP($A134,'Table 19 data'!$A$9:$W$184,$B$4+'Table 19 data'!D$4,0)</f>
        <v>66.400000000000006</v>
      </c>
      <c r="E134" s="245">
        <f>VLOOKUP($A134,'Table 19 data'!$A$9:$W$184,$B$4+'Table 19 data'!E$4,0)</f>
        <v>2814</v>
      </c>
      <c r="F134" s="246">
        <f>VLOOKUP($A134,'Table 19 data'!$A$9:$W$184,$B$4+'Table 19 data'!F$4,0)</f>
        <v>73.3</v>
      </c>
      <c r="G134" s="245">
        <f>VLOOKUP($A134,'Table 19 data'!$A$9:$W$184,$B$4+'Table 19 data'!G$4,0)</f>
        <v>2774</v>
      </c>
      <c r="H134" s="246">
        <f>VLOOKUP($A134,'Table 19 data'!$A$9:$W$184,$B$4+'Table 19 data'!H$4,0)</f>
        <v>75.2</v>
      </c>
      <c r="I134" s="245">
        <f>VLOOKUP($A134,'Table 19 data'!$A$9:$W$184,$B$4+'Table 19 data'!I$4,0)</f>
        <v>2752</v>
      </c>
      <c r="J134" s="246">
        <f>VLOOKUP($A134,'Table 19 data'!$A$9:$W$184,$B$4+'Table 19 data'!J$4,0)</f>
        <v>71</v>
      </c>
      <c r="K134" s="245">
        <f>VLOOKUP($A134,'Table 19 data'!$A$9:$W$184,$B$4+'Table 19 data'!K$4,0)</f>
        <v>2838</v>
      </c>
      <c r="L134" s="246">
        <f>VLOOKUP($A134,'Table 19 data'!$A$9:$W$184,$B$4+'Table 19 data'!L$4,0)</f>
        <v>74</v>
      </c>
    </row>
    <row r="135" spans="1:12" ht="11.25" customHeight="1" x14ac:dyDescent="0.2">
      <c r="A135" s="125" t="s">
        <v>247</v>
      </c>
      <c r="B135" s="142" t="s">
        <v>248</v>
      </c>
      <c r="C135" s="245">
        <f>VLOOKUP($A135,'Table 19 data'!$A$9:$W$184,$B$4+'Table 19 data'!C$4,0)</f>
        <v>2316</v>
      </c>
      <c r="D135" s="246">
        <f>VLOOKUP($A135,'Table 19 data'!$A$9:$W$184,$B$4+'Table 19 data'!D$4,0)</f>
        <v>73.599999999999994</v>
      </c>
      <c r="E135" s="245">
        <f>VLOOKUP($A135,'Table 19 data'!$A$9:$W$184,$B$4+'Table 19 data'!E$4,0)</f>
        <v>2383</v>
      </c>
      <c r="F135" s="246">
        <f>VLOOKUP($A135,'Table 19 data'!$A$9:$W$184,$B$4+'Table 19 data'!F$4,0)</f>
        <v>78.7</v>
      </c>
      <c r="G135" s="245">
        <f>VLOOKUP($A135,'Table 19 data'!$A$9:$W$184,$B$4+'Table 19 data'!G$4,0)</f>
        <v>2353</v>
      </c>
      <c r="H135" s="246">
        <f>VLOOKUP($A135,'Table 19 data'!$A$9:$W$184,$B$4+'Table 19 data'!H$4,0)</f>
        <v>81.3</v>
      </c>
      <c r="I135" s="245">
        <f>VLOOKUP($A135,'Table 19 data'!$A$9:$W$184,$B$4+'Table 19 data'!I$4,0)</f>
        <v>2292</v>
      </c>
      <c r="J135" s="246">
        <f>VLOOKUP($A135,'Table 19 data'!$A$9:$W$184,$B$4+'Table 19 data'!J$4,0)</f>
        <v>75.599999999999994</v>
      </c>
      <c r="K135" s="245">
        <f>VLOOKUP($A135,'Table 19 data'!$A$9:$W$184,$B$4+'Table 19 data'!K$4,0)</f>
        <v>2492</v>
      </c>
      <c r="L135" s="246">
        <f>VLOOKUP($A135,'Table 19 data'!$A$9:$W$184,$B$4+'Table 19 data'!L$4,0)</f>
        <v>79</v>
      </c>
    </row>
    <row r="136" spans="1:12" ht="11.25" customHeight="1" x14ac:dyDescent="0.2">
      <c r="A136" s="125" t="s">
        <v>249</v>
      </c>
      <c r="B136" s="142" t="s">
        <v>250</v>
      </c>
      <c r="C136" s="245">
        <f>VLOOKUP($A136,'Table 19 data'!$A$9:$W$184,$B$4+'Table 19 data'!C$4,0)</f>
        <v>1395</v>
      </c>
      <c r="D136" s="246">
        <f>VLOOKUP($A136,'Table 19 data'!$A$9:$W$184,$B$4+'Table 19 data'!D$4,0)</f>
        <v>81.099999999999994</v>
      </c>
      <c r="E136" s="245">
        <f>VLOOKUP($A136,'Table 19 data'!$A$9:$W$184,$B$4+'Table 19 data'!E$4,0)</f>
        <v>1366</v>
      </c>
      <c r="F136" s="246">
        <f>VLOOKUP($A136,'Table 19 data'!$A$9:$W$184,$B$4+'Table 19 data'!F$4,0)</f>
        <v>82.2</v>
      </c>
      <c r="G136" s="245">
        <f>VLOOKUP($A136,'Table 19 data'!$A$9:$W$184,$B$4+'Table 19 data'!G$4,0)</f>
        <v>1416</v>
      </c>
      <c r="H136" s="246">
        <f>VLOOKUP($A136,'Table 19 data'!$A$9:$W$184,$B$4+'Table 19 data'!H$4,0)</f>
        <v>84.1</v>
      </c>
      <c r="I136" s="245">
        <f>VLOOKUP($A136,'Table 19 data'!$A$9:$W$184,$B$4+'Table 19 data'!I$4,0)</f>
        <v>1417</v>
      </c>
      <c r="J136" s="246">
        <f>VLOOKUP($A136,'Table 19 data'!$A$9:$W$184,$B$4+'Table 19 data'!J$4,0)</f>
        <v>80</v>
      </c>
      <c r="K136" s="245">
        <f>VLOOKUP($A136,'Table 19 data'!$A$9:$W$184,$B$4+'Table 19 data'!K$4,0)</f>
        <v>1488</v>
      </c>
      <c r="L136" s="246">
        <f>VLOOKUP($A136,'Table 19 data'!$A$9:$W$184,$B$4+'Table 19 data'!L$4,0)</f>
        <v>81.900000000000006</v>
      </c>
    </row>
    <row r="137" spans="1:12" ht="11.25" customHeight="1" x14ac:dyDescent="0.2">
      <c r="A137" s="125" t="s">
        <v>251</v>
      </c>
      <c r="B137" s="142" t="s">
        <v>252</v>
      </c>
      <c r="C137" s="245">
        <f>VLOOKUP($A137,'Table 19 data'!$A$9:$W$184,$B$4+'Table 19 data'!C$4,0)</f>
        <v>1391</v>
      </c>
      <c r="D137" s="246">
        <f>VLOOKUP($A137,'Table 19 data'!$A$9:$W$184,$B$4+'Table 19 data'!D$4,0)</f>
        <v>70.7</v>
      </c>
      <c r="E137" s="245">
        <f>VLOOKUP($A137,'Table 19 data'!$A$9:$W$184,$B$4+'Table 19 data'!E$4,0)</f>
        <v>1412</v>
      </c>
      <c r="F137" s="246">
        <f>VLOOKUP($A137,'Table 19 data'!$A$9:$W$184,$B$4+'Table 19 data'!F$4,0)</f>
        <v>69.3</v>
      </c>
      <c r="G137" s="245">
        <f>VLOOKUP($A137,'Table 19 data'!$A$9:$W$184,$B$4+'Table 19 data'!G$4,0)</f>
        <v>1349</v>
      </c>
      <c r="H137" s="246">
        <f>VLOOKUP($A137,'Table 19 data'!$A$9:$W$184,$B$4+'Table 19 data'!H$4,0)</f>
        <v>75.900000000000006</v>
      </c>
      <c r="I137" s="245">
        <f>VLOOKUP($A137,'Table 19 data'!$A$9:$W$184,$B$4+'Table 19 data'!I$4,0)</f>
        <v>1396</v>
      </c>
      <c r="J137" s="246">
        <f>VLOOKUP($A137,'Table 19 data'!$A$9:$W$184,$B$4+'Table 19 data'!J$4,0)</f>
        <v>72.599999999999994</v>
      </c>
      <c r="K137" s="245">
        <f>VLOOKUP($A137,'Table 19 data'!$A$9:$W$184,$B$4+'Table 19 data'!K$4,0)</f>
        <v>1447</v>
      </c>
      <c r="L137" s="246">
        <f>VLOOKUP($A137,'Table 19 data'!$A$9:$W$184,$B$4+'Table 19 data'!L$4,0)</f>
        <v>77.099999999999994</v>
      </c>
    </row>
    <row r="138" spans="1:12" ht="11.25" customHeight="1" x14ac:dyDescent="0.2">
      <c r="A138" s="125" t="s">
        <v>253</v>
      </c>
      <c r="B138" s="142" t="s">
        <v>254</v>
      </c>
      <c r="C138" s="245">
        <f>VLOOKUP($A138,'Table 19 data'!$A$9:$W$184,$B$4+'Table 19 data'!C$4,0)</f>
        <v>3008</v>
      </c>
      <c r="D138" s="246">
        <f>VLOOKUP($A138,'Table 19 data'!$A$9:$W$184,$B$4+'Table 19 data'!D$4,0)</f>
        <v>80.400000000000006</v>
      </c>
      <c r="E138" s="245">
        <f>VLOOKUP($A138,'Table 19 data'!$A$9:$W$184,$B$4+'Table 19 data'!E$4,0)</f>
        <v>2999</v>
      </c>
      <c r="F138" s="246">
        <f>VLOOKUP($A138,'Table 19 data'!$A$9:$W$184,$B$4+'Table 19 data'!F$4,0)</f>
        <v>84.6</v>
      </c>
      <c r="G138" s="245">
        <f>VLOOKUP($A138,'Table 19 data'!$A$9:$W$184,$B$4+'Table 19 data'!G$4,0)</f>
        <v>3080</v>
      </c>
      <c r="H138" s="246">
        <f>VLOOKUP($A138,'Table 19 data'!$A$9:$W$184,$B$4+'Table 19 data'!H$4,0)</f>
        <v>83.7</v>
      </c>
      <c r="I138" s="245">
        <f>VLOOKUP($A138,'Table 19 data'!$A$9:$W$184,$B$4+'Table 19 data'!I$4,0)</f>
        <v>3122</v>
      </c>
      <c r="J138" s="246">
        <f>VLOOKUP($A138,'Table 19 data'!$A$9:$W$184,$B$4+'Table 19 data'!J$4,0)</f>
        <v>80.3</v>
      </c>
      <c r="K138" s="245">
        <f>VLOOKUP($A138,'Table 19 data'!$A$9:$W$184,$B$4+'Table 19 data'!K$4,0)</f>
        <v>3243</v>
      </c>
      <c r="L138" s="246">
        <f>VLOOKUP($A138,'Table 19 data'!$A$9:$W$184,$B$4+'Table 19 data'!L$4,0)</f>
        <v>81.5</v>
      </c>
    </row>
    <row r="139" spans="1:12" ht="11.25" customHeight="1" x14ac:dyDescent="0.2">
      <c r="A139" s="125" t="s">
        <v>255</v>
      </c>
      <c r="B139" s="142" t="s">
        <v>256</v>
      </c>
      <c r="C139" s="245">
        <f>VLOOKUP($A139,'Table 19 data'!$A$9:$W$184,$B$4+'Table 19 data'!C$4,0)</f>
        <v>1336</v>
      </c>
      <c r="D139" s="246">
        <f>VLOOKUP($A139,'Table 19 data'!$A$9:$W$184,$B$4+'Table 19 data'!D$4,0)</f>
        <v>70.5</v>
      </c>
      <c r="E139" s="245">
        <f>VLOOKUP($A139,'Table 19 data'!$A$9:$W$184,$B$4+'Table 19 data'!E$4,0)</f>
        <v>1265</v>
      </c>
      <c r="F139" s="246">
        <f>VLOOKUP($A139,'Table 19 data'!$A$9:$W$184,$B$4+'Table 19 data'!F$4,0)</f>
        <v>73.7</v>
      </c>
      <c r="G139" s="245">
        <f>VLOOKUP($A139,'Table 19 data'!$A$9:$W$184,$B$4+'Table 19 data'!G$4,0)</f>
        <v>1288</v>
      </c>
      <c r="H139" s="246">
        <f>VLOOKUP($A139,'Table 19 data'!$A$9:$W$184,$B$4+'Table 19 data'!H$4,0)</f>
        <v>77.5</v>
      </c>
      <c r="I139" s="245">
        <f>VLOOKUP($A139,'Table 19 data'!$A$9:$W$184,$B$4+'Table 19 data'!I$4,0)</f>
        <v>1207</v>
      </c>
      <c r="J139" s="246">
        <f>VLOOKUP($A139,'Table 19 data'!$A$9:$W$184,$B$4+'Table 19 data'!J$4,0)</f>
        <v>69.3</v>
      </c>
      <c r="K139" s="245">
        <f>VLOOKUP($A139,'Table 19 data'!$A$9:$W$184,$B$4+'Table 19 data'!K$4,0)</f>
        <v>1247</v>
      </c>
      <c r="L139" s="246">
        <f>VLOOKUP($A139,'Table 19 data'!$A$9:$W$184,$B$4+'Table 19 data'!L$4,0)</f>
        <v>75.900000000000006</v>
      </c>
    </row>
    <row r="140" spans="1:12" ht="11.25" customHeight="1" x14ac:dyDescent="0.2">
      <c r="A140" s="125" t="s">
        <v>257</v>
      </c>
      <c r="B140" s="142" t="s">
        <v>258</v>
      </c>
      <c r="C140" s="245">
        <f>VLOOKUP($A140,'Table 19 data'!$A$9:$W$184,$B$4+'Table 19 data'!C$4,0)</f>
        <v>2496</v>
      </c>
      <c r="D140" s="246">
        <f>VLOOKUP($A140,'Table 19 data'!$A$9:$W$184,$B$4+'Table 19 data'!D$4,0)</f>
        <v>76.8</v>
      </c>
      <c r="E140" s="245">
        <f>VLOOKUP($A140,'Table 19 data'!$A$9:$W$184,$B$4+'Table 19 data'!E$4,0)</f>
        <v>2553</v>
      </c>
      <c r="F140" s="246">
        <f>VLOOKUP($A140,'Table 19 data'!$A$9:$W$184,$B$4+'Table 19 data'!F$4,0)</f>
        <v>80.599999999999994</v>
      </c>
      <c r="G140" s="245">
        <f>VLOOKUP($A140,'Table 19 data'!$A$9:$W$184,$B$4+'Table 19 data'!G$4,0)</f>
        <v>2515</v>
      </c>
      <c r="H140" s="246">
        <f>VLOOKUP($A140,'Table 19 data'!$A$9:$W$184,$B$4+'Table 19 data'!H$4,0)</f>
        <v>83.7</v>
      </c>
      <c r="I140" s="245">
        <f>VLOOKUP($A140,'Table 19 data'!$A$9:$W$184,$B$4+'Table 19 data'!I$4,0)</f>
        <v>2545</v>
      </c>
      <c r="J140" s="246">
        <f>VLOOKUP($A140,'Table 19 data'!$A$9:$W$184,$B$4+'Table 19 data'!J$4,0)</f>
        <v>79.7</v>
      </c>
      <c r="K140" s="245">
        <f>VLOOKUP($A140,'Table 19 data'!$A$9:$W$184,$B$4+'Table 19 data'!K$4,0)</f>
        <v>2597</v>
      </c>
      <c r="L140" s="246">
        <f>VLOOKUP($A140,'Table 19 data'!$A$9:$W$184,$B$4+'Table 19 data'!L$4,0)</f>
        <v>84.9</v>
      </c>
    </row>
    <row r="141" spans="1:12" ht="11.25" customHeight="1" x14ac:dyDescent="0.2">
      <c r="A141" s="125" t="s">
        <v>259</v>
      </c>
      <c r="B141" s="142" t="s">
        <v>260</v>
      </c>
      <c r="C141" s="245">
        <f>VLOOKUP($A141,'Table 19 data'!$A$9:$W$184,$B$4+'Table 19 data'!C$4,0)</f>
        <v>2328</v>
      </c>
      <c r="D141" s="246">
        <f>VLOOKUP($A141,'Table 19 data'!$A$9:$W$184,$B$4+'Table 19 data'!D$4,0)</f>
        <v>68.099999999999994</v>
      </c>
      <c r="E141" s="245">
        <f>VLOOKUP($A141,'Table 19 data'!$A$9:$W$184,$B$4+'Table 19 data'!E$4,0)</f>
        <v>2359</v>
      </c>
      <c r="F141" s="246">
        <f>VLOOKUP($A141,'Table 19 data'!$A$9:$W$184,$B$4+'Table 19 data'!F$4,0)</f>
        <v>75.599999999999994</v>
      </c>
      <c r="G141" s="245">
        <f>VLOOKUP($A141,'Table 19 data'!$A$9:$W$184,$B$4+'Table 19 data'!G$4,0)</f>
        <v>2240</v>
      </c>
      <c r="H141" s="246">
        <f>VLOOKUP($A141,'Table 19 data'!$A$9:$W$184,$B$4+'Table 19 data'!H$4,0)</f>
        <v>76</v>
      </c>
      <c r="I141" s="245">
        <f>VLOOKUP($A141,'Table 19 data'!$A$9:$W$184,$B$4+'Table 19 data'!I$4,0)</f>
        <v>2245</v>
      </c>
      <c r="J141" s="246">
        <f>VLOOKUP($A141,'Table 19 data'!$A$9:$W$184,$B$4+'Table 19 data'!J$4,0)</f>
        <v>70.599999999999994</v>
      </c>
      <c r="K141" s="245">
        <f>VLOOKUP($A141,'Table 19 data'!$A$9:$W$184,$B$4+'Table 19 data'!K$4,0)</f>
        <v>2333</v>
      </c>
      <c r="L141" s="246">
        <f>VLOOKUP($A141,'Table 19 data'!$A$9:$W$184,$B$4+'Table 19 data'!L$4,0)</f>
        <v>73</v>
      </c>
    </row>
    <row r="142" spans="1:12" ht="11.25" customHeight="1" x14ac:dyDescent="0.2">
      <c r="A142" s="3"/>
      <c r="B142" s="142"/>
      <c r="C142" s="247"/>
      <c r="D142" s="248"/>
      <c r="E142" s="247"/>
      <c r="F142" s="248"/>
      <c r="G142" s="247"/>
      <c r="H142" s="249"/>
      <c r="I142" s="250"/>
      <c r="J142" s="250"/>
      <c r="K142" s="250"/>
      <c r="L142" s="250"/>
    </row>
    <row r="143" spans="1:12" s="98" customFormat="1" ht="11.25" customHeight="1" x14ac:dyDescent="0.2">
      <c r="A143" s="16" t="s">
        <v>387</v>
      </c>
      <c r="B143" s="92" t="s">
        <v>261</v>
      </c>
      <c r="C143" s="243">
        <f>VLOOKUP($A143,'Table 19 data'!$A$9:$W$184,$B$4+'Table 19 data'!C$4,0)</f>
        <v>85200</v>
      </c>
      <c r="D143" s="244">
        <f>VLOOKUP($A143,'Table 19 data'!$A$9:$W$184,$B$4+'Table 19 data'!D$4,0)</f>
        <v>68.7</v>
      </c>
      <c r="E143" s="243">
        <f>VLOOKUP($A143,'Table 19 data'!$A$9:$W$184,$B$4+'Table 19 data'!E$4,0)</f>
        <v>86830</v>
      </c>
      <c r="F143" s="244">
        <f>VLOOKUP($A143,'Table 19 data'!$A$9:$W$184,$B$4+'Table 19 data'!F$4,0)</f>
        <v>73</v>
      </c>
      <c r="G143" s="243">
        <f>VLOOKUP($A143,'Table 19 data'!$A$9:$W$184,$B$4+'Table 19 data'!G$4,0)</f>
        <v>83869</v>
      </c>
      <c r="H143" s="244">
        <f>VLOOKUP($A143,'Table 19 data'!$A$9:$W$184,$B$4+'Table 19 data'!H$4,0)</f>
        <v>73.5</v>
      </c>
      <c r="I143" s="243">
        <f>VLOOKUP($A143,'Table 19 data'!$A$9:$W$184,$B$4+'Table 19 data'!I$4,0)</f>
        <v>83465</v>
      </c>
      <c r="J143" s="244">
        <f>VLOOKUP($A143,'Table 19 data'!$A$9:$W$184,$B$4+'Table 19 data'!J$4,0)</f>
        <v>69.7</v>
      </c>
      <c r="K143" s="243">
        <f>VLOOKUP($A143,'Table 19 data'!$A$9:$W$184,$B$4+'Table 19 data'!K$4,0)</f>
        <v>85275</v>
      </c>
      <c r="L143" s="244">
        <f>VLOOKUP($A143,'Table 19 data'!$A$9:$W$184,$B$4+'Table 19 data'!L$4,0)</f>
        <v>73.7</v>
      </c>
    </row>
    <row r="144" spans="1:12" ht="11.25" customHeight="1" x14ac:dyDescent="0.2">
      <c r="A144" s="125" t="s">
        <v>464</v>
      </c>
      <c r="B144" s="142" t="s">
        <v>262</v>
      </c>
      <c r="C144" s="245">
        <f>VLOOKUP($A144,'Table 19 data'!$A$9:$W$184,$B$4+'Table 19 data'!C$4,0)</f>
        <v>1054</v>
      </c>
      <c r="D144" s="246">
        <f>VLOOKUP($A144,'Table 19 data'!$A$9:$W$184,$B$4+'Table 19 data'!D$4,0)</f>
        <v>61.1</v>
      </c>
      <c r="E144" s="245">
        <f>VLOOKUP($A144,'Table 19 data'!$A$9:$W$184,$B$4+'Table 19 data'!E$4,0)</f>
        <v>1044</v>
      </c>
      <c r="F144" s="246">
        <f>VLOOKUP($A144,'Table 19 data'!$A$9:$W$184,$B$4+'Table 19 data'!F$4,0)</f>
        <v>72.099999999999994</v>
      </c>
      <c r="G144" s="245">
        <f>VLOOKUP($A144,'Table 19 data'!$A$9:$W$184,$B$4+'Table 19 data'!G$4,0)</f>
        <v>1035</v>
      </c>
      <c r="H144" s="246">
        <f>VLOOKUP($A144,'Table 19 data'!$A$9:$W$184,$B$4+'Table 19 data'!H$4,0)</f>
        <v>74.2</v>
      </c>
      <c r="I144" s="245">
        <f>VLOOKUP($A144,'Table 19 data'!$A$9:$W$184,$B$4+'Table 19 data'!I$4,0)</f>
        <v>1048</v>
      </c>
      <c r="J144" s="246">
        <f>VLOOKUP($A144,'Table 19 data'!$A$9:$W$184,$B$4+'Table 19 data'!J$4,0)</f>
        <v>71.900000000000006</v>
      </c>
      <c r="K144" s="245">
        <f>VLOOKUP($A144,'Table 19 data'!$A$9:$W$184,$B$4+'Table 19 data'!K$4,0)</f>
        <v>1032</v>
      </c>
      <c r="L144" s="246">
        <f>VLOOKUP($A144,'Table 19 data'!$A$9:$W$184,$B$4+'Table 19 data'!L$4,0)</f>
        <v>71.5</v>
      </c>
    </row>
    <row r="145" spans="1:12" ht="11.25" customHeight="1" x14ac:dyDescent="0.2">
      <c r="A145" s="125" t="s">
        <v>263</v>
      </c>
      <c r="B145" s="142" t="s">
        <v>264</v>
      </c>
      <c r="C145" s="245">
        <f>VLOOKUP($A145,'Table 19 data'!$A$9:$W$184,$B$4+'Table 19 data'!C$4,0)</f>
        <v>2130</v>
      </c>
      <c r="D145" s="246">
        <f>VLOOKUP($A145,'Table 19 data'!$A$9:$W$184,$B$4+'Table 19 data'!D$4,0)</f>
        <v>63.6</v>
      </c>
      <c r="E145" s="245">
        <f>VLOOKUP($A145,'Table 19 data'!$A$9:$W$184,$B$4+'Table 19 data'!E$4,0)</f>
        <v>2216</v>
      </c>
      <c r="F145" s="246">
        <f>VLOOKUP($A145,'Table 19 data'!$A$9:$W$184,$B$4+'Table 19 data'!F$4,0)</f>
        <v>68.5</v>
      </c>
      <c r="G145" s="245">
        <f>VLOOKUP($A145,'Table 19 data'!$A$9:$W$184,$B$4+'Table 19 data'!G$4,0)</f>
        <v>2158</v>
      </c>
      <c r="H145" s="246">
        <f>VLOOKUP($A145,'Table 19 data'!$A$9:$W$184,$B$4+'Table 19 data'!H$4,0)</f>
        <v>65.900000000000006</v>
      </c>
      <c r="I145" s="245">
        <f>VLOOKUP($A145,'Table 19 data'!$A$9:$W$184,$B$4+'Table 19 data'!I$4,0)</f>
        <v>2054</v>
      </c>
      <c r="J145" s="246">
        <f>VLOOKUP($A145,'Table 19 data'!$A$9:$W$184,$B$4+'Table 19 data'!J$4,0)</f>
        <v>72.599999999999994</v>
      </c>
      <c r="K145" s="245">
        <f>VLOOKUP($A145,'Table 19 data'!$A$9:$W$184,$B$4+'Table 19 data'!K$4,0)</f>
        <v>2145</v>
      </c>
      <c r="L145" s="246">
        <f>VLOOKUP($A145,'Table 19 data'!$A$9:$W$184,$B$4+'Table 19 data'!L$4,0)</f>
        <v>75.2</v>
      </c>
    </row>
    <row r="146" spans="1:12" ht="11.25" customHeight="1" x14ac:dyDescent="0.2">
      <c r="A146" s="125" t="s">
        <v>265</v>
      </c>
      <c r="B146" s="142" t="s">
        <v>266</v>
      </c>
      <c r="C146" s="245">
        <f>VLOOKUP($A146,'Table 19 data'!$A$9:$W$184,$B$4+'Table 19 data'!C$4,0)</f>
        <v>5357</v>
      </c>
      <c r="D146" s="246">
        <f>VLOOKUP($A146,'Table 19 data'!$A$9:$W$184,$B$4+'Table 19 data'!D$4,0)</f>
        <v>77.099999999999994</v>
      </c>
      <c r="E146" s="245">
        <f>VLOOKUP($A146,'Table 19 data'!$A$9:$W$184,$B$4+'Table 19 data'!E$4,0)</f>
        <v>5509</v>
      </c>
      <c r="F146" s="246">
        <f>VLOOKUP($A146,'Table 19 data'!$A$9:$W$184,$B$4+'Table 19 data'!F$4,0)</f>
        <v>77.8</v>
      </c>
      <c r="G146" s="245">
        <f>VLOOKUP($A146,'Table 19 data'!$A$9:$W$184,$B$4+'Table 19 data'!G$4,0)</f>
        <v>5259</v>
      </c>
      <c r="H146" s="246">
        <f>VLOOKUP($A146,'Table 19 data'!$A$9:$W$184,$B$4+'Table 19 data'!H$4,0)</f>
        <v>79</v>
      </c>
      <c r="I146" s="245">
        <f>VLOOKUP($A146,'Table 19 data'!$A$9:$W$184,$B$4+'Table 19 data'!I$4,0)</f>
        <v>5248</v>
      </c>
      <c r="J146" s="246">
        <f>VLOOKUP($A146,'Table 19 data'!$A$9:$W$184,$B$4+'Table 19 data'!J$4,0)</f>
        <v>76</v>
      </c>
      <c r="K146" s="245">
        <f>VLOOKUP($A146,'Table 19 data'!$A$9:$W$184,$B$4+'Table 19 data'!K$4,0)</f>
        <v>5317</v>
      </c>
      <c r="L146" s="246">
        <f>VLOOKUP($A146,'Table 19 data'!$A$9:$W$184,$B$4+'Table 19 data'!L$4,0)</f>
        <v>79.7</v>
      </c>
    </row>
    <row r="147" spans="1:12" ht="11.25" customHeight="1" x14ac:dyDescent="0.2">
      <c r="A147" s="125" t="s">
        <v>267</v>
      </c>
      <c r="B147" s="142" t="s">
        <v>268</v>
      </c>
      <c r="C147" s="245">
        <f>VLOOKUP($A147,'Table 19 data'!$A$9:$W$184,$B$4+'Table 19 data'!C$4,0)</f>
        <v>4963</v>
      </c>
      <c r="D147" s="246">
        <f>VLOOKUP($A147,'Table 19 data'!$A$9:$W$184,$B$4+'Table 19 data'!D$4,0)</f>
        <v>64.2</v>
      </c>
      <c r="E147" s="245">
        <f>VLOOKUP($A147,'Table 19 data'!$A$9:$W$184,$B$4+'Table 19 data'!E$4,0)</f>
        <v>5169</v>
      </c>
      <c r="F147" s="246">
        <f>VLOOKUP($A147,'Table 19 data'!$A$9:$W$184,$B$4+'Table 19 data'!F$4,0)</f>
        <v>69.2</v>
      </c>
      <c r="G147" s="245">
        <f>VLOOKUP($A147,'Table 19 data'!$A$9:$W$184,$B$4+'Table 19 data'!G$4,0)</f>
        <v>4952</v>
      </c>
      <c r="H147" s="246">
        <f>VLOOKUP($A147,'Table 19 data'!$A$9:$W$184,$B$4+'Table 19 data'!H$4,0)</f>
        <v>71.2</v>
      </c>
      <c r="I147" s="245">
        <f>VLOOKUP($A147,'Table 19 data'!$A$9:$W$184,$B$4+'Table 19 data'!I$4,0)</f>
        <v>4831</v>
      </c>
      <c r="J147" s="246">
        <f>VLOOKUP($A147,'Table 19 data'!$A$9:$W$184,$B$4+'Table 19 data'!J$4,0)</f>
        <v>66.900000000000006</v>
      </c>
      <c r="K147" s="245">
        <f>VLOOKUP($A147,'Table 19 data'!$A$9:$W$184,$B$4+'Table 19 data'!K$4,0)</f>
        <v>5106</v>
      </c>
      <c r="L147" s="246">
        <f>VLOOKUP($A147,'Table 19 data'!$A$9:$W$184,$B$4+'Table 19 data'!L$4,0)</f>
        <v>73.5</v>
      </c>
    </row>
    <row r="148" spans="1:12" ht="11.25" customHeight="1" x14ac:dyDescent="0.2">
      <c r="A148" s="125" t="s">
        <v>269</v>
      </c>
      <c r="B148" s="142" t="s">
        <v>270</v>
      </c>
      <c r="C148" s="245">
        <f>VLOOKUP($A148,'Table 19 data'!$A$9:$W$184,$B$4+'Table 19 data'!C$4,0)</f>
        <v>13498</v>
      </c>
      <c r="D148" s="246">
        <f>VLOOKUP($A148,'Table 19 data'!$A$9:$W$184,$B$4+'Table 19 data'!D$4,0)</f>
        <v>71</v>
      </c>
      <c r="E148" s="245">
        <f>VLOOKUP($A148,'Table 19 data'!$A$9:$W$184,$B$4+'Table 19 data'!E$4,0)</f>
        <v>13579</v>
      </c>
      <c r="F148" s="246">
        <f>VLOOKUP($A148,'Table 19 data'!$A$9:$W$184,$B$4+'Table 19 data'!F$4,0)</f>
        <v>73.7</v>
      </c>
      <c r="G148" s="245">
        <f>VLOOKUP($A148,'Table 19 data'!$A$9:$W$184,$B$4+'Table 19 data'!G$4,0)</f>
        <v>13198</v>
      </c>
      <c r="H148" s="246">
        <f>VLOOKUP($A148,'Table 19 data'!$A$9:$W$184,$B$4+'Table 19 data'!H$4,0)</f>
        <v>74.400000000000006</v>
      </c>
      <c r="I148" s="245">
        <f>VLOOKUP($A148,'Table 19 data'!$A$9:$W$184,$B$4+'Table 19 data'!I$4,0)</f>
        <v>13208</v>
      </c>
      <c r="J148" s="246">
        <f>VLOOKUP($A148,'Table 19 data'!$A$9:$W$184,$B$4+'Table 19 data'!J$4,0)</f>
        <v>67.400000000000006</v>
      </c>
      <c r="K148" s="245">
        <f>VLOOKUP($A148,'Table 19 data'!$A$9:$W$184,$B$4+'Table 19 data'!K$4,0)</f>
        <v>13354</v>
      </c>
      <c r="L148" s="246">
        <f>VLOOKUP($A148,'Table 19 data'!$A$9:$W$184,$B$4+'Table 19 data'!L$4,0)</f>
        <v>70.5</v>
      </c>
    </row>
    <row r="149" spans="1:12" ht="11.25" customHeight="1" x14ac:dyDescent="0.2">
      <c r="A149" s="125" t="s">
        <v>271</v>
      </c>
      <c r="B149" s="142" t="s">
        <v>272</v>
      </c>
      <c r="C149" s="245">
        <f>VLOOKUP($A149,'Table 19 data'!$A$9:$W$184,$B$4+'Table 19 data'!C$4,0)</f>
        <v>1467</v>
      </c>
      <c r="D149" s="246">
        <f>VLOOKUP($A149,'Table 19 data'!$A$9:$W$184,$B$4+'Table 19 data'!D$4,0)</f>
        <v>59.5</v>
      </c>
      <c r="E149" s="245">
        <f>VLOOKUP($A149,'Table 19 data'!$A$9:$W$184,$B$4+'Table 19 data'!E$4,0)</f>
        <v>1488</v>
      </c>
      <c r="F149" s="246">
        <f>VLOOKUP($A149,'Table 19 data'!$A$9:$W$184,$B$4+'Table 19 data'!F$4,0)</f>
        <v>65</v>
      </c>
      <c r="G149" s="245">
        <f>VLOOKUP($A149,'Table 19 data'!$A$9:$W$184,$B$4+'Table 19 data'!G$4,0)</f>
        <v>1416</v>
      </c>
      <c r="H149" s="246">
        <f>VLOOKUP($A149,'Table 19 data'!$A$9:$W$184,$B$4+'Table 19 data'!H$4,0)</f>
        <v>64.2</v>
      </c>
      <c r="I149" s="245">
        <f>VLOOKUP($A149,'Table 19 data'!$A$9:$W$184,$B$4+'Table 19 data'!I$4,0)</f>
        <v>1503</v>
      </c>
      <c r="J149" s="246">
        <f>VLOOKUP($A149,'Table 19 data'!$A$9:$W$184,$B$4+'Table 19 data'!J$4,0)</f>
        <v>53.3</v>
      </c>
      <c r="K149" s="245">
        <f>VLOOKUP($A149,'Table 19 data'!$A$9:$W$184,$B$4+'Table 19 data'!K$4,0)</f>
        <v>1416</v>
      </c>
      <c r="L149" s="246">
        <f>VLOOKUP($A149,'Table 19 data'!$A$9:$W$184,$B$4+'Table 19 data'!L$4,0)</f>
        <v>62.1</v>
      </c>
    </row>
    <row r="150" spans="1:12" ht="11.25" customHeight="1" x14ac:dyDescent="0.2">
      <c r="A150" s="125" t="s">
        <v>273</v>
      </c>
      <c r="B150" s="142" t="s">
        <v>274</v>
      </c>
      <c r="C150" s="245">
        <f>VLOOKUP($A150,'Table 19 data'!$A$9:$W$184,$B$4+'Table 19 data'!C$4,0)</f>
        <v>15975</v>
      </c>
      <c r="D150" s="246">
        <f>VLOOKUP($A150,'Table 19 data'!$A$9:$W$184,$B$4+'Table 19 data'!D$4,0)</f>
        <v>65.8</v>
      </c>
      <c r="E150" s="245">
        <f>VLOOKUP($A150,'Table 19 data'!$A$9:$W$184,$B$4+'Table 19 data'!E$4,0)</f>
        <v>16131</v>
      </c>
      <c r="F150" s="246">
        <f>VLOOKUP($A150,'Table 19 data'!$A$9:$W$184,$B$4+'Table 19 data'!F$4,0)</f>
        <v>71.599999999999994</v>
      </c>
      <c r="G150" s="245">
        <f>VLOOKUP($A150,'Table 19 data'!$A$9:$W$184,$B$4+'Table 19 data'!G$4,0)</f>
        <v>15398</v>
      </c>
      <c r="H150" s="246">
        <f>VLOOKUP($A150,'Table 19 data'!$A$9:$W$184,$B$4+'Table 19 data'!H$4,0)</f>
        <v>72.599999999999994</v>
      </c>
      <c r="I150" s="245">
        <f>VLOOKUP($A150,'Table 19 data'!$A$9:$W$184,$B$4+'Table 19 data'!I$4,0)</f>
        <v>15559</v>
      </c>
      <c r="J150" s="246">
        <f>VLOOKUP($A150,'Table 19 data'!$A$9:$W$184,$B$4+'Table 19 data'!J$4,0)</f>
        <v>70.2</v>
      </c>
      <c r="K150" s="245">
        <f>VLOOKUP($A150,'Table 19 data'!$A$9:$W$184,$B$4+'Table 19 data'!K$4,0)</f>
        <v>15869</v>
      </c>
      <c r="L150" s="246">
        <f>VLOOKUP($A150,'Table 19 data'!$A$9:$W$184,$B$4+'Table 19 data'!L$4,0)</f>
        <v>74.400000000000006</v>
      </c>
    </row>
    <row r="151" spans="1:12" ht="11.25" customHeight="1" x14ac:dyDescent="0.2">
      <c r="A151" s="125" t="s">
        <v>275</v>
      </c>
      <c r="B151" s="142" t="s">
        <v>276</v>
      </c>
      <c r="C151" s="245">
        <f>VLOOKUP($A151,'Table 19 data'!$A$9:$W$184,$B$4+'Table 19 data'!C$4,0)</f>
        <v>3268</v>
      </c>
      <c r="D151" s="246">
        <f>VLOOKUP($A151,'Table 19 data'!$A$9:$W$184,$B$4+'Table 19 data'!D$4,0)</f>
        <v>70.2</v>
      </c>
      <c r="E151" s="245">
        <f>VLOOKUP($A151,'Table 19 data'!$A$9:$W$184,$B$4+'Table 19 data'!E$4,0)</f>
        <v>3310</v>
      </c>
      <c r="F151" s="246">
        <f>VLOOKUP($A151,'Table 19 data'!$A$9:$W$184,$B$4+'Table 19 data'!F$4,0)</f>
        <v>69.099999999999994</v>
      </c>
      <c r="G151" s="245">
        <f>VLOOKUP($A151,'Table 19 data'!$A$9:$W$184,$B$4+'Table 19 data'!G$4,0)</f>
        <v>3105</v>
      </c>
      <c r="H151" s="246">
        <f>VLOOKUP($A151,'Table 19 data'!$A$9:$W$184,$B$4+'Table 19 data'!H$4,0)</f>
        <v>68.5</v>
      </c>
      <c r="I151" s="245">
        <f>VLOOKUP($A151,'Table 19 data'!$A$9:$W$184,$B$4+'Table 19 data'!I$4,0)</f>
        <v>3035</v>
      </c>
      <c r="J151" s="246">
        <f>VLOOKUP($A151,'Table 19 data'!$A$9:$W$184,$B$4+'Table 19 data'!J$4,0)</f>
        <v>73.8</v>
      </c>
      <c r="K151" s="245">
        <f>VLOOKUP($A151,'Table 19 data'!$A$9:$W$184,$B$4+'Table 19 data'!K$4,0)</f>
        <v>3105</v>
      </c>
      <c r="L151" s="246">
        <f>VLOOKUP($A151,'Table 19 data'!$A$9:$W$184,$B$4+'Table 19 data'!L$4,0)</f>
        <v>73</v>
      </c>
    </row>
    <row r="152" spans="1:12" ht="11.25" customHeight="1" x14ac:dyDescent="0.2">
      <c r="A152" s="125" t="s">
        <v>277</v>
      </c>
      <c r="B152" s="142" t="s">
        <v>278</v>
      </c>
      <c r="C152" s="245">
        <f>VLOOKUP($A152,'Table 19 data'!$A$9:$W$184,$B$4+'Table 19 data'!C$4,0)</f>
        <v>2447</v>
      </c>
      <c r="D152" s="246">
        <f>VLOOKUP($A152,'Table 19 data'!$A$9:$W$184,$B$4+'Table 19 data'!D$4,0)</f>
        <v>68.2</v>
      </c>
      <c r="E152" s="245">
        <f>VLOOKUP($A152,'Table 19 data'!$A$9:$W$184,$B$4+'Table 19 data'!E$4,0)</f>
        <v>2582</v>
      </c>
      <c r="F152" s="246">
        <f>VLOOKUP($A152,'Table 19 data'!$A$9:$W$184,$B$4+'Table 19 data'!F$4,0)</f>
        <v>72.3</v>
      </c>
      <c r="G152" s="245">
        <f>VLOOKUP($A152,'Table 19 data'!$A$9:$W$184,$B$4+'Table 19 data'!G$4,0)</f>
        <v>2470</v>
      </c>
      <c r="H152" s="246">
        <f>VLOOKUP($A152,'Table 19 data'!$A$9:$W$184,$B$4+'Table 19 data'!H$4,0)</f>
        <v>71</v>
      </c>
      <c r="I152" s="245">
        <f>VLOOKUP($A152,'Table 19 data'!$A$9:$W$184,$B$4+'Table 19 data'!I$4,0)</f>
        <v>2554</v>
      </c>
      <c r="J152" s="246">
        <f>VLOOKUP($A152,'Table 19 data'!$A$9:$W$184,$B$4+'Table 19 data'!J$4,0)</f>
        <v>77.099999999999994</v>
      </c>
      <c r="K152" s="245">
        <f>VLOOKUP($A152,'Table 19 data'!$A$9:$W$184,$B$4+'Table 19 data'!K$4,0)</f>
        <v>2600</v>
      </c>
      <c r="L152" s="246">
        <f>VLOOKUP($A152,'Table 19 data'!$A$9:$W$184,$B$4+'Table 19 data'!L$4,0)</f>
        <v>74.599999999999994</v>
      </c>
    </row>
    <row r="153" spans="1:12" ht="11.25" customHeight="1" x14ac:dyDescent="0.2">
      <c r="A153" s="125" t="s">
        <v>279</v>
      </c>
      <c r="B153" s="142" t="s">
        <v>280</v>
      </c>
      <c r="C153" s="245">
        <f>VLOOKUP($A153,'Table 19 data'!$A$9:$W$184,$B$4+'Table 19 data'!C$4,0)</f>
        <v>5953</v>
      </c>
      <c r="D153" s="246">
        <f>VLOOKUP($A153,'Table 19 data'!$A$9:$W$184,$B$4+'Table 19 data'!D$4,0)</f>
        <v>67.900000000000006</v>
      </c>
      <c r="E153" s="245">
        <f>VLOOKUP($A153,'Table 19 data'!$A$9:$W$184,$B$4+'Table 19 data'!E$4,0)</f>
        <v>6106</v>
      </c>
      <c r="F153" s="246">
        <f>VLOOKUP($A153,'Table 19 data'!$A$9:$W$184,$B$4+'Table 19 data'!F$4,0)</f>
        <v>71.7</v>
      </c>
      <c r="G153" s="245">
        <f>VLOOKUP($A153,'Table 19 data'!$A$9:$W$184,$B$4+'Table 19 data'!G$4,0)</f>
        <v>5862</v>
      </c>
      <c r="H153" s="246">
        <f>VLOOKUP($A153,'Table 19 data'!$A$9:$W$184,$B$4+'Table 19 data'!H$4,0)</f>
        <v>70.7</v>
      </c>
      <c r="I153" s="245">
        <f>VLOOKUP($A153,'Table 19 data'!$A$9:$W$184,$B$4+'Table 19 data'!I$4,0)</f>
        <v>5758</v>
      </c>
      <c r="J153" s="246">
        <f>VLOOKUP($A153,'Table 19 data'!$A$9:$W$184,$B$4+'Table 19 data'!J$4,0)</f>
        <v>66.099999999999994</v>
      </c>
      <c r="K153" s="245">
        <f>VLOOKUP($A153,'Table 19 data'!$A$9:$W$184,$B$4+'Table 19 data'!K$4,0)</f>
        <v>6012</v>
      </c>
      <c r="L153" s="246">
        <f>VLOOKUP($A153,'Table 19 data'!$A$9:$W$184,$B$4+'Table 19 data'!L$4,0)</f>
        <v>71.2</v>
      </c>
    </row>
    <row r="154" spans="1:12" ht="11.25" customHeight="1" x14ac:dyDescent="0.2">
      <c r="A154" s="125" t="s">
        <v>281</v>
      </c>
      <c r="B154" s="142" t="s">
        <v>282</v>
      </c>
      <c r="C154" s="245">
        <f>VLOOKUP($A154,'Table 19 data'!$A$9:$W$184,$B$4+'Table 19 data'!C$4,0)</f>
        <v>1861</v>
      </c>
      <c r="D154" s="246">
        <f>VLOOKUP($A154,'Table 19 data'!$A$9:$W$184,$B$4+'Table 19 data'!D$4,0)</f>
        <v>57.9</v>
      </c>
      <c r="E154" s="245">
        <f>VLOOKUP($A154,'Table 19 data'!$A$9:$W$184,$B$4+'Table 19 data'!E$4,0)</f>
        <v>1793</v>
      </c>
      <c r="F154" s="246">
        <f>VLOOKUP($A154,'Table 19 data'!$A$9:$W$184,$B$4+'Table 19 data'!F$4,0)</f>
        <v>64.599999999999994</v>
      </c>
      <c r="G154" s="245">
        <f>VLOOKUP($A154,'Table 19 data'!$A$9:$W$184,$B$4+'Table 19 data'!G$4,0)</f>
        <v>1796</v>
      </c>
      <c r="H154" s="246">
        <f>VLOOKUP($A154,'Table 19 data'!$A$9:$W$184,$B$4+'Table 19 data'!H$4,0)</f>
        <v>66.3</v>
      </c>
      <c r="I154" s="245">
        <f>VLOOKUP($A154,'Table 19 data'!$A$9:$W$184,$B$4+'Table 19 data'!I$4,0)</f>
        <v>1703</v>
      </c>
      <c r="J154" s="246">
        <f>VLOOKUP($A154,'Table 19 data'!$A$9:$W$184,$B$4+'Table 19 data'!J$4,0)</f>
        <v>64.900000000000006</v>
      </c>
      <c r="K154" s="245">
        <f>VLOOKUP($A154,'Table 19 data'!$A$9:$W$184,$B$4+'Table 19 data'!K$4,0)</f>
        <v>1717</v>
      </c>
      <c r="L154" s="246">
        <f>VLOOKUP($A154,'Table 19 data'!$A$9:$W$184,$B$4+'Table 19 data'!L$4,0)</f>
        <v>60.6</v>
      </c>
    </row>
    <row r="155" spans="1:12" ht="11.25" customHeight="1" x14ac:dyDescent="0.2">
      <c r="A155" s="125" t="s">
        <v>283</v>
      </c>
      <c r="B155" s="142" t="s">
        <v>284</v>
      </c>
      <c r="C155" s="245">
        <f>VLOOKUP($A155,'Table 19 data'!$A$9:$W$184,$B$4+'Table 19 data'!C$4,0)</f>
        <v>869</v>
      </c>
      <c r="D155" s="246">
        <f>VLOOKUP($A155,'Table 19 data'!$A$9:$W$184,$B$4+'Table 19 data'!D$4,0)</f>
        <v>67.400000000000006</v>
      </c>
      <c r="E155" s="245">
        <f>VLOOKUP($A155,'Table 19 data'!$A$9:$W$184,$B$4+'Table 19 data'!E$4,0)</f>
        <v>903</v>
      </c>
      <c r="F155" s="246">
        <f>VLOOKUP($A155,'Table 19 data'!$A$9:$W$184,$B$4+'Table 19 data'!F$4,0)</f>
        <v>72.400000000000006</v>
      </c>
      <c r="G155" s="245">
        <f>VLOOKUP($A155,'Table 19 data'!$A$9:$W$184,$B$4+'Table 19 data'!G$4,0)</f>
        <v>907</v>
      </c>
      <c r="H155" s="246">
        <f>VLOOKUP($A155,'Table 19 data'!$A$9:$W$184,$B$4+'Table 19 data'!H$4,0)</f>
        <v>67.7</v>
      </c>
      <c r="I155" s="245">
        <f>VLOOKUP($A155,'Table 19 data'!$A$9:$W$184,$B$4+'Table 19 data'!I$4,0)</f>
        <v>935</v>
      </c>
      <c r="J155" s="246">
        <f>VLOOKUP($A155,'Table 19 data'!$A$9:$W$184,$B$4+'Table 19 data'!J$4,0)</f>
        <v>70.900000000000006</v>
      </c>
      <c r="K155" s="245">
        <f>VLOOKUP($A155,'Table 19 data'!$A$9:$W$184,$B$4+'Table 19 data'!K$4,0)</f>
        <v>1010</v>
      </c>
      <c r="L155" s="246">
        <f>VLOOKUP($A155,'Table 19 data'!$A$9:$W$184,$B$4+'Table 19 data'!L$4,0)</f>
        <v>73.8</v>
      </c>
    </row>
    <row r="156" spans="1:12" ht="11.25" customHeight="1" x14ac:dyDescent="0.2">
      <c r="A156" s="125" t="s">
        <v>285</v>
      </c>
      <c r="B156" s="142" t="s">
        <v>286</v>
      </c>
      <c r="C156" s="245">
        <f>VLOOKUP($A156,'Table 19 data'!$A$9:$W$184,$B$4+'Table 19 data'!C$4,0)</f>
        <v>1347</v>
      </c>
      <c r="D156" s="246">
        <f>VLOOKUP($A156,'Table 19 data'!$A$9:$W$184,$B$4+'Table 19 data'!D$4,0)</f>
        <v>77.5</v>
      </c>
      <c r="E156" s="245">
        <f>VLOOKUP($A156,'Table 19 data'!$A$9:$W$184,$B$4+'Table 19 data'!E$4,0)</f>
        <v>1444</v>
      </c>
      <c r="F156" s="246">
        <f>VLOOKUP($A156,'Table 19 data'!$A$9:$W$184,$B$4+'Table 19 data'!F$4,0)</f>
        <v>81.5</v>
      </c>
      <c r="G156" s="245">
        <f>VLOOKUP($A156,'Table 19 data'!$A$9:$W$184,$B$4+'Table 19 data'!G$4,0)</f>
        <v>1433</v>
      </c>
      <c r="H156" s="246">
        <f>VLOOKUP($A156,'Table 19 data'!$A$9:$W$184,$B$4+'Table 19 data'!H$4,0)</f>
        <v>80.7</v>
      </c>
      <c r="I156" s="245">
        <f>VLOOKUP($A156,'Table 19 data'!$A$9:$W$184,$B$4+'Table 19 data'!I$4,0)</f>
        <v>1466</v>
      </c>
      <c r="J156" s="246">
        <f>VLOOKUP($A156,'Table 19 data'!$A$9:$W$184,$B$4+'Table 19 data'!J$4,0)</f>
        <v>76.599999999999994</v>
      </c>
      <c r="K156" s="245">
        <f>VLOOKUP($A156,'Table 19 data'!$A$9:$W$184,$B$4+'Table 19 data'!K$4,0)</f>
        <v>1572</v>
      </c>
      <c r="L156" s="246">
        <f>VLOOKUP($A156,'Table 19 data'!$A$9:$W$184,$B$4+'Table 19 data'!L$4,0)</f>
        <v>85.2</v>
      </c>
    </row>
    <row r="157" spans="1:12" ht="11.25" customHeight="1" x14ac:dyDescent="0.2">
      <c r="A157" s="125" t="s">
        <v>287</v>
      </c>
      <c r="B157" s="142" t="s">
        <v>288</v>
      </c>
      <c r="C157" s="245">
        <f>VLOOKUP($A157,'Table 19 data'!$A$9:$W$184,$B$4+'Table 19 data'!C$4,0)</f>
        <v>2130</v>
      </c>
      <c r="D157" s="246">
        <f>VLOOKUP($A157,'Table 19 data'!$A$9:$W$184,$B$4+'Table 19 data'!D$4,0)</f>
        <v>63.1</v>
      </c>
      <c r="E157" s="245">
        <f>VLOOKUP($A157,'Table 19 data'!$A$9:$W$184,$B$4+'Table 19 data'!E$4,0)</f>
        <v>1981</v>
      </c>
      <c r="F157" s="246">
        <f>VLOOKUP($A157,'Table 19 data'!$A$9:$W$184,$B$4+'Table 19 data'!F$4,0)</f>
        <v>63.9</v>
      </c>
      <c r="G157" s="245">
        <f>VLOOKUP($A157,'Table 19 data'!$A$9:$W$184,$B$4+'Table 19 data'!G$4,0)</f>
        <v>1901</v>
      </c>
      <c r="H157" s="246">
        <f>VLOOKUP($A157,'Table 19 data'!$A$9:$W$184,$B$4+'Table 19 data'!H$4,0)</f>
        <v>68.5</v>
      </c>
      <c r="I157" s="245">
        <f>VLOOKUP($A157,'Table 19 data'!$A$9:$W$184,$B$4+'Table 19 data'!I$4,0)</f>
        <v>1786</v>
      </c>
      <c r="J157" s="246">
        <f>VLOOKUP($A157,'Table 19 data'!$A$9:$W$184,$B$4+'Table 19 data'!J$4,0)</f>
        <v>68.8</v>
      </c>
      <c r="K157" s="245">
        <f>VLOOKUP($A157,'Table 19 data'!$A$9:$W$184,$B$4+'Table 19 data'!K$4,0)</f>
        <v>1938</v>
      </c>
      <c r="L157" s="246">
        <f>VLOOKUP($A157,'Table 19 data'!$A$9:$W$184,$B$4+'Table 19 data'!L$4,0)</f>
        <v>73.5</v>
      </c>
    </row>
    <row r="158" spans="1:12" ht="11.25" customHeight="1" x14ac:dyDescent="0.2">
      <c r="A158" s="125" t="s">
        <v>289</v>
      </c>
      <c r="B158" s="142" t="s">
        <v>290</v>
      </c>
      <c r="C158" s="245">
        <f>VLOOKUP($A158,'Table 19 data'!$A$9:$W$184,$B$4+'Table 19 data'!C$4,0)</f>
        <v>10011</v>
      </c>
      <c r="D158" s="246">
        <f>VLOOKUP($A158,'Table 19 data'!$A$9:$W$184,$B$4+'Table 19 data'!D$4,0)</f>
        <v>71.400000000000006</v>
      </c>
      <c r="E158" s="245">
        <f>VLOOKUP($A158,'Table 19 data'!$A$9:$W$184,$B$4+'Table 19 data'!E$4,0)</f>
        <v>10259</v>
      </c>
      <c r="F158" s="246">
        <f>VLOOKUP($A158,'Table 19 data'!$A$9:$W$184,$B$4+'Table 19 data'!F$4,0)</f>
        <v>76.2</v>
      </c>
      <c r="G158" s="245">
        <f>VLOOKUP($A158,'Table 19 data'!$A$9:$W$184,$B$4+'Table 19 data'!G$4,0)</f>
        <v>10207</v>
      </c>
      <c r="H158" s="246">
        <f>VLOOKUP($A158,'Table 19 data'!$A$9:$W$184,$B$4+'Table 19 data'!H$4,0)</f>
        <v>76.8</v>
      </c>
      <c r="I158" s="245">
        <f>VLOOKUP($A158,'Table 19 data'!$A$9:$W$184,$B$4+'Table 19 data'!I$4,0)</f>
        <v>10083</v>
      </c>
      <c r="J158" s="246">
        <f>VLOOKUP($A158,'Table 19 data'!$A$9:$W$184,$B$4+'Table 19 data'!J$4,0)</f>
        <v>72.400000000000006</v>
      </c>
      <c r="K158" s="245">
        <f>VLOOKUP($A158,'Table 19 data'!$A$9:$W$184,$B$4+'Table 19 data'!K$4,0)</f>
        <v>10140</v>
      </c>
      <c r="L158" s="246">
        <f>VLOOKUP($A158,'Table 19 data'!$A$9:$W$184,$B$4+'Table 19 data'!L$4,0)</f>
        <v>78.099999999999994</v>
      </c>
    </row>
    <row r="159" spans="1:12" ht="11.25" customHeight="1" x14ac:dyDescent="0.2">
      <c r="A159" s="125" t="s">
        <v>291</v>
      </c>
      <c r="B159" s="142" t="s">
        <v>292</v>
      </c>
      <c r="C159" s="245">
        <f>VLOOKUP($A159,'Table 19 data'!$A$9:$W$184,$B$4+'Table 19 data'!C$4,0)</f>
        <v>1918</v>
      </c>
      <c r="D159" s="246">
        <f>VLOOKUP($A159,'Table 19 data'!$A$9:$W$184,$B$4+'Table 19 data'!D$4,0)</f>
        <v>68.599999999999994</v>
      </c>
      <c r="E159" s="245">
        <f>VLOOKUP($A159,'Table 19 data'!$A$9:$W$184,$B$4+'Table 19 data'!E$4,0)</f>
        <v>1927</v>
      </c>
      <c r="F159" s="246">
        <f>VLOOKUP($A159,'Table 19 data'!$A$9:$W$184,$B$4+'Table 19 data'!F$4,0)</f>
        <v>77.400000000000006</v>
      </c>
      <c r="G159" s="245">
        <f>VLOOKUP($A159,'Table 19 data'!$A$9:$W$184,$B$4+'Table 19 data'!G$4,0)</f>
        <v>1894</v>
      </c>
      <c r="H159" s="246">
        <f>VLOOKUP($A159,'Table 19 data'!$A$9:$W$184,$B$4+'Table 19 data'!H$4,0)</f>
        <v>77.599999999999994</v>
      </c>
      <c r="I159" s="245">
        <f>VLOOKUP($A159,'Table 19 data'!$A$9:$W$184,$B$4+'Table 19 data'!I$4,0)</f>
        <v>1834</v>
      </c>
      <c r="J159" s="246">
        <f>VLOOKUP($A159,'Table 19 data'!$A$9:$W$184,$B$4+'Table 19 data'!J$4,0)</f>
        <v>63.2</v>
      </c>
      <c r="K159" s="245">
        <f>VLOOKUP($A159,'Table 19 data'!$A$9:$W$184,$B$4+'Table 19 data'!K$4,0)</f>
        <v>1896</v>
      </c>
      <c r="L159" s="246">
        <f>VLOOKUP($A159,'Table 19 data'!$A$9:$W$184,$B$4+'Table 19 data'!L$4,0)</f>
        <v>71.8</v>
      </c>
    </row>
    <row r="160" spans="1:12" ht="11.25" customHeight="1" x14ac:dyDescent="0.2">
      <c r="A160" s="125" t="s">
        <v>293</v>
      </c>
      <c r="B160" s="142" t="s">
        <v>294</v>
      </c>
      <c r="C160" s="245">
        <f>VLOOKUP($A160,'Table 19 data'!$A$9:$W$184,$B$4+'Table 19 data'!C$4,0)</f>
        <v>7854</v>
      </c>
      <c r="D160" s="246">
        <f>VLOOKUP($A160,'Table 19 data'!$A$9:$W$184,$B$4+'Table 19 data'!D$4,0)</f>
        <v>69.599999999999994</v>
      </c>
      <c r="E160" s="245">
        <f>VLOOKUP($A160,'Table 19 data'!$A$9:$W$184,$B$4+'Table 19 data'!E$4,0)</f>
        <v>8159</v>
      </c>
      <c r="F160" s="246">
        <f>VLOOKUP($A160,'Table 19 data'!$A$9:$W$184,$B$4+'Table 19 data'!F$4,0)</f>
        <v>74.7</v>
      </c>
      <c r="G160" s="245">
        <f>VLOOKUP($A160,'Table 19 data'!$A$9:$W$184,$B$4+'Table 19 data'!G$4,0)</f>
        <v>7822</v>
      </c>
      <c r="H160" s="246">
        <f>VLOOKUP($A160,'Table 19 data'!$A$9:$W$184,$B$4+'Table 19 data'!H$4,0)</f>
        <v>75.8</v>
      </c>
      <c r="I160" s="245">
        <f>VLOOKUP($A160,'Table 19 data'!$A$9:$W$184,$B$4+'Table 19 data'!I$4,0)</f>
        <v>7842</v>
      </c>
      <c r="J160" s="246">
        <f>VLOOKUP($A160,'Table 19 data'!$A$9:$W$184,$B$4+'Table 19 data'!J$4,0)</f>
        <v>68</v>
      </c>
      <c r="K160" s="245">
        <f>VLOOKUP($A160,'Table 19 data'!$A$9:$W$184,$B$4+'Table 19 data'!K$4,0)</f>
        <v>7930</v>
      </c>
      <c r="L160" s="246">
        <f>VLOOKUP($A160,'Table 19 data'!$A$9:$W$184,$B$4+'Table 19 data'!L$4,0)</f>
        <v>72</v>
      </c>
    </row>
    <row r="161" spans="1:12" ht="11.25" customHeight="1" x14ac:dyDescent="0.2">
      <c r="A161" s="125" t="s">
        <v>295</v>
      </c>
      <c r="B161" s="142" t="s">
        <v>296</v>
      </c>
      <c r="C161" s="245">
        <f>VLOOKUP($A161,'Table 19 data'!$A$9:$W$184,$B$4+'Table 19 data'!C$4,0)</f>
        <v>1459</v>
      </c>
      <c r="D161" s="246">
        <f>VLOOKUP($A161,'Table 19 data'!$A$9:$W$184,$B$4+'Table 19 data'!D$4,0)</f>
        <v>71.900000000000006</v>
      </c>
      <c r="E161" s="245">
        <f>VLOOKUP($A161,'Table 19 data'!$A$9:$W$184,$B$4+'Table 19 data'!E$4,0)</f>
        <v>1478</v>
      </c>
      <c r="F161" s="246">
        <f>VLOOKUP($A161,'Table 19 data'!$A$9:$W$184,$B$4+'Table 19 data'!F$4,0)</f>
        <v>75.3</v>
      </c>
      <c r="G161" s="245">
        <f>VLOOKUP($A161,'Table 19 data'!$A$9:$W$184,$B$4+'Table 19 data'!G$4,0)</f>
        <v>1432</v>
      </c>
      <c r="H161" s="246">
        <f>VLOOKUP($A161,'Table 19 data'!$A$9:$W$184,$B$4+'Table 19 data'!H$4,0)</f>
        <v>75.7</v>
      </c>
      <c r="I161" s="245">
        <f>VLOOKUP($A161,'Table 19 data'!$A$9:$W$184,$B$4+'Table 19 data'!I$4,0)</f>
        <v>1450</v>
      </c>
      <c r="J161" s="246">
        <f>VLOOKUP($A161,'Table 19 data'!$A$9:$W$184,$B$4+'Table 19 data'!J$4,0)</f>
        <v>70.8</v>
      </c>
      <c r="K161" s="245">
        <f>VLOOKUP($A161,'Table 19 data'!$A$9:$W$184,$B$4+'Table 19 data'!K$4,0)</f>
        <v>1508</v>
      </c>
      <c r="L161" s="246">
        <f>VLOOKUP($A161,'Table 19 data'!$A$9:$W$184,$B$4+'Table 19 data'!L$4,0)</f>
        <v>77.7</v>
      </c>
    </row>
    <row r="162" spans="1:12" ht="11.25" customHeight="1" x14ac:dyDescent="0.2">
      <c r="A162" s="125" t="s">
        <v>297</v>
      </c>
      <c r="B162" s="142" t="s">
        <v>298</v>
      </c>
      <c r="C162" s="245">
        <f>VLOOKUP($A162,'Table 19 data'!$A$9:$W$184,$B$4+'Table 19 data'!C$4,0)</f>
        <v>1639</v>
      </c>
      <c r="D162" s="246">
        <f>VLOOKUP($A162,'Table 19 data'!$A$9:$W$184,$B$4+'Table 19 data'!D$4,0)</f>
        <v>76.099999999999994</v>
      </c>
      <c r="E162" s="245">
        <f>VLOOKUP($A162,'Table 19 data'!$A$9:$W$184,$B$4+'Table 19 data'!E$4,0)</f>
        <v>1752</v>
      </c>
      <c r="F162" s="246">
        <f>VLOOKUP($A162,'Table 19 data'!$A$9:$W$184,$B$4+'Table 19 data'!F$4,0)</f>
        <v>80.8</v>
      </c>
      <c r="G162" s="245">
        <f>VLOOKUP($A162,'Table 19 data'!$A$9:$W$184,$B$4+'Table 19 data'!G$4,0)</f>
        <v>1624</v>
      </c>
      <c r="H162" s="246">
        <f>VLOOKUP($A162,'Table 19 data'!$A$9:$W$184,$B$4+'Table 19 data'!H$4,0)</f>
        <v>78.900000000000006</v>
      </c>
      <c r="I162" s="245">
        <f>VLOOKUP($A162,'Table 19 data'!$A$9:$W$184,$B$4+'Table 19 data'!I$4,0)</f>
        <v>1568</v>
      </c>
      <c r="J162" s="246">
        <f>VLOOKUP($A162,'Table 19 data'!$A$9:$W$184,$B$4+'Table 19 data'!J$4,0)</f>
        <v>71.599999999999994</v>
      </c>
      <c r="K162" s="245">
        <f>VLOOKUP($A162,'Table 19 data'!$A$9:$W$184,$B$4+'Table 19 data'!K$4,0)</f>
        <v>1608</v>
      </c>
      <c r="L162" s="246">
        <f>VLOOKUP($A162,'Table 19 data'!$A$9:$W$184,$B$4+'Table 19 data'!L$4,0)</f>
        <v>77.3</v>
      </c>
    </row>
    <row r="163" spans="1:12" ht="11.25" customHeight="1" x14ac:dyDescent="0.2">
      <c r="A163" s="3"/>
      <c r="B163" s="142"/>
      <c r="C163" s="247"/>
      <c r="D163" s="248"/>
      <c r="E163" s="247"/>
      <c r="F163" s="248"/>
      <c r="G163" s="247"/>
      <c r="H163" s="249"/>
      <c r="I163" s="250"/>
      <c r="J163" s="250"/>
      <c r="K163" s="250"/>
      <c r="L163" s="250"/>
    </row>
    <row r="164" spans="1:12" s="98" customFormat="1" ht="11.25" customHeight="1" x14ac:dyDescent="0.2">
      <c r="A164" s="16" t="s">
        <v>388</v>
      </c>
      <c r="B164" s="92" t="s">
        <v>299</v>
      </c>
      <c r="C164" s="243">
        <f>VLOOKUP($A164,'Table 19 data'!$A$9:$W$184,$B$4+'Table 19 data'!C$4,0)</f>
        <v>54609</v>
      </c>
      <c r="D164" s="244">
        <f>VLOOKUP($A164,'Table 19 data'!$A$9:$W$184,$B$4+'Table 19 data'!D$4,0)</f>
        <v>67.900000000000006</v>
      </c>
      <c r="E164" s="243">
        <f>VLOOKUP($A164,'Table 19 data'!$A$9:$W$184,$B$4+'Table 19 data'!E$4,0)</f>
        <v>54841</v>
      </c>
      <c r="F164" s="244">
        <f>VLOOKUP($A164,'Table 19 data'!$A$9:$W$184,$B$4+'Table 19 data'!F$4,0)</f>
        <v>71.599999999999994</v>
      </c>
      <c r="G164" s="243">
        <f>VLOOKUP($A164,'Table 19 data'!$A$9:$W$184,$B$4+'Table 19 data'!G$4,0)</f>
        <v>53089</v>
      </c>
      <c r="H164" s="244">
        <f>VLOOKUP($A164,'Table 19 data'!$A$9:$W$184,$B$4+'Table 19 data'!H$4,0)</f>
        <v>73.5</v>
      </c>
      <c r="I164" s="243">
        <f>VLOOKUP($A164,'Table 19 data'!$A$9:$W$184,$B$4+'Table 19 data'!I$4,0)</f>
        <v>52448</v>
      </c>
      <c r="J164" s="244">
        <f>VLOOKUP($A164,'Table 19 data'!$A$9:$W$184,$B$4+'Table 19 data'!J$4,0)</f>
        <v>68</v>
      </c>
      <c r="K164" s="243">
        <f>VLOOKUP($A164,'Table 19 data'!$A$9:$W$184,$B$4+'Table 19 data'!K$4,0)</f>
        <v>53957</v>
      </c>
      <c r="L164" s="244">
        <f>VLOOKUP($A164,'Table 19 data'!$A$9:$W$184,$B$4+'Table 19 data'!L$4,0)</f>
        <v>70.599999999999994</v>
      </c>
    </row>
    <row r="165" spans="1:12" ht="11.25" customHeight="1" x14ac:dyDescent="0.2">
      <c r="A165" s="125" t="s">
        <v>302</v>
      </c>
      <c r="B165" s="142" t="s">
        <v>303</v>
      </c>
      <c r="C165" s="245">
        <f>VLOOKUP($A165,'Table 19 data'!$A$9:$W$184,$B$4+'Table 19 data'!C$4,0)</f>
        <v>2112</v>
      </c>
      <c r="D165" s="246">
        <f>VLOOKUP($A165,'Table 19 data'!$A$9:$W$184,$B$4+'Table 19 data'!D$4,0)</f>
        <v>74.2</v>
      </c>
      <c r="E165" s="245">
        <f>VLOOKUP($A165,'Table 19 data'!$A$9:$W$184,$B$4+'Table 19 data'!E$4,0)</f>
        <v>2180</v>
      </c>
      <c r="F165" s="246">
        <f>VLOOKUP($A165,'Table 19 data'!$A$9:$W$184,$B$4+'Table 19 data'!F$4,0)</f>
        <v>76.7</v>
      </c>
      <c r="G165" s="245">
        <f>VLOOKUP($A165,'Table 19 data'!$A$9:$W$184,$B$4+'Table 19 data'!G$4,0)</f>
        <v>2034</v>
      </c>
      <c r="H165" s="246">
        <f>VLOOKUP($A165,'Table 19 data'!$A$9:$W$184,$B$4+'Table 19 data'!H$4,0)</f>
        <v>79.5</v>
      </c>
      <c r="I165" s="245">
        <f>VLOOKUP($A165,'Table 19 data'!$A$9:$W$184,$B$4+'Table 19 data'!I$4,0)</f>
        <v>2016</v>
      </c>
      <c r="J165" s="246">
        <f>VLOOKUP($A165,'Table 19 data'!$A$9:$W$184,$B$4+'Table 19 data'!J$4,0)</f>
        <v>67.900000000000006</v>
      </c>
      <c r="K165" s="245">
        <f>VLOOKUP($A165,'Table 19 data'!$A$9:$W$184,$B$4+'Table 19 data'!K$4,0)</f>
        <v>2117</v>
      </c>
      <c r="L165" s="246">
        <f>VLOOKUP($A165,'Table 19 data'!$A$9:$W$184,$B$4+'Table 19 data'!L$4,0)</f>
        <v>72</v>
      </c>
    </row>
    <row r="166" spans="1:12" ht="11.25" customHeight="1" x14ac:dyDescent="0.2">
      <c r="A166" s="125" t="s">
        <v>304</v>
      </c>
      <c r="B166" s="142" t="s">
        <v>305</v>
      </c>
      <c r="C166" s="245">
        <f>VLOOKUP($A166,'Table 19 data'!$A$9:$W$184,$B$4+'Table 19 data'!C$4,0)</f>
        <v>1695</v>
      </c>
      <c r="D166" s="246">
        <f>VLOOKUP($A166,'Table 19 data'!$A$9:$W$184,$B$4+'Table 19 data'!D$4,0)</f>
        <v>68.3</v>
      </c>
      <c r="E166" s="245">
        <f>VLOOKUP($A166,'Table 19 data'!$A$9:$W$184,$B$4+'Table 19 data'!E$4,0)</f>
        <v>1647</v>
      </c>
      <c r="F166" s="246">
        <f>VLOOKUP($A166,'Table 19 data'!$A$9:$W$184,$B$4+'Table 19 data'!F$4,0)</f>
        <v>73.099999999999994</v>
      </c>
      <c r="G166" s="245">
        <f>VLOOKUP($A166,'Table 19 data'!$A$9:$W$184,$B$4+'Table 19 data'!G$4,0)</f>
        <v>1600</v>
      </c>
      <c r="H166" s="246">
        <f>VLOOKUP($A166,'Table 19 data'!$A$9:$W$184,$B$4+'Table 19 data'!H$4,0)</f>
        <v>70.400000000000006</v>
      </c>
      <c r="I166" s="245">
        <f>VLOOKUP($A166,'Table 19 data'!$A$9:$W$184,$B$4+'Table 19 data'!I$4,0)</f>
        <v>1582</v>
      </c>
      <c r="J166" s="246">
        <f>VLOOKUP($A166,'Table 19 data'!$A$9:$W$184,$B$4+'Table 19 data'!J$4,0)</f>
        <v>72.7</v>
      </c>
      <c r="K166" s="245">
        <f>VLOOKUP($A166,'Table 19 data'!$A$9:$W$184,$B$4+'Table 19 data'!K$4,0)</f>
        <v>1612</v>
      </c>
      <c r="L166" s="246">
        <f>VLOOKUP($A166,'Table 19 data'!$A$9:$W$184,$B$4+'Table 19 data'!L$4,0)</f>
        <v>80.2</v>
      </c>
    </row>
    <row r="167" spans="1:12" ht="11.25" customHeight="1" x14ac:dyDescent="0.2">
      <c r="A167" s="125" t="s">
        <v>306</v>
      </c>
      <c r="B167" s="142" t="s">
        <v>307</v>
      </c>
      <c r="C167" s="245">
        <f>VLOOKUP($A167,'Table 19 data'!$A$9:$W$184,$B$4+'Table 19 data'!C$4,0)</f>
        <v>2922</v>
      </c>
      <c r="D167" s="246">
        <f>VLOOKUP($A167,'Table 19 data'!$A$9:$W$184,$B$4+'Table 19 data'!D$4,0)</f>
        <v>63.8</v>
      </c>
      <c r="E167" s="245">
        <f>VLOOKUP($A167,'Table 19 data'!$A$9:$W$184,$B$4+'Table 19 data'!E$4,0)</f>
        <v>2799</v>
      </c>
      <c r="F167" s="246">
        <f>VLOOKUP($A167,'Table 19 data'!$A$9:$W$184,$B$4+'Table 19 data'!F$4,0)</f>
        <v>70.3</v>
      </c>
      <c r="G167" s="245">
        <f>VLOOKUP($A167,'Table 19 data'!$A$9:$W$184,$B$4+'Table 19 data'!G$4,0)</f>
        <v>2783</v>
      </c>
      <c r="H167" s="246">
        <f>VLOOKUP($A167,'Table 19 data'!$A$9:$W$184,$B$4+'Table 19 data'!H$4,0)</f>
        <v>71.599999999999994</v>
      </c>
      <c r="I167" s="245">
        <f>VLOOKUP($A167,'Table 19 data'!$A$9:$W$184,$B$4+'Table 19 data'!I$4,0)</f>
        <v>2738</v>
      </c>
      <c r="J167" s="246">
        <f>VLOOKUP($A167,'Table 19 data'!$A$9:$W$184,$B$4+'Table 19 data'!J$4,0)</f>
        <v>70</v>
      </c>
      <c r="K167" s="245">
        <f>VLOOKUP($A167,'Table 19 data'!$A$9:$W$184,$B$4+'Table 19 data'!K$4,0)</f>
        <v>3041</v>
      </c>
      <c r="L167" s="246">
        <f>VLOOKUP($A167,'Table 19 data'!$A$9:$W$184,$B$4+'Table 19 data'!L$4,0)</f>
        <v>66.3</v>
      </c>
    </row>
    <row r="168" spans="1:12" ht="11.25" customHeight="1" x14ac:dyDescent="0.2">
      <c r="A168" s="125" t="s">
        <v>308</v>
      </c>
      <c r="B168" s="142" t="s">
        <v>309</v>
      </c>
      <c r="C168" s="245">
        <f>VLOOKUP($A168,'Table 19 data'!$A$9:$W$184,$B$4+'Table 19 data'!C$4,0)</f>
        <v>5835</v>
      </c>
      <c r="D168" s="246">
        <f>VLOOKUP($A168,'Table 19 data'!$A$9:$W$184,$B$4+'Table 19 data'!D$4,0)</f>
        <v>65.3</v>
      </c>
      <c r="E168" s="245">
        <f>VLOOKUP($A168,'Table 19 data'!$A$9:$W$184,$B$4+'Table 19 data'!E$4,0)</f>
        <v>5758</v>
      </c>
      <c r="F168" s="246">
        <f>VLOOKUP($A168,'Table 19 data'!$A$9:$W$184,$B$4+'Table 19 data'!F$4,0)</f>
        <v>69.8</v>
      </c>
      <c r="G168" s="245">
        <f>VLOOKUP($A168,'Table 19 data'!$A$9:$W$184,$B$4+'Table 19 data'!G$4,0)</f>
        <v>5556</v>
      </c>
      <c r="H168" s="246">
        <f>VLOOKUP($A168,'Table 19 data'!$A$9:$W$184,$B$4+'Table 19 data'!H$4,0)</f>
        <v>70.099999999999994</v>
      </c>
      <c r="I168" s="245">
        <f>VLOOKUP($A168,'Table 19 data'!$A$9:$W$184,$B$4+'Table 19 data'!I$4,0)</f>
        <v>5494</v>
      </c>
      <c r="J168" s="246">
        <f>VLOOKUP($A168,'Table 19 data'!$A$9:$W$184,$B$4+'Table 19 data'!J$4,0)</f>
        <v>66.400000000000006</v>
      </c>
      <c r="K168" s="245">
        <f>VLOOKUP($A168,'Table 19 data'!$A$9:$W$184,$B$4+'Table 19 data'!K$4,0)</f>
        <v>5678</v>
      </c>
      <c r="L168" s="246">
        <f>VLOOKUP($A168,'Table 19 data'!$A$9:$W$184,$B$4+'Table 19 data'!L$4,0)</f>
        <v>72.599999999999994</v>
      </c>
    </row>
    <row r="169" spans="1:12" ht="11.25" customHeight="1" x14ac:dyDescent="0.2">
      <c r="A169" s="125" t="s">
        <v>310</v>
      </c>
      <c r="B169" s="142" t="s">
        <v>311</v>
      </c>
      <c r="C169" s="245">
        <f>VLOOKUP($A169,'Table 19 data'!$A$9:$W$184,$B$4+'Table 19 data'!C$4,0)</f>
        <v>7485</v>
      </c>
      <c r="D169" s="246">
        <f>VLOOKUP($A169,'Table 19 data'!$A$9:$W$184,$B$4+'Table 19 data'!D$4,0)</f>
        <v>68</v>
      </c>
      <c r="E169" s="245">
        <f>VLOOKUP($A169,'Table 19 data'!$A$9:$W$184,$B$4+'Table 19 data'!E$4,0)</f>
        <v>7463</v>
      </c>
      <c r="F169" s="246">
        <f>VLOOKUP($A169,'Table 19 data'!$A$9:$W$184,$B$4+'Table 19 data'!F$4,0)</f>
        <v>70.599999999999994</v>
      </c>
      <c r="G169" s="245">
        <f>VLOOKUP($A169,'Table 19 data'!$A$9:$W$184,$B$4+'Table 19 data'!G$4,0)</f>
        <v>7222</v>
      </c>
      <c r="H169" s="246">
        <f>VLOOKUP($A169,'Table 19 data'!$A$9:$W$184,$B$4+'Table 19 data'!H$4,0)</f>
        <v>72.7</v>
      </c>
      <c r="I169" s="245">
        <f>VLOOKUP($A169,'Table 19 data'!$A$9:$W$184,$B$4+'Table 19 data'!I$4,0)</f>
        <v>7397</v>
      </c>
      <c r="J169" s="246">
        <f>VLOOKUP($A169,'Table 19 data'!$A$9:$W$184,$B$4+'Table 19 data'!J$4,0)</f>
        <v>68</v>
      </c>
      <c r="K169" s="245">
        <f>VLOOKUP($A169,'Table 19 data'!$A$9:$W$184,$B$4+'Table 19 data'!K$4,0)</f>
        <v>7425</v>
      </c>
      <c r="L169" s="246">
        <f>VLOOKUP($A169,'Table 19 data'!$A$9:$W$184,$B$4+'Table 19 data'!L$4,0)</f>
        <v>70.099999999999994</v>
      </c>
    </row>
    <row r="170" spans="1:12" ht="11.25" customHeight="1" x14ac:dyDescent="0.2">
      <c r="A170" s="125" t="s">
        <v>312</v>
      </c>
      <c r="B170" s="142" t="s">
        <v>313</v>
      </c>
      <c r="C170" s="245">
        <f>VLOOKUP($A170,'Table 19 data'!$A$9:$W$184,$B$4+'Table 19 data'!C$4,0)</f>
        <v>4223</v>
      </c>
      <c r="D170" s="246">
        <f>VLOOKUP($A170,'Table 19 data'!$A$9:$W$184,$B$4+'Table 19 data'!D$4,0)</f>
        <v>72</v>
      </c>
      <c r="E170" s="245">
        <f>VLOOKUP($A170,'Table 19 data'!$A$9:$W$184,$B$4+'Table 19 data'!E$4,0)</f>
        <v>4255</v>
      </c>
      <c r="F170" s="246">
        <f>VLOOKUP($A170,'Table 19 data'!$A$9:$W$184,$B$4+'Table 19 data'!F$4,0)</f>
        <v>75.8</v>
      </c>
      <c r="G170" s="245">
        <f>VLOOKUP($A170,'Table 19 data'!$A$9:$W$184,$B$4+'Table 19 data'!G$4,0)</f>
        <v>4083</v>
      </c>
      <c r="H170" s="246">
        <f>VLOOKUP($A170,'Table 19 data'!$A$9:$W$184,$B$4+'Table 19 data'!H$4,0)</f>
        <v>77.099999999999994</v>
      </c>
      <c r="I170" s="245">
        <f>VLOOKUP($A170,'Table 19 data'!$A$9:$W$184,$B$4+'Table 19 data'!I$4,0)</f>
        <v>4150</v>
      </c>
      <c r="J170" s="246">
        <f>VLOOKUP($A170,'Table 19 data'!$A$9:$W$184,$B$4+'Table 19 data'!J$4,0)</f>
        <v>64</v>
      </c>
      <c r="K170" s="245">
        <f>VLOOKUP($A170,'Table 19 data'!$A$9:$W$184,$B$4+'Table 19 data'!K$4,0)</f>
        <v>4222</v>
      </c>
      <c r="L170" s="246">
        <f>VLOOKUP($A170,'Table 19 data'!$A$9:$W$184,$B$4+'Table 19 data'!L$4,0)</f>
        <v>69.900000000000006</v>
      </c>
    </row>
    <row r="171" spans="1:12" ht="11.25" customHeight="1" x14ac:dyDescent="0.2">
      <c r="A171" s="125" t="s">
        <v>314</v>
      </c>
      <c r="B171" s="142" t="s">
        <v>315</v>
      </c>
      <c r="C171" s="245">
        <f>VLOOKUP($A171,'Table 19 data'!$A$9:$W$184,$B$4+'Table 19 data'!C$4,0)</f>
        <v>6631</v>
      </c>
      <c r="D171" s="246">
        <f>VLOOKUP($A171,'Table 19 data'!$A$9:$W$184,$B$4+'Table 19 data'!D$4,0)</f>
        <v>71.2</v>
      </c>
      <c r="E171" s="245">
        <f>VLOOKUP($A171,'Table 19 data'!$A$9:$W$184,$B$4+'Table 19 data'!E$4,0)</f>
        <v>6716</v>
      </c>
      <c r="F171" s="246">
        <f>VLOOKUP($A171,'Table 19 data'!$A$9:$W$184,$B$4+'Table 19 data'!F$4,0)</f>
        <v>72.7</v>
      </c>
      <c r="G171" s="245">
        <f>VLOOKUP($A171,'Table 19 data'!$A$9:$W$184,$B$4+'Table 19 data'!G$4,0)</f>
        <v>6531</v>
      </c>
      <c r="H171" s="246">
        <f>VLOOKUP($A171,'Table 19 data'!$A$9:$W$184,$B$4+'Table 19 data'!H$4,0)</f>
        <v>75.3</v>
      </c>
      <c r="I171" s="245">
        <f>VLOOKUP($A171,'Table 19 data'!$A$9:$W$184,$B$4+'Table 19 data'!I$4,0)</f>
        <v>6378</v>
      </c>
      <c r="J171" s="246">
        <f>VLOOKUP($A171,'Table 19 data'!$A$9:$W$184,$B$4+'Table 19 data'!J$4,0)</f>
        <v>69.400000000000006</v>
      </c>
      <c r="K171" s="245">
        <f>VLOOKUP($A171,'Table 19 data'!$A$9:$W$184,$B$4+'Table 19 data'!K$4,0)</f>
        <v>6454</v>
      </c>
      <c r="L171" s="246">
        <f>VLOOKUP($A171,'Table 19 data'!$A$9:$W$184,$B$4+'Table 19 data'!L$4,0)</f>
        <v>69.8</v>
      </c>
    </row>
    <row r="172" spans="1:12" ht="11.25" customHeight="1" x14ac:dyDescent="0.2">
      <c r="A172" s="125" t="s">
        <v>300</v>
      </c>
      <c r="B172" s="142" t="s">
        <v>301</v>
      </c>
      <c r="C172" s="245">
        <f>VLOOKUP($A172,'Table 19 data'!$A$9:$W$184,$B$4+'Table 19 data'!C$4,0)</f>
        <v>15</v>
      </c>
      <c r="D172" s="246">
        <f>VLOOKUP($A172,'Table 19 data'!$A$9:$W$184,$B$4+'Table 19 data'!D$4,0)</f>
        <v>80</v>
      </c>
      <c r="E172" s="245">
        <f>VLOOKUP($A172,'Table 19 data'!$A$9:$W$184,$B$4+'Table 19 data'!E$4,0)</f>
        <v>22</v>
      </c>
      <c r="F172" s="246">
        <f>VLOOKUP($A172,'Table 19 data'!$A$9:$W$184,$B$4+'Table 19 data'!F$4,0)</f>
        <v>77.3</v>
      </c>
      <c r="G172" s="245">
        <f>VLOOKUP($A172,'Table 19 data'!$A$9:$W$184,$B$4+'Table 19 data'!G$4,0)</f>
        <v>19</v>
      </c>
      <c r="H172" s="246">
        <f>VLOOKUP($A172,'Table 19 data'!$A$9:$W$184,$B$4+'Table 19 data'!H$4,0)</f>
        <v>73.7</v>
      </c>
      <c r="I172" s="245">
        <f>VLOOKUP($A172,'Table 19 data'!$A$9:$W$184,$B$4+'Table 19 data'!I$4,0)</f>
        <v>22</v>
      </c>
      <c r="J172" s="246">
        <f>VLOOKUP($A172,'Table 19 data'!$A$9:$W$184,$B$4+'Table 19 data'!J$4,0)</f>
        <v>86.4</v>
      </c>
      <c r="K172" s="245">
        <f>VLOOKUP($A172,'Table 19 data'!$A$9:$W$184,$B$4+'Table 19 data'!K$4,0)</f>
        <v>21</v>
      </c>
      <c r="L172" s="246">
        <f>VLOOKUP($A172,'Table 19 data'!$A$9:$W$184,$B$4+'Table 19 data'!L$4,0)</f>
        <v>81</v>
      </c>
    </row>
    <row r="173" spans="1:12" ht="11.25" customHeight="1" x14ac:dyDescent="0.2">
      <c r="A173" s="125" t="s">
        <v>316</v>
      </c>
      <c r="B173" s="142" t="s">
        <v>317</v>
      </c>
      <c r="C173" s="245">
        <f>VLOOKUP($A173,'Table 19 data'!$A$9:$W$184,$B$4+'Table 19 data'!C$4,0)</f>
        <v>2193</v>
      </c>
      <c r="D173" s="246">
        <f>VLOOKUP($A173,'Table 19 data'!$A$9:$W$184,$B$4+'Table 19 data'!D$4,0)</f>
        <v>67.900000000000006</v>
      </c>
      <c r="E173" s="245">
        <f>VLOOKUP($A173,'Table 19 data'!$A$9:$W$184,$B$4+'Table 19 data'!E$4,0)</f>
        <v>2204</v>
      </c>
      <c r="F173" s="246">
        <f>VLOOKUP($A173,'Table 19 data'!$A$9:$W$184,$B$4+'Table 19 data'!F$4,0)</f>
        <v>73.3</v>
      </c>
      <c r="G173" s="245">
        <f>VLOOKUP($A173,'Table 19 data'!$A$9:$W$184,$B$4+'Table 19 data'!G$4,0)</f>
        <v>2218</v>
      </c>
      <c r="H173" s="246">
        <f>VLOOKUP($A173,'Table 19 data'!$A$9:$W$184,$B$4+'Table 19 data'!H$4,0)</f>
        <v>74.2</v>
      </c>
      <c r="I173" s="245">
        <f>VLOOKUP($A173,'Table 19 data'!$A$9:$W$184,$B$4+'Table 19 data'!I$4,0)</f>
        <v>2133</v>
      </c>
      <c r="J173" s="246">
        <f>VLOOKUP($A173,'Table 19 data'!$A$9:$W$184,$B$4+'Table 19 data'!J$4,0)</f>
        <v>71</v>
      </c>
      <c r="K173" s="245">
        <f>VLOOKUP($A173,'Table 19 data'!$A$9:$W$184,$B$4+'Table 19 data'!K$4,0)</f>
        <v>2176</v>
      </c>
      <c r="L173" s="246">
        <f>VLOOKUP($A173,'Table 19 data'!$A$9:$W$184,$B$4+'Table 19 data'!L$4,0)</f>
        <v>71.7</v>
      </c>
    </row>
    <row r="174" spans="1:12" ht="11.25" customHeight="1" x14ac:dyDescent="0.2">
      <c r="A174" s="125" t="s">
        <v>318</v>
      </c>
      <c r="B174" s="142" t="s">
        <v>319</v>
      </c>
      <c r="C174" s="245">
        <f>VLOOKUP($A174,'Table 19 data'!$A$9:$W$184,$B$4+'Table 19 data'!C$4,0)</f>
        <v>2840</v>
      </c>
      <c r="D174" s="246">
        <f>VLOOKUP($A174,'Table 19 data'!$A$9:$W$184,$B$4+'Table 19 data'!D$4,0)</f>
        <v>63.5</v>
      </c>
      <c r="E174" s="245">
        <f>VLOOKUP($A174,'Table 19 data'!$A$9:$W$184,$B$4+'Table 19 data'!E$4,0)</f>
        <v>2883</v>
      </c>
      <c r="F174" s="246">
        <f>VLOOKUP($A174,'Table 19 data'!$A$9:$W$184,$B$4+'Table 19 data'!F$4,0)</f>
        <v>70</v>
      </c>
      <c r="G174" s="245">
        <f>VLOOKUP($A174,'Table 19 data'!$A$9:$W$184,$B$4+'Table 19 data'!G$4,0)</f>
        <v>2746</v>
      </c>
      <c r="H174" s="246">
        <f>VLOOKUP($A174,'Table 19 data'!$A$9:$W$184,$B$4+'Table 19 data'!H$4,0)</f>
        <v>73</v>
      </c>
      <c r="I174" s="245">
        <f>VLOOKUP($A174,'Table 19 data'!$A$9:$W$184,$B$4+'Table 19 data'!I$4,0)</f>
        <v>2664</v>
      </c>
      <c r="J174" s="246">
        <f>VLOOKUP($A174,'Table 19 data'!$A$9:$W$184,$B$4+'Table 19 data'!J$4,0)</f>
        <v>71.099999999999994</v>
      </c>
      <c r="K174" s="245">
        <f>VLOOKUP($A174,'Table 19 data'!$A$9:$W$184,$B$4+'Table 19 data'!K$4,0)</f>
        <v>2698</v>
      </c>
      <c r="L174" s="246">
        <f>VLOOKUP($A174,'Table 19 data'!$A$9:$W$184,$B$4+'Table 19 data'!L$4,0)</f>
        <v>73.400000000000006</v>
      </c>
    </row>
    <row r="175" spans="1:12" ht="11.25" customHeight="1" x14ac:dyDescent="0.2">
      <c r="A175" s="125" t="s">
        <v>320</v>
      </c>
      <c r="B175" s="142" t="s">
        <v>321</v>
      </c>
      <c r="C175" s="245">
        <f>VLOOKUP($A175,'Table 19 data'!$A$9:$W$184,$B$4+'Table 19 data'!C$4,0)</f>
        <v>1633</v>
      </c>
      <c r="D175" s="246">
        <f>VLOOKUP($A175,'Table 19 data'!$A$9:$W$184,$B$4+'Table 19 data'!D$4,0)</f>
        <v>67.400000000000006</v>
      </c>
      <c r="E175" s="245">
        <f>VLOOKUP($A175,'Table 19 data'!$A$9:$W$184,$B$4+'Table 19 data'!E$4,0)</f>
        <v>1627</v>
      </c>
      <c r="F175" s="246">
        <f>VLOOKUP($A175,'Table 19 data'!$A$9:$W$184,$B$4+'Table 19 data'!F$4,0)</f>
        <v>69.3</v>
      </c>
      <c r="G175" s="245">
        <f>VLOOKUP($A175,'Table 19 data'!$A$9:$W$184,$B$4+'Table 19 data'!G$4,0)</f>
        <v>1543</v>
      </c>
      <c r="H175" s="246">
        <f>VLOOKUP($A175,'Table 19 data'!$A$9:$W$184,$B$4+'Table 19 data'!H$4,0)</f>
        <v>72.8</v>
      </c>
      <c r="I175" s="245">
        <f>VLOOKUP($A175,'Table 19 data'!$A$9:$W$184,$B$4+'Table 19 data'!I$4,0)</f>
        <v>1552</v>
      </c>
      <c r="J175" s="246">
        <f>VLOOKUP($A175,'Table 19 data'!$A$9:$W$184,$B$4+'Table 19 data'!J$4,0)</f>
        <v>71.3</v>
      </c>
      <c r="K175" s="245">
        <f>VLOOKUP($A175,'Table 19 data'!$A$9:$W$184,$B$4+'Table 19 data'!K$4,0)</f>
        <v>1588</v>
      </c>
      <c r="L175" s="246">
        <f>VLOOKUP($A175,'Table 19 data'!$A$9:$W$184,$B$4+'Table 19 data'!L$4,0)</f>
        <v>72.7</v>
      </c>
    </row>
    <row r="176" spans="1:12" ht="11.25" customHeight="1" x14ac:dyDescent="0.2">
      <c r="A176" s="125" t="s">
        <v>322</v>
      </c>
      <c r="B176" s="142" t="s">
        <v>323</v>
      </c>
      <c r="C176" s="245">
        <f>VLOOKUP($A176,'Table 19 data'!$A$9:$W$184,$B$4+'Table 19 data'!C$4,0)</f>
        <v>5515</v>
      </c>
      <c r="D176" s="246">
        <f>VLOOKUP($A176,'Table 19 data'!$A$9:$W$184,$B$4+'Table 19 data'!D$4,0)</f>
        <v>64.900000000000006</v>
      </c>
      <c r="E176" s="245">
        <f>VLOOKUP($A176,'Table 19 data'!$A$9:$W$184,$B$4+'Table 19 data'!E$4,0)</f>
        <v>5564</v>
      </c>
      <c r="F176" s="246">
        <f>VLOOKUP($A176,'Table 19 data'!$A$9:$W$184,$B$4+'Table 19 data'!F$4,0)</f>
        <v>70.8</v>
      </c>
      <c r="G176" s="245">
        <f>VLOOKUP($A176,'Table 19 data'!$A$9:$W$184,$B$4+'Table 19 data'!G$4,0)</f>
        <v>5267</v>
      </c>
      <c r="H176" s="246">
        <f>VLOOKUP($A176,'Table 19 data'!$A$9:$W$184,$B$4+'Table 19 data'!H$4,0)</f>
        <v>73.5</v>
      </c>
      <c r="I176" s="245">
        <f>VLOOKUP($A176,'Table 19 data'!$A$9:$W$184,$B$4+'Table 19 data'!I$4,0)</f>
        <v>5083</v>
      </c>
      <c r="J176" s="246">
        <f>VLOOKUP($A176,'Table 19 data'!$A$9:$W$184,$B$4+'Table 19 data'!J$4,0)</f>
        <v>65.3</v>
      </c>
      <c r="K176" s="245">
        <f>VLOOKUP($A176,'Table 19 data'!$A$9:$W$184,$B$4+'Table 19 data'!K$4,0)</f>
        <v>5342</v>
      </c>
      <c r="L176" s="246">
        <f>VLOOKUP($A176,'Table 19 data'!$A$9:$W$184,$B$4+'Table 19 data'!L$4,0)</f>
        <v>68.599999999999994</v>
      </c>
    </row>
    <row r="177" spans="1:12" ht="11.25" customHeight="1" x14ac:dyDescent="0.2">
      <c r="A177" s="125" t="s">
        <v>324</v>
      </c>
      <c r="B177" s="142" t="s">
        <v>325</v>
      </c>
      <c r="C177" s="245">
        <f>VLOOKUP($A177,'Table 19 data'!$A$9:$W$184,$B$4+'Table 19 data'!C$4,0)</f>
        <v>3026</v>
      </c>
      <c r="D177" s="246">
        <f>VLOOKUP($A177,'Table 19 data'!$A$9:$W$184,$B$4+'Table 19 data'!D$4,0)</f>
        <v>63.4</v>
      </c>
      <c r="E177" s="245">
        <f>VLOOKUP($A177,'Table 19 data'!$A$9:$W$184,$B$4+'Table 19 data'!E$4,0)</f>
        <v>3125</v>
      </c>
      <c r="F177" s="246">
        <f>VLOOKUP($A177,'Table 19 data'!$A$9:$W$184,$B$4+'Table 19 data'!F$4,0)</f>
        <v>68</v>
      </c>
      <c r="G177" s="245">
        <f>VLOOKUP($A177,'Table 19 data'!$A$9:$W$184,$B$4+'Table 19 data'!G$4,0)</f>
        <v>3135</v>
      </c>
      <c r="H177" s="246">
        <f>VLOOKUP($A177,'Table 19 data'!$A$9:$W$184,$B$4+'Table 19 data'!H$4,0)</f>
        <v>70.599999999999994</v>
      </c>
      <c r="I177" s="245">
        <f>VLOOKUP($A177,'Table 19 data'!$A$9:$W$184,$B$4+'Table 19 data'!I$4,0)</f>
        <v>2973</v>
      </c>
      <c r="J177" s="246">
        <f>VLOOKUP($A177,'Table 19 data'!$A$9:$W$184,$B$4+'Table 19 data'!J$4,0)</f>
        <v>66.599999999999994</v>
      </c>
      <c r="K177" s="245">
        <f>VLOOKUP($A177,'Table 19 data'!$A$9:$W$184,$B$4+'Table 19 data'!K$4,0)</f>
        <v>3009</v>
      </c>
      <c r="L177" s="246">
        <f>VLOOKUP($A177,'Table 19 data'!$A$9:$W$184,$B$4+'Table 19 data'!L$4,0)</f>
        <v>67.900000000000006</v>
      </c>
    </row>
    <row r="178" spans="1:12" ht="11.25" customHeight="1" x14ac:dyDescent="0.2">
      <c r="A178" s="125" t="s">
        <v>326</v>
      </c>
      <c r="B178" s="142" t="s">
        <v>327</v>
      </c>
      <c r="C178" s="245">
        <f>VLOOKUP($A178,'Table 19 data'!$A$9:$W$184,$B$4+'Table 19 data'!C$4,0)</f>
        <v>2137</v>
      </c>
      <c r="D178" s="246">
        <f>VLOOKUP($A178,'Table 19 data'!$A$9:$W$184,$B$4+'Table 19 data'!D$4,0)</f>
        <v>66.2</v>
      </c>
      <c r="E178" s="245">
        <f>VLOOKUP($A178,'Table 19 data'!$A$9:$W$184,$B$4+'Table 19 data'!E$4,0)</f>
        <v>2078</v>
      </c>
      <c r="F178" s="246">
        <f>VLOOKUP($A178,'Table 19 data'!$A$9:$W$184,$B$4+'Table 19 data'!F$4,0)</f>
        <v>71.2</v>
      </c>
      <c r="G178" s="245">
        <f>VLOOKUP($A178,'Table 19 data'!$A$9:$W$184,$B$4+'Table 19 data'!G$4,0)</f>
        <v>2017</v>
      </c>
      <c r="H178" s="246">
        <f>VLOOKUP($A178,'Table 19 data'!$A$9:$W$184,$B$4+'Table 19 data'!H$4,0)</f>
        <v>72.599999999999994</v>
      </c>
      <c r="I178" s="245">
        <f>VLOOKUP($A178,'Table 19 data'!$A$9:$W$184,$B$4+'Table 19 data'!I$4,0)</f>
        <v>2126</v>
      </c>
      <c r="J178" s="246">
        <f>VLOOKUP($A178,'Table 19 data'!$A$9:$W$184,$B$4+'Table 19 data'!J$4,0)</f>
        <v>69.2</v>
      </c>
      <c r="K178" s="245">
        <f>VLOOKUP($A178,'Table 19 data'!$A$9:$W$184,$B$4+'Table 19 data'!K$4,0)</f>
        <v>2121</v>
      </c>
      <c r="L178" s="246">
        <f>VLOOKUP($A178,'Table 19 data'!$A$9:$W$184,$B$4+'Table 19 data'!L$4,0)</f>
        <v>69.400000000000006</v>
      </c>
    </row>
    <row r="179" spans="1:12" ht="11.25" customHeight="1" x14ac:dyDescent="0.2">
      <c r="A179" s="125" t="s">
        <v>328</v>
      </c>
      <c r="B179" s="142" t="s">
        <v>329</v>
      </c>
      <c r="C179" s="245">
        <f>VLOOKUP($A179,'Table 19 data'!$A$9:$W$184,$B$4+'Table 19 data'!C$4,0)</f>
        <v>1445</v>
      </c>
      <c r="D179" s="246">
        <f>VLOOKUP($A179,'Table 19 data'!$A$9:$W$184,$B$4+'Table 19 data'!D$4,0)</f>
        <v>66.400000000000006</v>
      </c>
      <c r="E179" s="245">
        <f>VLOOKUP($A179,'Table 19 data'!$A$9:$W$184,$B$4+'Table 19 data'!E$4,0)</f>
        <v>1461</v>
      </c>
      <c r="F179" s="246">
        <f>VLOOKUP($A179,'Table 19 data'!$A$9:$W$184,$B$4+'Table 19 data'!F$4,0)</f>
        <v>69.099999999999994</v>
      </c>
      <c r="G179" s="245">
        <f>VLOOKUP($A179,'Table 19 data'!$A$9:$W$184,$B$4+'Table 19 data'!G$4,0)</f>
        <v>1414</v>
      </c>
      <c r="H179" s="246">
        <f>VLOOKUP($A179,'Table 19 data'!$A$9:$W$184,$B$4+'Table 19 data'!H$4,0)</f>
        <v>75.2</v>
      </c>
      <c r="I179" s="245">
        <f>VLOOKUP($A179,'Table 19 data'!$A$9:$W$184,$B$4+'Table 19 data'!I$4,0)</f>
        <v>1357</v>
      </c>
      <c r="J179" s="246">
        <f>VLOOKUP($A179,'Table 19 data'!$A$9:$W$184,$B$4+'Table 19 data'!J$4,0)</f>
        <v>70.7</v>
      </c>
      <c r="K179" s="245">
        <f>VLOOKUP($A179,'Table 19 data'!$A$9:$W$184,$B$4+'Table 19 data'!K$4,0)</f>
        <v>1402</v>
      </c>
      <c r="L179" s="246">
        <f>VLOOKUP($A179,'Table 19 data'!$A$9:$W$184,$B$4+'Table 19 data'!L$4,0)</f>
        <v>73.7</v>
      </c>
    </row>
    <row r="180" spans="1:12" ht="11.25" customHeight="1" x14ac:dyDescent="0.2">
      <c r="A180" s="125" t="s">
        <v>330</v>
      </c>
      <c r="B180" s="142" t="s">
        <v>331</v>
      </c>
      <c r="C180" s="245">
        <f>VLOOKUP($A180,'Table 19 data'!$A$9:$W$184,$B$4+'Table 19 data'!C$4,0)</f>
        <v>4902</v>
      </c>
      <c r="D180" s="246">
        <f>VLOOKUP($A180,'Table 19 data'!$A$9:$W$184,$B$4+'Table 19 data'!D$4,0)</f>
        <v>72</v>
      </c>
      <c r="E180" s="245">
        <f>VLOOKUP($A180,'Table 19 data'!$A$9:$W$184,$B$4+'Table 19 data'!E$4,0)</f>
        <v>5059</v>
      </c>
      <c r="F180" s="246">
        <f>VLOOKUP($A180,'Table 19 data'!$A$9:$W$184,$B$4+'Table 19 data'!F$4,0)</f>
        <v>72.599999999999994</v>
      </c>
      <c r="G180" s="245">
        <f>VLOOKUP($A180,'Table 19 data'!$A$9:$W$184,$B$4+'Table 19 data'!G$4,0)</f>
        <v>4921</v>
      </c>
      <c r="H180" s="246">
        <f>VLOOKUP($A180,'Table 19 data'!$A$9:$W$184,$B$4+'Table 19 data'!H$4,0)</f>
        <v>74.8</v>
      </c>
      <c r="I180" s="245">
        <f>VLOOKUP($A180,'Table 19 data'!$A$9:$W$184,$B$4+'Table 19 data'!I$4,0)</f>
        <v>4783</v>
      </c>
      <c r="J180" s="246">
        <f>VLOOKUP($A180,'Table 19 data'!$A$9:$W$184,$B$4+'Table 19 data'!J$4,0)</f>
        <v>67.5</v>
      </c>
      <c r="K180" s="245">
        <f>VLOOKUP($A180,'Table 19 data'!$A$9:$W$184,$B$4+'Table 19 data'!K$4,0)</f>
        <v>5051</v>
      </c>
      <c r="L180" s="246">
        <f>VLOOKUP($A180,'Table 19 data'!$A$9:$W$184,$B$4+'Table 19 data'!L$4,0)</f>
        <v>70.8</v>
      </c>
    </row>
    <row r="181" spans="1:12" ht="11.25" customHeight="1" x14ac:dyDescent="0.2">
      <c r="A181" s="26"/>
      <c r="B181" s="142"/>
      <c r="C181" s="247"/>
      <c r="D181" s="250"/>
      <c r="E181" s="247"/>
      <c r="F181" s="250"/>
      <c r="G181" s="247"/>
      <c r="H181" s="249"/>
      <c r="I181" s="250"/>
      <c r="J181" s="250"/>
      <c r="K181" s="250"/>
      <c r="L181" s="250"/>
    </row>
    <row r="182" spans="1:12" ht="22.5" customHeight="1" x14ac:dyDescent="0.2">
      <c r="A182" s="17" t="s">
        <v>467</v>
      </c>
      <c r="B182" s="33"/>
      <c r="C182" s="252">
        <f>VLOOKUP($A182,'Table 19 data'!$A$9:$W$184,$B$4+'Table 19 data'!C$4,0)</f>
        <v>550059</v>
      </c>
      <c r="D182" s="253">
        <f>VLOOKUP($A182,'Table 19 data'!$A$9:$W$184,$B$4+'Table 19 data'!D$4,0)</f>
        <v>66.400000000000006</v>
      </c>
      <c r="E182" s="252">
        <f>VLOOKUP($A182,'Table 19 data'!$A$9:$W$184,$B$4+'Table 19 data'!E$4,0)</f>
        <v>550723</v>
      </c>
      <c r="F182" s="253">
        <f>VLOOKUP($A182,'Table 19 data'!$A$9:$W$184,$B$4+'Table 19 data'!F$4,0)</f>
        <v>71</v>
      </c>
      <c r="G182" s="252">
        <f>VLOOKUP($A182,'Table 19 data'!$A$9:$W$184,$B$4+'Table 19 data'!G$4,0)</f>
        <v>534529</v>
      </c>
      <c r="H182" s="253">
        <f>VLOOKUP($A182,'Table 19 data'!$A$9:$W$184,$B$4+'Table 19 data'!H$4,0)</f>
        <v>73.099999999999994</v>
      </c>
      <c r="I182" s="252">
        <f>VLOOKUP($A182,'Table 19 data'!$A$9:$W$184,$B$4+'Table 19 data'!I$4,0)</f>
        <v>531424</v>
      </c>
      <c r="J182" s="253">
        <f>VLOOKUP($A182,'Table 19 data'!$A$9:$W$184,$B$4+'Table 19 data'!J$4,0)</f>
        <v>69.3</v>
      </c>
      <c r="K182" s="252">
        <f>VLOOKUP($A182,'Table 19 data'!$A$9:$W$184,$B$4+'Table 19 data'!K$4,0)</f>
        <v>542852</v>
      </c>
      <c r="L182" s="253">
        <f>VLOOKUP($A182,'Table 19 data'!$A$9:$W$184,$B$4+'Table 19 data'!L$4,0)</f>
        <v>71.7</v>
      </c>
    </row>
    <row r="183" spans="1:12" ht="11.25" customHeight="1" x14ac:dyDescent="0.2">
      <c r="A183" s="105"/>
      <c r="B183" s="33"/>
      <c r="C183" s="252"/>
      <c r="D183" s="254"/>
      <c r="E183" s="252"/>
      <c r="F183" s="254"/>
      <c r="G183" s="252"/>
      <c r="H183" s="253"/>
      <c r="I183" s="255"/>
      <c r="J183" s="255"/>
      <c r="K183" s="255"/>
      <c r="L183" s="255"/>
    </row>
    <row r="184" spans="1:12" s="98" customFormat="1" ht="25.5" customHeight="1" x14ac:dyDescent="0.2">
      <c r="A184" s="17" t="s">
        <v>375</v>
      </c>
      <c r="B184" s="33" t="s">
        <v>332</v>
      </c>
      <c r="C184" s="252">
        <f>VLOOKUP($A184,'Table 19 data'!$A$9:$W$184,$B$4+'Table 19 data'!C$4,0)</f>
        <v>556252</v>
      </c>
      <c r="D184" s="253">
        <f>VLOOKUP($A184,'Table 19 data'!$A$9:$W$184,$B$4+'Table 19 data'!D$4,0)</f>
        <v>65.7</v>
      </c>
      <c r="E184" s="252">
        <f>VLOOKUP($A184,'Table 19 data'!$A$9:$W$184,$B$4+'Table 19 data'!E$4,0)</f>
        <v>556264</v>
      </c>
      <c r="F184" s="253">
        <f>VLOOKUP($A184,'Table 19 data'!$A$9:$W$184,$B$4+'Table 19 data'!F$4,0)</f>
        <v>70.400000000000006</v>
      </c>
      <c r="G184" s="252">
        <f>VLOOKUP($A184,'Table 19 data'!$A$9:$W$184,$B$4+'Table 19 data'!G$4,0)</f>
        <v>535527</v>
      </c>
      <c r="H184" s="253">
        <f>VLOOKUP($A184,'Table 19 data'!$A$9:$W$184,$B$4+'Table 19 data'!H$4,0)</f>
        <v>73</v>
      </c>
      <c r="I184" s="252">
        <f>VLOOKUP($A184,'Table 19 data'!$A$9:$W$184,$B$4+'Table 19 data'!I$4,0)</f>
        <v>532453</v>
      </c>
      <c r="J184" s="253">
        <f>VLOOKUP($A184,'Table 19 data'!$A$9:$W$184,$B$4+'Table 19 data'!J$4,0)</f>
        <v>69.2</v>
      </c>
      <c r="K184" s="252">
        <f>VLOOKUP($A184,'Table 19 data'!$A$9:$W$184,$B$4+'Table 19 data'!K$4,0)</f>
        <v>543868</v>
      </c>
      <c r="L184" s="253">
        <f>VLOOKUP($A184,'Table 19 data'!$A$9:$W$184,$B$4+'Table 19 data'!L$4,0)</f>
        <v>71.599999999999994</v>
      </c>
    </row>
    <row r="185" spans="1:12" ht="11.25" customHeight="1" x14ac:dyDescent="0.2">
      <c r="A185" s="110"/>
      <c r="B185" s="110"/>
      <c r="C185" s="111"/>
      <c r="D185" s="112"/>
      <c r="E185" s="111"/>
      <c r="F185" s="112"/>
      <c r="G185" s="111"/>
      <c r="H185" s="112"/>
      <c r="I185" s="112"/>
      <c r="J185" s="112"/>
      <c r="K185" s="118"/>
      <c r="L185" s="118"/>
    </row>
    <row r="186" spans="1:12" ht="11.25" customHeight="1" x14ac:dyDescent="0.2">
      <c r="A186" s="104"/>
      <c r="B186" s="104"/>
      <c r="C186" s="148"/>
      <c r="D186" s="149"/>
      <c r="E186" s="93"/>
      <c r="F186" s="149"/>
      <c r="G186" s="93"/>
      <c r="H186" s="149"/>
      <c r="I186" s="149"/>
      <c r="J186" s="149"/>
      <c r="K186" s="149"/>
      <c r="L186" s="140" t="s">
        <v>456</v>
      </c>
    </row>
    <row r="187" spans="1:12" s="113" customFormat="1" ht="22.5" customHeight="1" x14ac:dyDescent="0.2">
      <c r="A187" s="463" t="s">
        <v>437</v>
      </c>
      <c r="B187" s="463"/>
      <c r="C187" s="463"/>
      <c r="D187" s="463"/>
      <c r="E187" s="463"/>
      <c r="F187" s="463"/>
      <c r="G187" s="463"/>
      <c r="H187" s="463"/>
      <c r="I187" s="463"/>
      <c r="J187" s="463"/>
      <c r="K187" s="463"/>
      <c r="L187" s="463"/>
    </row>
    <row r="188" spans="1:12" ht="11.25" customHeight="1" x14ac:dyDescent="0.2">
      <c r="A188" s="535" t="s">
        <v>357</v>
      </c>
      <c r="B188" s="535"/>
      <c r="C188" s="535"/>
      <c r="D188" s="535"/>
      <c r="E188" s="535"/>
      <c r="F188" s="535"/>
      <c r="G188" s="535"/>
      <c r="H188" s="535"/>
      <c r="I188" s="146"/>
      <c r="J188" s="146"/>
      <c r="K188" s="146"/>
      <c r="L188" s="146"/>
    </row>
    <row r="189" spans="1:12" ht="11.25" customHeight="1" x14ac:dyDescent="0.2">
      <c r="A189" s="536" t="s">
        <v>438</v>
      </c>
      <c r="B189" s="536"/>
      <c r="C189" s="464"/>
      <c r="D189" s="464"/>
      <c r="E189" s="464"/>
      <c r="F189" s="464"/>
      <c r="G189" s="464"/>
      <c r="H189" s="464"/>
      <c r="I189" s="464"/>
      <c r="J189" s="464"/>
      <c r="K189" s="464"/>
      <c r="L189" s="464"/>
    </row>
    <row r="190" spans="1:12" ht="11.25" customHeight="1" x14ac:dyDescent="0.2">
      <c r="A190" s="535" t="s">
        <v>435</v>
      </c>
      <c r="B190" s="535"/>
      <c r="C190" s="535"/>
      <c r="D190" s="535"/>
      <c r="E190" s="535"/>
      <c r="F190" s="535"/>
      <c r="G190" s="161"/>
      <c r="H190" s="161"/>
      <c r="I190" s="161"/>
      <c r="J190" s="161"/>
      <c r="K190" s="161"/>
      <c r="L190" s="161"/>
    </row>
    <row r="191" spans="1:12" ht="22.5" customHeight="1" x14ac:dyDescent="0.2">
      <c r="A191" s="479" t="s">
        <v>747</v>
      </c>
      <c r="B191" s="479"/>
      <c r="C191" s="479"/>
      <c r="D191" s="479"/>
      <c r="E191" s="479"/>
      <c r="F191" s="479"/>
      <c r="G191" s="479"/>
      <c r="H191" s="479"/>
      <c r="I191" s="479"/>
      <c r="J191" s="479"/>
      <c r="K191" s="479"/>
      <c r="L191" s="479"/>
    </row>
    <row r="192" spans="1:12" x14ac:dyDescent="0.2">
      <c r="A192" s="169"/>
      <c r="B192" s="169"/>
      <c r="C192" s="169"/>
      <c r="D192" s="169"/>
      <c r="E192" s="169"/>
      <c r="F192" s="169"/>
      <c r="G192" s="169"/>
      <c r="H192" s="169"/>
      <c r="I192" s="169"/>
      <c r="J192" s="169"/>
      <c r="K192" s="169"/>
      <c r="L192" s="169"/>
    </row>
    <row r="193" spans="1:12" ht="11.25" customHeight="1" x14ac:dyDescent="0.2">
      <c r="A193" s="3" t="s">
        <v>349</v>
      </c>
      <c r="B193" s="104"/>
      <c r="C193" s="148"/>
      <c r="D193" s="149"/>
      <c r="E193" s="148"/>
      <c r="F193" s="149"/>
      <c r="G193" s="149"/>
      <c r="H193" s="149"/>
      <c r="I193" s="149"/>
      <c r="J193" s="149"/>
      <c r="K193" s="104"/>
      <c r="L193" s="148"/>
    </row>
  </sheetData>
  <sheetProtection sheet="1"/>
  <protectedRanges>
    <protectedRange sqref="K3" name="Range1"/>
  </protectedRanges>
  <mergeCells count="16">
    <mergeCell ref="A191:L191"/>
    <mergeCell ref="A188:H188"/>
    <mergeCell ref="A189:L189"/>
    <mergeCell ref="A190:F190"/>
    <mergeCell ref="K2:L2"/>
    <mergeCell ref="K3:L3"/>
    <mergeCell ref="A187:L187"/>
    <mergeCell ref="A1:L1"/>
    <mergeCell ref="A5:A7"/>
    <mergeCell ref="B5:B7"/>
    <mergeCell ref="C5:L5"/>
    <mergeCell ref="C6:D6"/>
    <mergeCell ref="E6:F6"/>
    <mergeCell ref="G6:H6"/>
    <mergeCell ref="I6:J6"/>
    <mergeCell ref="K6:L6"/>
  </mergeCells>
  <conditionalFormatting sqref="A165:A180">
    <cfRule type="cellIs" dxfId="3" priority="3" stopIfTrue="1" operator="equal">
      <formula>"x"</formula>
    </cfRule>
  </conditionalFormatting>
  <dataValidations count="1">
    <dataValidation type="list" allowBlank="1" showInputMessage="1" showErrorMessage="1" sqref="K3:L3" xr:uid="{B945E9DE-BE6A-44C7-A837-64CE6E337B43}">
      <formula1>EngMaths</formula1>
    </dataValidation>
  </dataValidations>
  <pageMargins left="0.74803149606299213" right="0.74803149606299213" top="0.98425196850393704" bottom="0.98425196850393704" header="0.51181102362204722" footer="0.51181102362204722"/>
  <pageSetup paperSize="9" scale="64"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8531B-25AB-47DA-841D-5F4A55B42BA9}">
  <sheetPr codeName="Sheet8">
    <tabColor indexed="42"/>
  </sheetPr>
  <dimension ref="A1:AC206"/>
  <sheetViews>
    <sheetView showGridLines="0" topLeftCell="A150" zoomScaleNormal="100" workbookViewId="0">
      <selection activeCell="W182" sqref="W182"/>
    </sheetView>
  </sheetViews>
  <sheetFormatPr defaultRowHeight="11.25" x14ac:dyDescent="0.2"/>
  <cols>
    <col min="1" max="1" width="25.140625" style="82" customWidth="1"/>
    <col min="2" max="2" width="8.7109375" style="82" customWidth="1"/>
    <col min="3" max="3" width="7.7109375" style="81" customWidth="1"/>
    <col min="4" max="4" width="8.85546875" style="87" bestFit="1" customWidth="1"/>
    <col min="5" max="5" width="8.140625" style="81" bestFit="1" customWidth="1"/>
    <col min="6" max="6" width="8.85546875" style="87" bestFit="1" customWidth="1"/>
    <col min="7" max="7" width="8.140625" style="81" bestFit="1" customWidth="1"/>
    <col min="8" max="8" width="8.85546875" style="87" bestFit="1" customWidth="1"/>
    <col min="9" max="12" width="8.85546875" style="87" customWidth="1"/>
    <col min="13" max="13" width="1.7109375" style="82" customWidth="1"/>
    <col min="14" max="14" width="8.140625" style="81" bestFit="1" customWidth="1"/>
    <col min="15" max="15" width="8.85546875" style="87" bestFit="1" customWidth="1"/>
    <col min="16" max="16" width="8.140625" style="81" bestFit="1" customWidth="1"/>
    <col min="17" max="17" width="8.85546875" style="87" bestFit="1" customWidth="1"/>
    <col min="18" max="18" width="8.140625" style="81" bestFit="1" customWidth="1"/>
    <col min="19" max="19" width="8.85546875" style="87" bestFit="1" customWidth="1"/>
    <col min="20" max="21" width="8.85546875" style="87" customWidth="1"/>
    <col min="22" max="256" width="11.42578125" style="82" customWidth="1"/>
    <col min="257" max="16384" width="9.140625" style="82"/>
  </cols>
  <sheetData>
    <row r="1" spans="1:29" ht="12.75" customHeight="1" x14ac:dyDescent="0.2">
      <c r="A1" s="533" t="s">
        <v>374</v>
      </c>
      <c r="B1" s="533"/>
      <c r="C1" s="533"/>
      <c r="D1" s="533"/>
      <c r="E1" s="533"/>
      <c r="F1" s="533"/>
      <c r="G1" s="533"/>
      <c r="H1" s="533"/>
      <c r="I1" s="533"/>
      <c r="J1" s="533"/>
      <c r="K1" s="533"/>
      <c r="L1" s="533"/>
      <c r="M1" s="533"/>
      <c r="N1" s="533"/>
      <c r="O1" s="533"/>
      <c r="P1" s="533"/>
      <c r="Q1" s="533"/>
      <c r="R1" s="533"/>
      <c r="S1" s="533"/>
      <c r="T1" s="533"/>
      <c r="U1" s="533"/>
      <c r="V1" s="533"/>
      <c r="W1" s="104"/>
    </row>
    <row r="2" spans="1:29" s="86" customFormat="1" ht="13.5" customHeight="1" x14ac:dyDescent="0.2">
      <c r="A2" s="83" t="s">
        <v>392</v>
      </c>
      <c r="B2" s="83"/>
      <c r="C2" s="84"/>
      <c r="D2" s="85"/>
      <c r="E2" s="84"/>
      <c r="F2" s="85"/>
      <c r="G2" s="84"/>
      <c r="H2" s="85"/>
      <c r="I2" s="85"/>
      <c r="J2" s="85"/>
      <c r="K2" s="85"/>
      <c r="L2" s="85"/>
      <c r="N2" s="84"/>
      <c r="O2" s="85"/>
      <c r="P2" s="84"/>
      <c r="Q2" s="85"/>
      <c r="R2" s="84"/>
      <c r="S2" s="85"/>
      <c r="T2" s="85"/>
      <c r="U2" s="85"/>
    </row>
    <row r="3" spans="1:29" s="86" customFormat="1" ht="13.5" customHeight="1" x14ac:dyDescent="0.2">
      <c r="A3" s="83" t="s">
        <v>352</v>
      </c>
      <c r="B3" s="83"/>
      <c r="C3" s="84"/>
      <c r="D3" s="85"/>
      <c r="E3" s="84"/>
      <c r="F3" s="85"/>
      <c r="G3" s="84"/>
      <c r="H3" s="85"/>
      <c r="I3" s="85"/>
      <c r="J3" s="85"/>
      <c r="K3" s="85"/>
      <c r="L3" s="85"/>
      <c r="N3" s="84"/>
      <c r="O3" s="85"/>
      <c r="P3" s="84"/>
      <c r="Q3" s="85"/>
      <c r="R3" s="84"/>
      <c r="S3" s="85"/>
      <c r="T3" s="85"/>
      <c r="U3" s="85"/>
    </row>
    <row r="4" spans="1:29" ht="9.75" customHeight="1" x14ac:dyDescent="0.2">
      <c r="A4" s="225">
        <v>1</v>
      </c>
      <c r="B4" s="226">
        <f>A4+1</f>
        <v>2</v>
      </c>
      <c r="C4" s="226">
        <f>B4+1</f>
        <v>3</v>
      </c>
      <c r="D4" s="226">
        <f>C4+1</f>
        <v>4</v>
      </c>
      <c r="E4" s="226">
        <f t="shared" ref="E4:W4" si="0">D4+1</f>
        <v>5</v>
      </c>
      <c r="F4" s="226">
        <f t="shared" si="0"/>
        <v>6</v>
      </c>
      <c r="G4" s="226">
        <f t="shared" si="0"/>
        <v>7</v>
      </c>
      <c r="H4" s="226">
        <f t="shared" si="0"/>
        <v>8</v>
      </c>
      <c r="I4" s="226">
        <f t="shared" si="0"/>
        <v>9</v>
      </c>
      <c r="J4" s="226">
        <f t="shared" si="0"/>
        <v>10</v>
      </c>
      <c r="K4" s="226">
        <f t="shared" si="0"/>
        <v>11</v>
      </c>
      <c r="L4" s="226">
        <f t="shared" si="0"/>
        <v>12</v>
      </c>
      <c r="M4" s="226">
        <f t="shared" si="0"/>
        <v>13</v>
      </c>
      <c r="N4" s="226">
        <f t="shared" si="0"/>
        <v>14</v>
      </c>
      <c r="O4" s="226">
        <f t="shared" si="0"/>
        <v>15</v>
      </c>
      <c r="P4" s="226">
        <f t="shared" si="0"/>
        <v>16</v>
      </c>
      <c r="Q4" s="226">
        <f t="shared" si="0"/>
        <v>17</v>
      </c>
      <c r="R4" s="226">
        <f t="shared" si="0"/>
        <v>18</v>
      </c>
      <c r="S4" s="226">
        <f t="shared" si="0"/>
        <v>19</v>
      </c>
      <c r="T4" s="226">
        <f t="shared" si="0"/>
        <v>20</v>
      </c>
      <c r="U4" s="226">
        <f t="shared" si="0"/>
        <v>21</v>
      </c>
      <c r="V4" s="226">
        <f t="shared" si="0"/>
        <v>22</v>
      </c>
      <c r="W4" s="226">
        <f t="shared" si="0"/>
        <v>23</v>
      </c>
    </row>
    <row r="5" spans="1:29" ht="11.25" customHeight="1" x14ac:dyDescent="0.2">
      <c r="A5" s="518" t="s">
        <v>378</v>
      </c>
      <c r="B5" s="518" t="s">
        <v>379</v>
      </c>
      <c r="C5" s="534" t="s">
        <v>7</v>
      </c>
      <c r="D5" s="534"/>
      <c r="E5" s="534"/>
      <c r="F5" s="534"/>
      <c r="G5" s="534"/>
      <c r="H5" s="534"/>
      <c r="I5" s="534"/>
      <c r="J5" s="534"/>
      <c r="K5" s="534"/>
      <c r="L5" s="534"/>
      <c r="M5" s="189"/>
      <c r="N5" s="534" t="s">
        <v>8</v>
      </c>
      <c r="O5" s="534"/>
      <c r="P5" s="534"/>
      <c r="Q5" s="534"/>
      <c r="R5" s="534"/>
      <c r="S5" s="534"/>
      <c r="T5" s="534"/>
      <c r="U5" s="534"/>
      <c r="V5" s="534"/>
      <c r="W5" s="534"/>
    </row>
    <row r="6" spans="1:29" ht="11.25" customHeight="1" x14ac:dyDescent="0.2">
      <c r="A6" s="519"/>
      <c r="B6" s="519"/>
      <c r="C6" s="534" t="s">
        <v>337</v>
      </c>
      <c r="D6" s="534"/>
      <c r="E6" s="534" t="s">
        <v>338</v>
      </c>
      <c r="F6" s="534"/>
      <c r="G6" s="534" t="s">
        <v>339</v>
      </c>
      <c r="H6" s="534"/>
      <c r="I6" s="534" t="s">
        <v>353</v>
      </c>
      <c r="J6" s="534"/>
      <c r="K6" s="534" t="s">
        <v>370</v>
      </c>
      <c r="L6" s="534"/>
      <c r="M6" s="104"/>
      <c r="N6" s="534" t="s">
        <v>337</v>
      </c>
      <c r="O6" s="534"/>
      <c r="P6" s="534" t="s">
        <v>338</v>
      </c>
      <c r="Q6" s="534"/>
      <c r="R6" s="534" t="s">
        <v>339</v>
      </c>
      <c r="S6" s="534"/>
      <c r="T6" s="534" t="s">
        <v>353</v>
      </c>
      <c r="U6" s="534"/>
      <c r="V6" s="534" t="s">
        <v>370</v>
      </c>
      <c r="W6" s="534"/>
    </row>
    <row r="7" spans="1:29" ht="45" customHeight="1" x14ac:dyDescent="0.2">
      <c r="A7" s="520"/>
      <c r="B7" s="520"/>
      <c r="C7" s="190" t="s">
        <v>347</v>
      </c>
      <c r="D7" s="191" t="s">
        <v>348</v>
      </c>
      <c r="E7" s="190" t="s">
        <v>347</v>
      </c>
      <c r="F7" s="191" t="s">
        <v>348</v>
      </c>
      <c r="G7" s="190" t="s">
        <v>347</v>
      </c>
      <c r="H7" s="191" t="s">
        <v>348</v>
      </c>
      <c r="I7" s="190" t="s">
        <v>347</v>
      </c>
      <c r="J7" s="191" t="s">
        <v>348</v>
      </c>
      <c r="K7" s="190" t="s">
        <v>347</v>
      </c>
      <c r="L7" s="191" t="s">
        <v>348</v>
      </c>
      <c r="M7" s="192"/>
      <c r="N7" s="190" t="s">
        <v>347</v>
      </c>
      <c r="O7" s="191" t="s">
        <v>348</v>
      </c>
      <c r="P7" s="190" t="s">
        <v>347</v>
      </c>
      <c r="Q7" s="191" t="s">
        <v>348</v>
      </c>
      <c r="R7" s="190" t="s">
        <v>347</v>
      </c>
      <c r="S7" s="191" t="s">
        <v>348</v>
      </c>
      <c r="T7" s="190" t="s">
        <v>347</v>
      </c>
      <c r="U7" s="191" t="s">
        <v>348</v>
      </c>
      <c r="V7" s="190" t="s">
        <v>347</v>
      </c>
      <c r="W7" s="191" t="s">
        <v>348</v>
      </c>
    </row>
    <row r="8" spans="1:29" ht="11.25" customHeight="1" x14ac:dyDescent="0.2">
      <c r="A8" s="89"/>
      <c r="B8" s="89"/>
      <c r="C8" s="90"/>
      <c r="D8" s="91"/>
      <c r="E8" s="90"/>
      <c r="F8" s="91"/>
      <c r="G8" s="90"/>
      <c r="H8" s="91"/>
      <c r="I8" s="91"/>
      <c r="J8" s="91"/>
      <c r="K8" s="91"/>
      <c r="L8" s="91"/>
      <c r="N8" s="90"/>
      <c r="O8" s="91"/>
      <c r="P8" s="90"/>
      <c r="Q8" s="91"/>
      <c r="R8" s="90"/>
      <c r="S8" s="91"/>
      <c r="T8" s="91"/>
      <c r="U8" s="91"/>
    </row>
    <row r="9" spans="1:29" s="98" customFormat="1" ht="11.25" customHeight="1" x14ac:dyDescent="0.2">
      <c r="A9" s="16" t="s">
        <v>380</v>
      </c>
      <c r="B9" s="92" t="s">
        <v>17</v>
      </c>
      <c r="C9" s="93">
        <v>29509</v>
      </c>
      <c r="D9" s="94">
        <v>62.2</v>
      </c>
      <c r="E9" s="93">
        <v>28387</v>
      </c>
      <c r="F9" s="94">
        <v>66.7</v>
      </c>
      <c r="G9" s="93">
        <v>28057</v>
      </c>
      <c r="H9" s="95">
        <v>69.900000000000006</v>
      </c>
      <c r="I9" s="93">
        <v>27207</v>
      </c>
      <c r="J9" s="95">
        <v>67.400000000000006</v>
      </c>
      <c r="K9" s="93">
        <v>27682</v>
      </c>
      <c r="L9" s="95">
        <v>68.599999999999994</v>
      </c>
      <c r="M9" s="96"/>
      <c r="N9" s="93">
        <v>29534</v>
      </c>
      <c r="O9" s="97">
        <v>51.6</v>
      </c>
      <c r="P9" s="93">
        <v>28404</v>
      </c>
      <c r="Q9" s="97">
        <v>57.3</v>
      </c>
      <c r="R9" s="93">
        <v>28077</v>
      </c>
      <c r="S9" s="95">
        <v>59.7</v>
      </c>
      <c r="T9" s="93">
        <v>27264</v>
      </c>
      <c r="U9" s="95">
        <v>66.400000000000006</v>
      </c>
      <c r="V9" s="268">
        <v>27713</v>
      </c>
      <c r="W9" s="269">
        <v>67.7</v>
      </c>
      <c r="Y9" s="136"/>
      <c r="Z9" s="136"/>
      <c r="AB9" s="136"/>
      <c r="AC9" s="136"/>
    </row>
    <row r="10" spans="1:29" ht="11.25" customHeight="1" x14ac:dyDescent="0.2">
      <c r="A10" s="125" t="s">
        <v>354</v>
      </c>
      <c r="B10" s="142" t="s">
        <v>20</v>
      </c>
      <c r="C10" s="100">
        <v>5507</v>
      </c>
      <c r="D10" s="87">
        <v>65.2</v>
      </c>
      <c r="E10" s="100">
        <v>5309</v>
      </c>
      <c r="F10" s="87">
        <v>71.400000000000006</v>
      </c>
      <c r="G10" s="100">
        <v>5295</v>
      </c>
      <c r="H10" s="101">
        <v>75.099999999999994</v>
      </c>
      <c r="I10" s="134">
        <v>5207</v>
      </c>
      <c r="J10" s="135">
        <v>73.8</v>
      </c>
      <c r="K10" s="134">
        <v>5258</v>
      </c>
      <c r="L10" s="135">
        <v>74.8</v>
      </c>
      <c r="M10" s="96"/>
      <c r="N10" s="100">
        <v>5521</v>
      </c>
      <c r="O10" s="102">
        <v>52.1</v>
      </c>
      <c r="P10" s="100">
        <v>5303</v>
      </c>
      <c r="Q10" s="102">
        <v>56.1</v>
      </c>
      <c r="R10" s="100">
        <v>5283</v>
      </c>
      <c r="S10" s="101">
        <v>60.4</v>
      </c>
      <c r="T10" s="134">
        <v>5207</v>
      </c>
      <c r="U10" s="135">
        <v>67.2</v>
      </c>
      <c r="V10" s="270">
        <v>5265</v>
      </c>
      <c r="W10" s="271">
        <v>70.099999999999994</v>
      </c>
      <c r="Y10" s="136"/>
      <c r="Z10" s="136"/>
      <c r="AB10" s="136"/>
      <c r="AC10" s="136"/>
    </row>
    <row r="11" spans="1:29" ht="11.25" customHeight="1" x14ac:dyDescent="0.2">
      <c r="A11" s="125" t="s">
        <v>18</v>
      </c>
      <c r="B11" s="142" t="s">
        <v>19</v>
      </c>
      <c r="C11" s="100">
        <v>1136</v>
      </c>
      <c r="D11" s="87">
        <v>60.6</v>
      </c>
      <c r="E11" s="100">
        <v>1090</v>
      </c>
      <c r="F11" s="87">
        <v>68</v>
      </c>
      <c r="G11" s="100">
        <v>1072</v>
      </c>
      <c r="H11" s="101">
        <v>76</v>
      </c>
      <c r="I11" s="134">
        <v>1081</v>
      </c>
      <c r="J11" s="135">
        <v>68.599999999999994</v>
      </c>
      <c r="K11" s="134">
        <v>1111</v>
      </c>
      <c r="L11" s="135">
        <v>76.099999999999994</v>
      </c>
      <c r="M11" s="96"/>
      <c r="N11" s="100">
        <v>1136</v>
      </c>
      <c r="O11" s="102">
        <v>54.4</v>
      </c>
      <c r="P11" s="100">
        <v>1096</v>
      </c>
      <c r="Q11" s="102">
        <v>64</v>
      </c>
      <c r="R11" s="100">
        <v>1079</v>
      </c>
      <c r="S11" s="101">
        <v>67.099999999999994</v>
      </c>
      <c r="T11" s="134">
        <v>1072</v>
      </c>
      <c r="U11" s="135">
        <v>74.099999999999994</v>
      </c>
      <c r="V11" s="270">
        <v>1113</v>
      </c>
      <c r="W11" s="271">
        <v>71.900000000000006</v>
      </c>
      <c r="Y11" s="136"/>
      <c r="Z11" s="136"/>
      <c r="AB11" s="136"/>
      <c r="AC11" s="136"/>
    </row>
    <row r="12" spans="1:29" ht="11.25" customHeight="1" x14ac:dyDescent="0.2">
      <c r="A12" s="125" t="s">
        <v>21</v>
      </c>
      <c r="B12" s="142" t="s">
        <v>22</v>
      </c>
      <c r="C12" s="100">
        <v>2089</v>
      </c>
      <c r="D12" s="87">
        <v>65.099999999999994</v>
      </c>
      <c r="E12" s="100">
        <v>2032</v>
      </c>
      <c r="F12" s="87">
        <v>67.7</v>
      </c>
      <c r="G12" s="100">
        <v>2117</v>
      </c>
      <c r="H12" s="101">
        <v>74</v>
      </c>
      <c r="I12" s="134">
        <v>2049</v>
      </c>
      <c r="J12" s="135">
        <v>69.3</v>
      </c>
      <c r="K12" s="134">
        <v>2101</v>
      </c>
      <c r="L12" s="135">
        <v>68.5</v>
      </c>
      <c r="M12" s="96"/>
      <c r="N12" s="100">
        <v>2087</v>
      </c>
      <c r="O12" s="102">
        <v>53.4</v>
      </c>
      <c r="P12" s="100">
        <v>2037</v>
      </c>
      <c r="Q12" s="102">
        <v>59</v>
      </c>
      <c r="R12" s="100">
        <v>2118</v>
      </c>
      <c r="S12" s="101">
        <v>62.5</v>
      </c>
      <c r="T12" s="134">
        <v>2061</v>
      </c>
      <c r="U12" s="135">
        <v>68.3</v>
      </c>
      <c r="V12" s="270">
        <v>2106</v>
      </c>
      <c r="W12" s="271">
        <v>67.7</v>
      </c>
      <c r="Y12" s="136"/>
      <c r="Z12" s="136"/>
      <c r="AB12" s="136"/>
      <c r="AC12" s="136"/>
    </row>
    <row r="13" spans="1:29" ht="11.25" customHeight="1" x14ac:dyDescent="0.2">
      <c r="A13" s="125" t="s">
        <v>23</v>
      </c>
      <c r="B13" s="142" t="s">
        <v>24</v>
      </c>
      <c r="C13" s="100">
        <v>1214</v>
      </c>
      <c r="D13" s="87">
        <v>57.9</v>
      </c>
      <c r="E13" s="100">
        <v>1213</v>
      </c>
      <c r="F13" s="87">
        <v>56.1</v>
      </c>
      <c r="G13" s="100">
        <v>1260</v>
      </c>
      <c r="H13" s="101">
        <v>62.3</v>
      </c>
      <c r="I13" s="134">
        <v>1127</v>
      </c>
      <c r="J13" s="135">
        <v>50.8</v>
      </c>
      <c r="K13" s="134">
        <v>1137</v>
      </c>
      <c r="L13" s="135">
        <v>63.6</v>
      </c>
      <c r="M13" s="96"/>
      <c r="N13" s="100">
        <v>1215</v>
      </c>
      <c r="O13" s="102">
        <v>50.2</v>
      </c>
      <c r="P13" s="100">
        <v>1214</v>
      </c>
      <c r="Q13" s="102">
        <v>54.8</v>
      </c>
      <c r="R13" s="100">
        <v>1262</v>
      </c>
      <c r="S13" s="101">
        <v>58</v>
      </c>
      <c r="T13" s="134">
        <v>1127</v>
      </c>
      <c r="U13" s="135">
        <v>63.7</v>
      </c>
      <c r="V13" s="270">
        <v>1139</v>
      </c>
      <c r="W13" s="271">
        <v>63.9</v>
      </c>
      <c r="Y13" s="136"/>
      <c r="Z13" s="136"/>
      <c r="AB13" s="136"/>
      <c r="AC13" s="136"/>
    </row>
    <row r="14" spans="1:29" ht="11.25" customHeight="1" x14ac:dyDescent="0.2">
      <c r="A14" s="125" t="s">
        <v>25</v>
      </c>
      <c r="B14" s="142" t="s">
        <v>26</v>
      </c>
      <c r="C14" s="100">
        <v>1671</v>
      </c>
      <c r="D14" s="87">
        <v>51.3</v>
      </c>
      <c r="E14" s="100">
        <v>1613</v>
      </c>
      <c r="F14" s="87">
        <v>58.2</v>
      </c>
      <c r="G14" s="100">
        <v>1531</v>
      </c>
      <c r="H14" s="101">
        <v>56.8</v>
      </c>
      <c r="I14" s="134">
        <v>1421</v>
      </c>
      <c r="J14" s="135">
        <v>55.2</v>
      </c>
      <c r="K14" s="134">
        <v>1444</v>
      </c>
      <c r="L14" s="135">
        <v>61.6</v>
      </c>
      <c r="M14" s="96"/>
      <c r="N14" s="100">
        <v>1671</v>
      </c>
      <c r="O14" s="102">
        <v>39.9</v>
      </c>
      <c r="P14" s="100">
        <v>1617</v>
      </c>
      <c r="Q14" s="102">
        <v>50.2</v>
      </c>
      <c r="R14" s="100">
        <v>1532</v>
      </c>
      <c r="S14" s="101">
        <v>43.3</v>
      </c>
      <c r="T14" s="134">
        <v>1425</v>
      </c>
      <c r="U14" s="135">
        <v>53.1</v>
      </c>
      <c r="V14" s="270">
        <v>1446</v>
      </c>
      <c r="W14" s="271">
        <v>58</v>
      </c>
      <c r="Y14" s="136"/>
      <c r="Z14" s="136"/>
      <c r="AB14" s="136"/>
      <c r="AC14" s="136"/>
    </row>
    <row r="15" spans="1:29" ht="11.25" customHeight="1" x14ac:dyDescent="0.2">
      <c r="A15" s="125" t="s">
        <v>27</v>
      </c>
      <c r="B15" s="142" t="s">
        <v>28</v>
      </c>
      <c r="C15" s="100">
        <v>2583</v>
      </c>
      <c r="D15" s="87">
        <v>55.7</v>
      </c>
      <c r="E15" s="100">
        <v>2391</v>
      </c>
      <c r="F15" s="87">
        <v>64.900000000000006</v>
      </c>
      <c r="G15" s="100">
        <v>2371</v>
      </c>
      <c r="H15" s="101">
        <v>65.5</v>
      </c>
      <c r="I15" s="134">
        <v>2240</v>
      </c>
      <c r="J15" s="135">
        <v>70</v>
      </c>
      <c r="K15" s="134">
        <v>2408</v>
      </c>
      <c r="L15" s="135">
        <v>67.3</v>
      </c>
      <c r="M15" s="96"/>
      <c r="N15" s="100">
        <v>2601</v>
      </c>
      <c r="O15" s="102">
        <v>46.3</v>
      </c>
      <c r="P15" s="100">
        <v>2405</v>
      </c>
      <c r="Q15" s="102">
        <v>57.2</v>
      </c>
      <c r="R15" s="100">
        <v>2391</v>
      </c>
      <c r="S15" s="101">
        <v>57.1</v>
      </c>
      <c r="T15" s="134">
        <v>2291</v>
      </c>
      <c r="U15" s="135">
        <v>64.900000000000006</v>
      </c>
      <c r="V15" s="270">
        <v>2420</v>
      </c>
      <c r="W15" s="271">
        <v>68.8</v>
      </c>
      <c r="Y15" s="136"/>
      <c r="Z15" s="136"/>
      <c r="AB15" s="136"/>
      <c r="AC15" s="136"/>
    </row>
    <row r="16" spans="1:29" ht="11.25" customHeight="1" x14ac:dyDescent="0.2">
      <c r="A16" s="125" t="s">
        <v>29</v>
      </c>
      <c r="B16" s="142" t="s">
        <v>30</v>
      </c>
      <c r="C16" s="100">
        <v>2225</v>
      </c>
      <c r="D16" s="87">
        <v>69.400000000000006</v>
      </c>
      <c r="E16" s="100">
        <v>2072</v>
      </c>
      <c r="F16" s="87">
        <v>69.5</v>
      </c>
      <c r="G16" s="100">
        <v>2101</v>
      </c>
      <c r="H16" s="101">
        <v>73.2</v>
      </c>
      <c r="I16" s="134">
        <v>2074</v>
      </c>
      <c r="J16" s="135">
        <v>66.099999999999994</v>
      </c>
      <c r="K16" s="134">
        <v>2071</v>
      </c>
      <c r="L16" s="135">
        <v>73.8</v>
      </c>
      <c r="M16" s="96"/>
      <c r="N16" s="100">
        <v>2225</v>
      </c>
      <c r="O16" s="102">
        <v>56.4</v>
      </c>
      <c r="P16" s="100">
        <v>2065</v>
      </c>
      <c r="Q16" s="102">
        <v>60</v>
      </c>
      <c r="R16" s="100">
        <v>2081</v>
      </c>
      <c r="S16" s="101">
        <v>62.3</v>
      </c>
      <c r="T16" s="134">
        <v>2059</v>
      </c>
      <c r="U16" s="135">
        <v>73.2</v>
      </c>
      <c r="V16" s="270">
        <v>2066</v>
      </c>
      <c r="W16" s="271">
        <v>74.400000000000006</v>
      </c>
      <c r="Y16" s="136"/>
      <c r="Z16" s="136"/>
      <c r="AB16" s="136"/>
      <c r="AC16" s="136"/>
    </row>
    <row r="17" spans="1:29" ht="11.25" customHeight="1" x14ac:dyDescent="0.2">
      <c r="A17" s="125" t="s">
        <v>31</v>
      </c>
      <c r="B17" s="142" t="s">
        <v>32</v>
      </c>
      <c r="C17" s="100">
        <v>3673</v>
      </c>
      <c r="D17" s="87">
        <v>66.8</v>
      </c>
      <c r="E17" s="100">
        <v>3482</v>
      </c>
      <c r="F17" s="87">
        <v>71.3</v>
      </c>
      <c r="G17" s="100">
        <v>3508</v>
      </c>
      <c r="H17" s="101">
        <v>69.900000000000006</v>
      </c>
      <c r="I17" s="134">
        <v>3405</v>
      </c>
      <c r="J17" s="135">
        <v>67.900000000000006</v>
      </c>
      <c r="K17" s="134">
        <v>3481</v>
      </c>
      <c r="L17" s="135">
        <v>63.2</v>
      </c>
      <c r="M17" s="96"/>
      <c r="N17" s="100">
        <v>3684</v>
      </c>
      <c r="O17" s="102">
        <v>59.7</v>
      </c>
      <c r="P17" s="100">
        <v>3485</v>
      </c>
      <c r="Q17" s="102">
        <v>62.2</v>
      </c>
      <c r="R17" s="100">
        <v>3503</v>
      </c>
      <c r="S17" s="101">
        <v>64</v>
      </c>
      <c r="T17" s="134">
        <v>3405</v>
      </c>
      <c r="U17" s="135">
        <v>68.8</v>
      </c>
      <c r="V17" s="270">
        <v>3482</v>
      </c>
      <c r="W17" s="271">
        <v>68.400000000000006</v>
      </c>
      <c r="Y17" s="136"/>
      <c r="Z17" s="136"/>
      <c r="AB17" s="136"/>
      <c r="AC17" s="136"/>
    </row>
    <row r="18" spans="1:29" ht="11.25" customHeight="1" x14ac:dyDescent="0.2">
      <c r="A18" s="125" t="s">
        <v>33</v>
      </c>
      <c r="B18" s="142" t="s">
        <v>34</v>
      </c>
      <c r="C18" s="100">
        <v>1863</v>
      </c>
      <c r="D18" s="87">
        <v>62.1</v>
      </c>
      <c r="E18" s="100">
        <v>1905</v>
      </c>
      <c r="F18" s="87">
        <v>62.7</v>
      </c>
      <c r="G18" s="100">
        <v>1813</v>
      </c>
      <c r="H18" s="101">
        <v>63.5</v>
      </c>
      <c r="I18" s="134">
        <v>1712</v>
      </c>
      <c r="J18" s="135">
        <v>59.7</v>
      </c>
      <c r="K18" s="134">
        <v>1795</v>
      </c>
      <c r="L18" s="135">
        <v>63.2</v>
      </c>
      <c r="M18" s="96"/>
      <c r="N18" s="100">
        <v>1856</v>
      </c>
      <c r="O18" s="102">
        <v>53.4</v>
      </c>
      <c r="P18" s="100">
        <v>1906</v>
      </c>
      <c r="Q18" s="102">
        <v>56.5</v>
      </c>
      <c r="R18" s="100">
        <v>1814</v>
      </c>
      <c r="S18" s="101">
        <v>55.8</v>
      </c>
      <c r="T18" s="134">
        <v>1706</v>
      </c>
      <c r="U18" s="135">
        <v>63.7</v>
      </c>
      <c r="V18" s="270">
        <v>1799</v>
      </c>
      <c r="W18" s="271">
        <v>60.3</v>
      </c>
      <c r="Y18" s="136"/>
      <c r="Z18" s="136"/>
      <c r="AB18" s="136"/>
      <c r="AC18" s="136"/>
    </row>
    <row r="19" spans="1:29" ht="11.25" customHeight="1" x14ac:dyDescent="0.2">
      <c r="A19" s="125" t="s">
        <v>35</v>
      </c>
      <c r="B19" s="142" t="s">
        <v>36</v>
      </c>
      <c r="C19" s="100">
        <v>1825</v>
      </c>
      <c r="D19" s="87">
        <v>62.5</v>
      </c>
      <c r="E19" s="100">
        <v>1705</v>
      </c>
      <c r="F19" s="87">
        <v>72</v>
      </c>
      <c r="G19" s="100">
        <v>1687</v>
      </c>
      <c r="H19" s="101">
        <v>71.400000000000006</v>
      </c>
      <c r="I19" s="134">
        <v>1683</v>
      </c>
      <c r="J19" s="135">
        <v>68.900000000000006</v>
      </c>
      <c r="K19" s="134">
        <v>1650</v>
      </c>
      <c r="L19" s="135">
        <v>68.599999999999994</v>
      </c>
      <c r="M19" s="96"/>
      <c r="N19" s="100">
        <v>1820</v>
      </c>
      <c r="O19" s="102">
        <v>48.7</v>
      </c>
      <c r="P19" s="100">
        <v>1699</v>
      </c>
      <c r="Q19" s="102">
        <v>54</v>
      </c>
      <c r="R19" s="100">
        <v>1686</v>
      </c>
      <c r="S19" s="101">
        <v>58.4</v>
      </c>
      <c r="T19" s="134">
        <v>1688</v>
      </c>
      <c r="U19" s="135">
        <v>66.599999999999994</v>
      </c>
      <c r="V19" s="270">
        <v>1650</v>
      </c>
      <c r="W19" s="271">
        <v>70.5</v>
      </c>
      <c r="Y19" s="136"/>
      <c r="Z19" s="136"/>
      <c r="AB19" s="136"/>
      <c r="AC19" s="136"/>
    </row>
    <row r="20" spans="1:29" ht="11.25" customHeight="1" x14ac:dyDescent="0.2">
      <c r="A20" s="125" t="s">
        <v>37</v>
      </c>
      <c r="B20" s="142" t="s">
        <v>38</v>
      </c>
      <c r="C20" s="100">
        <v>2338</v>
      </c>
      <c r="D20" s="87">
        <v>61.5</v>
      </c>
      <c r="E20" s="100">
        <v>2234</v>
      </c>
      <c r="F20" s="87">
        <v>62.5</v>
      </c>
      <c r="G20" s="100">
        <v>2151</v>
      </c>
      <c r="H20" s="101">
        <v>70.099999999999994</v>
      </c>
      <c r="I20" s="134">
        <v>2088</v>
      </c>
      <c r="J20" s="135">
        <v>63.1</v>
      </c>
      <c r="K20" s="134">
        <v>2103</v>
      </c>
      <c r="L20" s="135">
        <v>63.5</v>
      </c>
      <c r="M20" s="96"/>
      <c r="N20" s="100">
        <v>2337</v>
      </c>
      <c r="O20" s="102">
        <v>53.2</v>
      </c>
      <c r="P20" s="100">
        <v>2234</v>
      </c>
      <c r="Q20" s="102">
        <v>57</v>
      </c>
      <c r="R20" s="100">
        <v>2156</v>
      </c>
      <c r="S20" s="101">
        <v>59.6</v>
      </c>
      <c r="T20" s="134">
        <v>2100</v>
      </c>
      <c r="U20" s="135">
        <v>57.7</v>
      </c>
      <c r="V20" s="270">
        <v>2103</v>
      </c>
      <c r="W20" s="271">
        <v>63.9</v>
      </c>
      <c r="Y20" s="136"/>
      <c r="Z20" s="136"/>
      <c r="AB20" s="136"/>
      <c r="AC20" s="136"/>
    </row>
    <row r="21" spans="1:29" ht="11.25" customHeight="1" x14ac:dyDescent="0.2">
      <c r="A21" s="125" t="s">
        <v>39</v>
      </c>
      <c r="B21" s="142" t="s">
        <v>40</v>
      </c>
      <c r="C21" s="100">
        <v>3385</v>
      </c>
      <c r="D21" s="87">
        <v>58.9</v>
      </c>
      <c r="E21" s="100">
        <v>3341</v>
      </c>
      <c r="F21" s="87">
        <v>62.9</v>
      </c>
      <c r="G21" s="100">
        <v>3151</v>
      </c>
      <c r="H21" s="101">
        <v>69.3</v>
      </c>
      <c r="I21" s="134">
        <v>3120</v>
      </c>
      <c r="J21" s="135">
        <v>71.2</v>
      </c>
      <c r="K21" s="134">
        <v>3123</v>
      </c>
      <c r="L21" s="135">
        <v>70.5</v>
      </c>
      <c r="M21" s="96"/>
      <c r="N21" s="100">
        <v>3381</v>
      </c>
      <c r="O21" s="102">
        <v>46.9</v>
      </c>
      <c r="P21" s="100">
        <v>3343</v>
      </c>
      <c r="Q21" s="102">
        <v>55.9</v>
      </c>
      <c r="R21" s="100">
        <v>3172</v>
      </c>
      <c r="S21" s="101">
        <v>61.3</v>
      </c>
      <c r="T21" s="134">
        <v>3123</v>
      </c>
      <c r="U21" s="135">
        <v>69.400000000000006</v>
      </c>
      <c r="V21" s="270">
        <v>3124</v>
      </c>
      <c r="W21" s="271">
        <v>67.099999999999994</v>
      </c>
      <c r="Y21" s="136"/>
      <c r="Z21" s="136"/>
      <c r="AB21" s="136"/>
      <c r="AC21" s="136"/>
    </row>
    <row r="22" spans="1:29" ht="11.25" customHeight="1" x14ac:dyDescent="0.2">
      <c r="A22" s="3"/>
      <c r="B22" s="141"/>
      <c r="C22" s="100"/>
      <c r="D22" s="102"/>
      <c r="E22" s="100"/>
      <c r="F22" s="102"/>
      <c r="G22" s="100"/>
      <c r="H22" s="101"/>
      <c r="M22" s="96"/>
      <c r="N22" s="100"/>
      <c r="O22" s="102"/>
      <c r="P22" s="100"/>
      <c r="Q22" s="102"/>
      <c r="R22" s="100"/>
      <c r="S22" s="101"/>
      <c r="V22" s="272"/>
      <c r="W22" s="272"/>
      <c r="Y22" s="136"/>
      <c r="Z22" s="136"/>
      <c r="AB22" s="136"/>
      <c r="AC22" s="136"/>
    </row>
    <row r="23" spans="1:29" s="98" customFormat="1" ht="11.25" customHeight="1" x14ac:dyDescent="0.2">
      <c r="A23" s="16" t="s">
        <v>381</v>
      </c>
      <c r="B23" s="92" t="s">
        <v>41</v>
      </c>
      <c r="C23" s="93">
        <v>80098</v>
      </c>
      <c r="D23" s="94">
        <v>64.599999999999994</v>
      </c>
      <c r="E23" s="93">
        <v>78776</v>
      </c>
      <c r="F23" s="94">
        <v>69.900000000000006</v>
      </c>
      <c r="G23" s="93">
        <v>75948</v>
      </c>
      <c r="H23" s="95">
        <v>72.599999999999994</v>
      </c>
      <c r="I23" s="93">
        <v>75316</v>
      </c>
      <c r="J23" s="95">
        <v>68.5</v>
      </c>
      <c r="K23" s="93">
        <v>76980</v>
      </c>
      <c r="L23" s="95">
        <v>69.7</v>
      </c>
      <c r="M23" s="96"/>
      <c r="N23" s="93">
        <v>80271</v>
      </c>
      <c r="O23" s="97">
        <v>56</v>
      </c>
      <c r="P23" s="93">
        <v>78908</v>
      </c>
      <c r="Q23" s="97">
        <v>61.3</v>
      </c>
      <c r="R23" s="93">
        <v>76167</v>
      </c>
      <c r="S23" s="95">
        <v>63.3</v>
      </c>
      <c r="T23" s="93">
        <v>75465</v>
      </c>
      <c r="U23" s="95">
        <v>68</v>
      </c>
      <c r="V23" s="268">
        <v>77222</v>
      </c>
      <c r="W23" s="269">
        <v>70</v>
      </c>
      <c r="Y23" s="136"/>
      <c r="Z23" s="136"/>
      <c r="AB23" s="136"/>
      <c r="AC23" s="136"/>
    </row>
    <row r="24" spans="1:29" ht="11.25" customHeight="1" x14ac:dyDescent="0.2">
      <c r="A24" s="125" t="s">
        <v>42</v>
      </c>
      <c r="B24" s="142" t="s">
        <v>43</v>
      </c>
      <c r="C24" s="100">
        <v>1722</v>
      </c>
      <c r="D24" s="87">
        <v>65.2</v>
      </c>
      <c r="E24" s="100">
        <v>1696</v>
      </c>
      <c r="F24" s="87">
        <v>69.400000000000006</v>
      </c>
      <c r="G24" s="100">
        <v>1727</v>
      </c>
      <c r="H24" s="101">
        <v>74.2</v>
      </c>
      <c r="I24" s="134">
        <v>1665</v>
      </c>
      <c r="J24" s="135">
        <v>65.8</v>
      </c>
      <c r="K24" s="134">
        <v>1720</v>
      </c>
      <c r="L24" s="135">
        <v>70.7</v>
      </c>
      <c r="M24" s="96"/>
      <c r="N24" s="100">
        <v>1728</v>
      </c>
      <c r="O24" s="102">
        <v>54.7</v>
      </c>
      <c r="P24" s="100">
        <v>1698</v>
      </c>
      <c r="Q24" s="102">
        <v>60.2</v>
      </c>
      <c r="R24" s="100">
        <v>1732</v>
      </c>
      <c r="S24" s="101">
        <v>66.5</v>
      </c>
      <c r="T24" s="134">
        <v>1687</v>
      </c>
      <c r="U24" s="135">
        <v>74</v>
      </c>
      <c r="V24" s="270">
        <v>1719</v>
      </c>
      <c r="W24" s="271">
        <v>73.099999999999994</v>
      </c>
      <c r="Y24" s="136"/>
      <c r="Z24" s="136"/>
      <c r="AB24" s="136"/>
      <c r="AC24" s="136"/>
    </row>
    <row r="25" spans="1:29" ht="11.25" customHeight="1" x14ac:dyDescent="0.2">
      <c r="A25" s="125" t="s">
        <v>44</v>
      </c>
      <c r="B25" s="142" t="s">
        <v>45</v>
      </c>
      <c r="C25" s="100">
        <v>1570</v>
      </c>
      <c r="D25" s="87">
        <v>62.5</v>
      </c>
      <c r="E25" s="100">
        <v>1539</v>
      </c>
      <c r="F25" s="87">
        <v>71.400000000000006</v>
      </c>
      <c r="G25" s="100">
        <v>1471</v>
      </c>
      <c r="H25" s="101">
        <v>69.099999999999994</v>
      </c>
      <c r="I25" s="134">
        <v>1406</v>
      </c>
      <c r="J25" s="135">
        <v>63.7</v>
      </c>
      <c r="K25" s="134">
        <v>1575</v>
      </c>
      <c r="L25" s="135">
        <v>58.5</v>
      </c>
      <c r="M25" s="96"/>
      <c r="N25" s="100">
        <v>1574</v>
      </c>
      <c r="O25" s="102">
        <v>40.5</v>
      </c>
      <c r="P25" s="100">
        <v>1540</v>
      </c>
      <c r="Q25" s="102">
        <v>48.1</v>
      </c>
      <c r="R25" s="100">
        <v>1481</v>
      </c>
      <c r="S25" s="101">
        <v>46.6</v>
      </c>
      <c r="T25" s="134">
        <v>1400</v>
      </c>
      <c r="U25" s="135">
        <v>50.8</v>
      </c>
      <c r="V25" s="270">
        <v>1581</v>
      </c>
      <c r="W25" s="271">
        <v>53.5</v>
      </c>
      <c r="Y25" s="136"/>
      <c r="Z25" s="136"/>
      <c r="AB25" s="136"/>
      <c r="AC25" s="136"/>
    </row>
    <row r="26" spans="1:29" ht="11.25" customHeight="1" x14ac:dyDescent="0.2">
      <c r="A26" s="125" t="s">
        <v>46</v>
      </c>
      <c r="B26" s="142" t="s">
        <v>47</v>
      </c>
      <c r="C26" s="100">
        <v>3467</v>
      </c>
      <c r="D26" s="87">
        <v>57.1</v>
      </c>
      <c r="E26" s="100">
        <v>3410</v>
      </c>
      <c r="F26" s="87">
        <v>64.7</v>
      </c>
      <c r="G26" s="100">
        <v>3262</v>
      </c>
      <c r="H26" s="101">
        <v>72.400000000000006</v>
      </c>
      <c r="I26" s="134">
        <v>3266</v>
      </c>
      <c r="J26" s="135">
        <v>67.7</v>
      </c>
      <c r="K26" s="134">
        <v>3375</v>
      </c>
      <c r="L26" s="135">
        <v>68.599999999999994</v>
      </c>
      <c r="M26" s="96"/>
      <c r="N26" s="100">
        <v>3479</v>
      </c>
      <c r="O26" s="102">
        <v>52.1</v>
      </c>
      <c r="P26" s="100">
        <v>3418</v>
      </c>
      <c r="Q26" s="102">
        <v>58.3</v>
      </c>
      <c r="R26" s="100">
        <v>3286</v>
      </c>
      <c r="S26" s="101">
        <v>64.5</v>
      </c>
      <c r="T26" s="134">
        <v>3281</v>
      </c>
      <c r="U26" s="135">
        <v>69.7</v>
      </c>
      <c r="V26" s="270">
        <v>3385</v>
      </c>
      <c r="W26" s="271">
        <v>72.5</v>
      </c>
      <c r="Y26" s="136"/>
      <c r="Z26" s="136"/>
      <c r="AB26" s="136"/>
      <c r="AC26" s="136"/>
    </row>
    <row r="27" spans="1:29" ht="11.25" customHeight="1" x14ac:dyDescent="0.2">
      <c r="A27" s="125" t="s">
        <v>48</v>
      </c>
      <c r="B27" s="142" t="s">
        <v>49</v>
      </c>
      <c r="C27" s="100">
        <v>2152</v>
      </c>
      <c r="D27" s="87">
        <v>77.2</v>
      </c>
      <c r="E27" s="100">
        <v>2157</v>
      </c>
      <c r="F27" s="87">
        <v>77.5</v>
      </c>
      <c r="G27" s="100">
        <v>2107</v>
      </c>
      <c r="H27" s="101">
        <v>81.2</v>
      </c>
      <c r="I27" s="134">
        <v>2127</v>
      </c>
      <c r="J27" s="135">
        <v>75.7</v>
      </c>
      <c r="K27" s="134">
        <v>2113</v>
      </c>
      <c r="L27" s="135">
        <v>67.400000000000006</v>
      </c>
      <c r="M27" s="96"/>
      <c r="N27" s="100">
        <v>2156</v>
      </c>
      <c r="O27" s="102">
        <v>65.2</v>
      </c>
      <c r="P27" s="100">
        <v>2157</v>
      </c>
      <c r="Q27" s="102">
        <v>69</v>
      </c>
      <c r="R27" s="100">
        <v>2115</v>
      </c>
      <c r="S27" s="101">
        <v>66.099999999999994</v>
      </c>
      <c r="T27" s="134">
        <v>2126</v>
      </c>
      <c r="U27" s="135">
        <v>68.900000000000006</v>
      </c>
      <c r="V27" s="270">
        <v>2116</v>
      </c>
      <c r="W27" s="271">
        <v>73.099999999999994</v>
      </c>
      <c r="Y27" s="136"/>
      <c r="Z27" s="136"/>
      <c r="AB27" s="136"/>
      <c r="AC27" s="136"/>
    </row>
    <row r="28" spans="1:29" ht="11.25" customHeight="1" x14ac:dyDescent="0.2">
      <c r="A28" s="125" t="s">
        <v>50</v>
      </c>
      <c r="B28" s="126" t="s">
        <v>51</v>
      </c>
      <c r="C28" s="100">
        <v>3899</v>
      </c>
      <c r="D28" s="87">
        <v>68.5</v>
      </c>
      <c r="E28" s="100">
        <v>3843</v>
      </c>
      <c r="F28" s="87">
        <v>73.900000000000006</v>
      </c>
      <c r="G28" s="100">
        <v>3721</v>
      </c>
      <c r="H28" s="101">
        <v>75</v>
      </c>
      <c r="I28" s="134">
        <v>3804</v>
      </c>
      <c r="J28" s="135">
        <v>69</v>
      </c>
      <c r="K28" s="134">
        <v>3969</v>
      </c>
      <c r="L28" s="135">
        <v>69.8</v>
      </c>
      <c r="M28" s="96"/>
      <c r="N28" s="100">
        <v>3906</v>
      </c>
      <c r="O28" s="102">
        <v>65.3</v>
      </c>
      <c r="P28" s="100">
        <v>3855</v>
      </c>
      <c r="Q28" s="102">
        <v>66.5</v>
      </c>
      <c r="R28" s="100">
        <v>3716</v>
      </c>
      <c r="S28" s="101">
        <v>69.099999999999994</v>
      </c>
      <c r="T28" s="134">
        <v>3816</v>
      </c>
      <c r="U28" s="135">
        <v>69.099999999999994</v>
      </c>
      <c r="V28" s="270">
        <v>3983</v>
      </c>
      <c r="W28" s="271">
        <v>71.599999999999994</v>
      </c>
      <c r="Y28" s="136"/>
      <c r="Z28" s="136"/>
      <c r="AB28" s="136"/>
      <c r="AC28" s="136"/>
    </row>
    <row r="29" spans="1:29" ht="11.25" customHeight="1" x14ac:dyDescent="0.2">
      <c r="A29" s="125" t="s">
        <v>52</v>
      </c>
      <c r="B29" s="126" t="s">
        <v>53</v>
      </c>
      <c r="C29" s="100">
        <v>3798</v>
      </c>
      <c r="D29" s="87">
        <v>64.3</v>
      </c>
      <c r="E29" s="100">
        <v>3842</v>
      </c>
      <c r="F29" s="87">
        <v>72.2</v>
      </c>
      <c r="G29" s="100">
        <v>3678</v>
      </c>
      <c r="H29" s="101">
        <v>72.2</v>
      </c>
      <c r="I29" s="134">
        <v>3501</v>
      </c>
      <c r="J29" s="135">
        <v>70.400000000000006</v>
      </c>
      <c r="K29" s="134">
        <v>3660</v>
      </c>
      <c r="L29" s="135">
        <v>75.099999999999994</v>
      </c>
      <c r="M29" s="96"/>
      <c r="N29" s="100">
        <v>3788</v>
      </c>
      <c r="O29" s="102">
        <v>59.8</v>
      </c>
      <c r="P29" s="100">
        <v>3836</v>
      </c>
      <c r="Q29" s="102">
        <v>64.900000000000006</v>
      </c>
      <c r="R29" s="100">
        <v>3683</v>
      </c>
      <c r="S29" s="101">
        <v>64.599999999999994</v>
      </c>
      <c r="T29" s="134">
        <v>3488</v>
      </c>
      <c r="U29" s="135">
        <v>69.3</v>
      </c>
      <c r="V29" s="270">
        <v>3668</v>
      </c>
      <c r="W29" s="271">
        <v>72.8</v>
      </c>
      <c r="Y29" s="136"/>
      <c r="Z29" s="136"/>
      <c r="AB29" s="136"/>
      <c r="AC29" s="136"/>
    </row>
    <row r="30" spans="1:29" ht="11.25" customHeight="1" x14ac:dyDescent="0.2">
      <c r="A30" s="125" t="s">
        <v>54</v>
      </c>
      <c r="B30" s="142" t="s">
        <v>55</v>
      </c>
      <c r="C30" s="100">
        <v>5952</v>
      </c>
      <c r="D30" s="87">
        <v>62.1</v>
      </c>
      <c r="E30" s="100">
        <v>5976</v>
      </c>
      <c r="F30" s="87">
        <v>67</v>
      </c>
      <c r="G30" s="100">
        <v>5524</v>
      </c>
      <c r="H30" s="101">
        <v>68.400000000000006</v>
      </c>
      <c r="I30" s="134">
        <v>5574</v>
      </c>
      <c r="J30" s="135">
        <v>65.099999999999994</v>
      </c>
      <c r="K30" s="134">
        <v>5574</v>
      </c>
      <c r="L30" s="135">
        <v>64.2</v>
      </c>
      <c r="M30" s="96"/>
      <c r="N30" s="100">
        <v>5950</v>
      </c>
      <c r="O30" s="102">
        <v>55.9</v>
      </c>
      <c r="P30" s="100">
        <v>5975</v>
      </c>
      <c r="Q30" s="102">
        <v>62</v>
      </c>
      <c r="R30" s="100">
        <v>5528</v>
      </c>
      <c r="S30" s="101">
        <v>60.3</v>
      </c>
      <c r="T30" s="134">
        <v>5562</v>
      </c>
      <c r="U30" s="135">
        <v>62.8</v>
      </c>
      <c r="V30" s="270">
        <v>5602</v>
      </c>
      <c r="W30" s="271">
        <v>64.900000000000006</v>
      </c>
      <c r="Y30" s="136"/>
      <c r="Z30" s="136"/>
      <c r="AB30" s="136"/>
      <c r="AC30" s="136"/>
    </row>
    <row r="31" spans="1:29" ht="11.25" customHeight="1" x14ac:dyDescent="0.2">
      <c r="A31" s="125" t="s">
        <v>56</v>
      </c>
      <c r="B31" s="142" t="s">
        <v>57</v>
      </c>
      <c r="C31" s="100">
        <v>1481</v>
      </c>
      <c r="D31" s="87">
        <v>56.2</v>
      </c>
      <c r="E31" s="100">
        <v>1486</v>
      </c>
      <c r="F31" s="87">
        <v>65.2</v>
      </c>
      <c r="G31" s="100">
        <v>1377</v>
      </c>
      <c r="H31" s="101">
        <v>70.2</v>
      </c>
      <c r="I31" s="134">
        <v>1327</v>
      </c>
      <c r="J31" s="135">
        <v>71.2</v>
      </c>
      <c r="K31" s="134">
        <v>1387</v>
      </c>
      <c r="L31" s="135">
        <v>74</v>
      </c>
      <c r="M31" s="96"/>
      <c r="N31" s="100">
        <v>1483</v>
      </c>
      <c r="O31" s="102">
        <v>55.1</v>
      </c>
      <c r="P31" s="100">
        <v>1485</v>
      </c>
      <c r="Q31" s="102">
        <v>61.5</v>
      </c>
      <c r="R31" s="100">
        <v>1394</v>
      </c>
      <c r="S31" s="101">
        <v>63.1</v>
      </c>
      <c r="T31" s="134">
        <v>1327</v>
      </c>
      <c r="U31" s="135">
        <v>69.599999999999994</v>
      </c>
      <c r="V31" s="270">
        <v>1388</v>
      </c>
      <c r="W31" s="271">
        <v>68.099999999999994</v>
      </c>
      <c r="Y31" s="136"/>
      <c r="Z31" s="136"/>
      <c r="AB31" s="136"/>
      <c r="AC31" s="136"/>
    </row>
    <row r="32" spans="1:29" ht="11.25" customHeight="1" x14ac:dyDescent="0.2">
      <c r="A32" s="125" t="s">
        <v>58</v>
      </c>
      <c r="B32" s="142" t="s">
        <v>59</v>
      </c>
      <c r="C32" s="100">
        <v>1594</v>
      </c>
      <c r="D32" s="87">
        <v>43.9</v>
      </c>
      <c r="E32" s="100">
        <v>1580</v>
      </c>
      <c r="F32" s="87">
        <v>46</v>
      </c>
      <c r="G32" s="100">
        <v>1489</v>
      </c>
      <c r="H32" s="101">
        <v>58.9</v>
      </c>
      <c r="I32" s="134">
        <v>1395</v>
      </c>
      <c r="J32" s="135">
        <v>50.2</v>
      </c>
      <c r="K32" s="134">
        <v>1335</v>
      </c>
      <c r="L32" s="135">
        <v>55.4</v>
      </c>
      <c r="M32" s="96"/>
      <c r="N32" s="100">
        <v>1587</v>
      </c>
      <c r="O32" s="102">
        <v>36.5</v>
      </c>
      <c r="P32" s="100">
        <v>1583</v>
      </c>
      <c r="Q32" s="102">
        <v>44</v>
      </c>
      <c r="R32" s="100">
        <v>1496</v>
      </c>
      <c r="S32" s="101">
        <v>45</v>
      </c>
      <c r="T32" s="134">
        <v>1399</v>
      </c>
      <c r="U32" s="135">
        <v>50.8</v>
      </c>
      <c r="V32" s="270">
        <v>1335</v>
      </c>
      <c r="W32" s="271">
        <v>53.4</v>
      </c>
      <c r="Y32" s="136"/>
      <c r="Z32" s="136"/>
      <c r="AB32" s="136"/>
      <c r="AC32" s="136"/>
    </row>
    <row r="33" spans="1:29" ht="11.25" customHeight="1" x14ac:dyDescent="0.2">
      <c r="A33" s="125" t="s">
        <v>60</v>
      </c>
      <c r="B33" s="142" t="s">
        <v>61</v>
      </c>
      <c r="C33" s="100">
        <v>13183</v>
      </c>
      <c r="D33" s="87">
        <v>68.5</v>
      </c>
      <c r="E33" s="100">
        <v>12994</v>
      </c>
      <c r="F33" s="87">
        <v>72.3</v>
      </c>
      <c r="G33" s="100">
        <v>12313</v>
      </c>
      <c r="H33" s="101">
        <v>76.099999999999994</v>
      </c>
      <c r="I33" s="134">
        <v>12459</v>
      </c>
      <c r="J33" s="135">
        <v>70.5</v>
      </c>
      <c r="K33" s="134">
        <v>12749</v>
      </c>
      <c r="L33" s="135">
        <v>70.7</v>
      </c>
      <c r="M33" s="96"/>
      <c r="N33" s="100">
        <v>13202</v>
      </c>
      <c r="O33" s="102">
        <v>59.6</v>
      </c>
      <c r="P33" s="100">
        <v>13018</v>
      </c>
      <c r="Q33" s="102">
        <v>62.9</v>
      </c>
      <c r="R33" s="100">
        <v>12328</v>
      </c>
      <c r="S33" s="101">
        <v>64.900000000000006</v>
      </c>
      <c r="T33" s="134">
        <v>12486</v>
      </c>
      <c r="U33" s="135">
        <v>69.3</v>
      </c>
      <c r="V33" s="270">
        <v>12786</v>
      </c>
      <c r="W33" s="271">
        <v>73</v>
      </c>
      <c r="Y33" s="136"/>
      <c r="Z33" s="136"/>
      <c r="AB33" s="136"/>
      <c r="AC33" s="136"/>
    </row>
    <row r="34" spans="1:29" ht="11.25" customHeight="1" x14ac:dyDescent="0.2">
      <c r="A34" s="125" t="s">
        <v>62</v>
      </c>
      <c r="B34" s="142" t="s">
        <v>63</v>
      </c>
      <c r="C34" s="100">
        <v>5110</v>
      </c>
      <c r="D34" s="87">
        <v>61.8</v>
      </c>
      <c r="E34" s="100">
        <v>4892</v>
      </c>
      <c r="F34" s="87">
        <v>70.8</v>
      </c>
      <c r="G34" s="100">
        <v>4860</v>
      </c>
      <c r="H34" s="101">
        <v>71.2</v>
      </c>
      <c r="I34" s="134">
        <v>4738</v>
      </c>
      <c r="J34" s="135">
        <v>66.7</v>
      </c>
      <c r="K34" s="134">
        <v>4848</v>
      </c>
      <c r="L34" s="135">
        <v>68.900000000000006</v>
      </c>
      <c r="M34" s="96"/>
      <c r="N34" s="100">
        <v>5123</v>
      </c>
      <c r="O34" s="102">
        <v>47.2</v>
      </c>
      <c r="P34" s="100">
        <v>4908</v>
      </c>
      <c r="Q34" s="102">
        <v>57.8</v>
      </c>
      <c r="R34" s="100">
        <v>4884</v>
      </c>
      <c r="S34" s="101">
        <v>59.5</v>
      </c>
      <c r="T34" s="134">
        <v>4740</v>
      </c>
      <c r="U34" s="135">
        <v>65.400000000000006</v>
      </c>
      <c r="V34" s="270">
        <v>4867</v>
      </c>
      <c r="W34" s="271">
        <v>64</v>
      </c>
      <c r="Y34" s="136"/>
      <c r="Z34" s="136"/>
      <c r="AB34" s="136"/>
      <c r="AC34" s="136"/>
    </row>
    <row r="35" spans="1:29" ht="11.25" customHeight="1" x14ac:dyDescent="0.2">
      <c r="A35" s="125" t="s">
        <v>64</v>
      </c>
      <c r="B35" s="142" t="s">
        <v>65</v>
      </c>
      <c r="C35" s="100">
        <v>4242</v>
      </c>
      <c r="D35" s="87">
        <v>55.9</v>
      </c>
      <c r="E35" s="100">
        <v>4125</v>
      </c>
      <c r="F35" s="87">
        <v>64.099999999999994</v>
      </c>
      <c r="G35" s="100">
        <v>3986</v>
      </c>
      <c r="H35" s="101">
        <v>68.099999999999994</v>
      </c>
      <c r="I35" s="134">
        <v>3952</v>
      </c>
      <c r="J35" s="135">
        <v>68.900000000000006</v>
      </c>
      <c r="K35" s="134">
        <v>4103</v>
      </c>
      <c r="L35" s="135">
        <v>69.599999999999994</v>
      </c>
      <c r="M35" s="96"/>
      <c r="N35" s="100">
        <v>4313</v>
      </c>
      <c r="O35" s="102">
        <v>45.4</v>
      </c>
      <c r="P35" s="100">
        <v>4176</v>
      </c>
      <c r="Q35" s="102">
        <v>54.4</v>
      </c>
      <c r="R35" s="100">
        <v>4056</v>
      </c>
      <c r="S35" s="101">
        <v>58.2</v>
      </c>
      <c r="T35" s="134">
        <v>3987</v>
      </c>
      <c r="U35" s="135">
        <v>64.099999999999994</v>
      </c>
      <c r="V35" s="270">
        <v>4159</v>
      </c>
      <c r="W35" s="271">
        <v>65.3</v>
      </c>
      <c r="Y35" s="136"/>
      <c r="Z35" s="136"/>
      <c r="AB35" s="136"/>
      <c r="AC35" s="136"/>
    </row>
    <row r="36" spans="1:29" ht="11.25" customHeight="1" x14ac:dyDescent="0.2">
      <c r="A36" s="125" t="s">
        <v>66</v>
      </c>
      <c r="B36" s="142" t="s">
        <v>67</v>
      </c>
      <c r="C36" s="100">
        <v>2921</v>
      </c>
      <c r="D36" s="87">
        <v>62.8</v>
      </c>
      <c r="E36" s="100">
        <v>2901</v>
      </c>
      <c r="F36" s="87">
        <v>68.5</v>
      </c>
      <c r="G36" s="100">
        <v>2824</v>
      </c>
      <c r="H36" s="101">
        <v>70.099999999999994</v>
      </c>
      <c r="I36" s="134">
        <v>2888</v>
      </c>
      <c r="J36" s="135">
        <v>61.7</v>
      </c>
      <c r="K36" s="134">
        <v>2972</v>
      </c>
      <c r="L36" s="135">
        <v>64.2</v>
      </c>
      <c r="M36" s="96"/>
      <c r="N36" s="100">
        <v>2935</v>
      </c>
      <c r="O36" s="102">
        <v>52.8</v>
      </c>
      <c r="P36" s="100">
        <v>2904</v>
      </c>
      <c r="Q36" s="102">
        <v>58.4</v>
      </c>
      <c r="R36" s="100">
        <v>2817</v>
      </c>
      <c r="S36" s="101">
        <v>63.6</v>
      </c>
      <c r="T36" s="134">
        <v>2901</v>
      </c>
      <c r="U36" s="135">
        <v>65.599999999999994</v>
      </c>
      <c r="V36" s="270">
        <v>2968</v>
      </c>
      <c r="W36" s="271">
        <v>67.599999999999994</v>
      </c>
      <c r="Y36" s="136"/>
      <c r="Z36" s="136"/>
      <c r="AB36" s="136"/>
      <c r="AC36" s="136"/>
    </row>
    <row r="37" spans="1:29" ht="11.25" customHeight="1" x14ac:dyDescent="0.2">
      <c r="A37" s="125" t="s">
        <v>68</v>
      </c>
      <c r="B37" s="142" t="s">
        <v>69</v>
      </c>
      <c r="C37" s="100">
        <v>2481</v>
      </c>
      <c r="D37" s="87">
        <v>64.7</v>
      </c>
      <c r="E37" s="100">
        <v>2441</v>
      </c>
      <c r="F37" s="87">
        <v>67.099999999999994</v>
      </c>
      <c r="G37" s="100">
        <v>2302</v>
      </c>
      <c r="H37" s="101">
        <v>67.900000000000006</v>
      </c>
      <c r="I37" s="134">
        <v>2304</v>
      </c>
      <c r="J37" s="135">
        <v>64.099999999999994</v>
      </c>
      <c r="K37" s="134">
        <v>2315</v>
      </c>
      <c r="L37" s="135">
        <v>67.900000000000006</v>
      </c>
      <c r="M37" s="96"/>
      <c r="N37" s="100">
        <v>2480</v>
      </c>
      <c r="O37" s="102">
        <v>60.8</v>
      </c>
      <c r="P37" s="100">
        <v>2451</v>
      </c>
      <c r="Q37" s="102">
        <v>63.3</v>
      </c>
      <c r="R37" s="100">
        <v>2320</v>
      </c>
      <c r="S37" s="101">
        <v>64.400000000000006</v>
      </c>
      <c r="T37" s="134">
        <v>2312</v>
      </c>
      <c r="U37" s="135">
        <v>67.3</v>
      </c>
      <c r="V37" s="270">
        <v>2324</v>
      </c>
      <c r="W37" s="271">
        <v>70.400000000000006</v>
      </c>
      <c r="Y37" s="136"/>
      <c r="Z37" s="136"/>
      <c r="AB37" s="136"/>
      <c r="AC37" s="136"/>
    </row>
    <row r="38" spans="1:29" ht="11.25" customHeight="1" x14ac:dyDescent="0.2">
      <c r="A38" s="125" t="s">
        <v>70</v>
      </c>
      <c r="B38" s="142" t="s">
        <v>71</v>
      </c>
      <c r="C38" s="100">
        <v>2230</v>
      </c>
      <c r="D38" s="87">
        <v>60.9</v>
      </c>
      <c r="E38" s="100">
        <v>2088</v>
      </c>
      <c r="F38" s="87">
        <v>67</v>
      </c>
      <c r="G38" s="100">
        <v>2041</v>
      </c>
      <c r="H38" s="101">
        <v>67.900000000000006</v>
      </c>
      <c r="I38" s="134">
        <v>1936</v>
      </c>
      <c r="J38" s="135">
        <v>60.9</v>
      </c>
      <c r="K38" s="134">
        <v>2092</v>
      </c>
      <c r="L38" s="135">
        <v>66.3</v>
      </c>
      <c r="M38" s="96"/>
      <c r="N38" s="100">
        <v>2246</v>
      </c>
      <c r="O38" s="102">
        <v>51.4</v>
      </c>
      <c r="P38" s="100">
        <v>2079</v>
      </c>
      <c r="Q38" s="102">
        <v>56</v>
      </c>
      <c r="R38" s="100">
        <v>2056</v>
      </c>
      <c r="S38" s="101">
        <v>58.4</v>
      </c>
      <c r="T38" s="134">
        <v>1946</v>
      </c>
      <c r="U38" s="135">
        <v>60.2</v>
      </c>
      <c r="V38" s="270">
        <v>2107</v>
      </c>
      <c r="W38" s="271">
        <v>64.2</v>
      </c>
      <c r="Y38" s="136"/>
      <c r="Z38" s="136"/>
      <c r="AB38" s="136"/>
      <c r="AC38" s="136"/>
    </row>
    <row r="39" spans="1:29" ht="11.25" customHeight="1" x14ac:dyDescent="0.2">
      <c r="A39" s="125" t="s">
        <v>72</v>
      </c>
      <c r="B39" s="142" t="s">
        <v>73</v>
      </c>
      <c r="C39" s="100">
        <v>3422</v>
      </c>
      <c r="D39" s="87">
        <v>68.8</v>
      </c>
      <c r="E39" s="100">
        <v>3236</v>
      </c>
      <c r="F39" s="87">
        <v>70.400000000000006</v>
      </c>
      <c r="G39" s="100">
        <v>3238</v>
      </c>
      <c r="H39" s="101">
        <v>73.599999999999994</v>
      </c>
      <c r="I39" s="134">
        <v>3253</v>
      </c>
      <c r="J39" s="135">
        <v>66.7</v>
      </c>
      <c r="K39" s="134">
        <v>3342</v>
      </c>
      <c r="L39" s="135">
        <v>71.5</v>
      </c>
      <c r="M39" s="96"/>
      <c r="N39" s="100">
        <v>3422</v>
      </c>
      <c r="O39" s="102">
        <v>55.8</v>
      </c>
      <c r="P39" s="100">
        <v>3237</v>
      </c>
      <c r="Q39" s="102">
        <v>59.8</v>
      </c>
      <c r="R39" s="100">
        <v>3249</v>
      </c>
      <c r="S39" s="101">
        <v>62.9</v>
      </c>
      <c r="T39" s="134">
        <v>3260</v>
      </c>
      <c r="U39" s="135">
        <v>65.900000000000006</v>
      </c>
      <c r="V39" s="270">
        <v>3355</v>
      </c>
      <c r="W39" s="271">
        <v>69</v>
      </c>
      <c r="Y39" s="136"/>
      <c r="Z39" s="136"/>
      <c r="AB39" s="136"/>
      <c r="AC39" s="136"/>
    </row>
    <row r="40" spans="1:29" ht="11.25" customHeight="1" x14ac:dyDescent="0.2">
      <c r="A40" s="125" t="s">
        <v>74</v>
      </c>
      <c r="B40" s="142" t="s">
        <v>75</v>
      </c>
      <c r="C40" s="100">
        <v>2103</v>
      </c>
      <c r="D40" s="87">
        <v>59.1</v>
      </c>
      <c r="E40" s="100">
        <v>1965</v>
      </c>
      <c r="F40" s="87">
        <v>66.599999999999994</v>
      </c>
      <c r="G40" s="100">
        <v>1911</v>
      </c>
      <c r="H40" s="101">
        <v>69.8</v>
      </c>
      <c r="I40" s="134">
        <v>1878</v>
      </c>
      <c r="J40" s="135">
        <v>63.1</v>
      </c>
      <c r="K40" s="134">
        <v>1890</v>
      </c>
      <c r="L40" s="135">
        <v>61.7</v>
      </c>
      <c r="M40" s="96"/>
      <c r="N40" s="100">
        <v>2098</v>
      </c>
      <c r="O40" s="102">
        <v>50</v>
      </c>
      <c r="P40" s="100">
        <v>1965</v>
      </c>
      <c r="Q40" s="102">
        <v>56.1</v>
      </c>
      <c r="R40" s="100">
        <v>1913</v>
      </c>
      <c r="S40" s="101">
        <v>57.4</v>
      </c>
      <c r="T40" s="134">
        <v>1873</v>
      </c>
      <c r="U40" s="135">
        <v>65.099999999999994</v>
      </c>
      <c r="V40" s="270">
        <v>1895</v>
      </c>
      <c r="W40" s="271">
        <v>67</v>
      </c>
      <c r="Y40" s="136"/>
      <c r="Z40" s="136"/>
      <c r="AB40" s="136"/>
      <c r="AC40" s="136"/>
    </row>
    <row r="41" spans="1:29" ht="11.25" customHeight="1" x14ac:dyDescent="0.2">
      <c r="A41" s="125" t="s">
        <v>76</v>
      </c>
      <c r="B41" s="142" t="s">
        <v>77</v>
      </c>
      <c r="C41" s="100">
        <v>2952</v>
      </c>
      <c r="D41" s="87">
        <v>67.5</v>
      </c>
      <c r="E41" s="100">
        <v>2932</v>
      </c>
      <c r="F41" s="87">
        <v>73.8</v>
      </c>
      <c r="G41" s="100">
        <v>2881</v>
      </c>
      <c r="H41" s="101">
        <v>76.8</v>
      </c>
      <c r="I41" s="134">
        <v>2730</v>
      </c>
      <c r="J41" s="135">
        <v>72.599999999999994</v>
      </c>
      <c r="K41" s="134">
        <v>2885</v>
      </c>
      <c r="L41" s="135">
        <v>72.400000000000006</v>
      </c>
      <c r="M41" s="96"/>
      <c r="N41" s="100">
        <v>2957</v>
      </c>
      <c r="O41" s="102">
        <v>62.1</v>
      </c>
      <c r="P41" s="100">
        <v>2937</v>
      </c>
      <c r="Q41" s="102">
        <v>67.900000000000006</v>
      </c>
      <c r="R41" s="100">
        <v>2880</v>
      </c>
      <c r="S41" s="101">
        <v>70.099999999999994</v>
      </c>
      <c r="T41" s="134">
        <v>2747</v>
      </c>
      <c r="U41" s="135">
        <v>74.8</v>
      </c>
      <c r="V41" s="270">
        <v>2899</v>
      </c>
      <c r="W41" s="271">
        <v>76.900000000000006</v>
      </c>
      <c r="Y41" s="136"/>
      <c r="Z41" s="136"/>
      <c r="AB41" s="136"/>
      <c r="AC41" s="136"/>
    </row>
    <row r="42" spans="1:29" ht="11.25" customHeight="1" x14ac:dyDescent="0.2">
      <c r="A42" s="125" t="s">
        <v>78</v>
      </c>
      <c r="B42" s="142" t="s">
        <v>79</v>
      </c>
      <c r="C42" s="100">
        <v>2875</v>
      </c>
      <c r="D42" s="87">
        <v>60.2</v>
      </c>
      <c r="E42" s="100">
        <v>2823</v>
      </c>
      <c r="F42" s="87">
        <v>61.6</v>
      </c>
      <c r="G42" s="100">
        <v>2745</v>
      </c>
      <c r="H42" s="101">
        <v>69.7</v>
      </c>
      <c r="I42" s="134">
        <v>2757</v>
      </c>
      <c r="J42" s="135">
        <v>65.900000000000006</v>
      </c>
      <c r="K42" s="134">
        <v>2629</v>
      </c>
      <c r="L42" s="135">
        <v>70</v>
      </c>
      <c r="M42" s="96"/>
      <c r="N42" s="100">
        <v>2887</v>
      </c>
      <c r="O42" s="102">
        <v>51.4</v>
      </c>
      <c r="P42" s="100">
        <v>2833</v>
      </c>
      <c r="Q42" s="102">
        <v>56</v>
      </c>
      <c r="R42" s="100">
        <v>2751</v>
      </c>
      <c r="S42" s="101">
        <v>58.4</v>
      </c>
      <c r="T42" s="134">
        <v>2756</v>
      </c>
      <c r="U42" s="135">
        <v>66.2</v>
      </c>
      <c r="V42" s="270">
        <v>2636</v>
      </c>
      <c r="W42" s="271">
        <v>68</v>
      </c>
      <c r="Y42" s="136"/>
      <c r="Z42" s="136"/>
      <c r="AB42" s="136"/>
      <c r="AC42" s="136"/>
    </row>
    <row r="43" spans="1:29" ht="11.25" customHeight="1" x14ac:dyDescent="0.2">
      <c r="A43" s="125" t="s">
        <v>80</v>
      </c>
      <c r="B43" s="142" t="s">
        <v>81</v>
      </c>
      <c r="C43" s="100">
        <v>2784</v>
      </c>
      <c r="D43" s="87">
        <v>75.5</v>
      </c>
      <c r="E43" s="100">
        <v>2772</v>
      </c>
      <c r="F43" s="87">
        <v>79.5</v>
      </c>
      <c r="G43" s="100">
        <v>2710</v>
      </c>
      <c r="H43" s="101">
        <v>79.7</v>
      </c>
      <c r="I43" s="134">
        <v>2810</v>
      </c>
      <c r="J43" s="135">
        <v>77.099999999999994</v>
      </c>
      <c r="K43" s="134">
        <v>2804</v>
      </c>
      <c r="L43" s="135">
        <v>75.7</v>
      </c>
      <c r="M43" s="96"/>
      <c r="N43" s="100">
        <v>2785</v>
      </c>
      <c r="O43" s="102">
        <v>68.5</v>
      </c>
      <c r="P43" s="100">
        <v>2772</v>
      </c>
      <c r="Q43" s="102">
        <v>73.5</v>
      </c>
      <c r="R43" s="100">
        <v>2701</v>
      </c>
      <c r="S43" s="101">
        <v>75.7</v>
      </c>
      <c r="T43" s="134">
        <v>2814</v>
      </c>
      <c r="U43" s="135">
        <v>80.099999999999994</v>
      </c>
      <c r="V43" s="270">
        <v>2804</v>
      </c>
      <c r="W43" s="271">
        <v>81</v>
      </c>
      <c r="Y43" s="136"/>
      <c r="Z43" s="136"/>
      <c r="AB43" s="136"/>
      <c r="AC43" s="136"/>
    </row>
    <row r="44" spans="1:29" ht="11.25" customHeight="1" x14ac:dyDescent="0.2">
      <c r="A44" s="125" t="s">
        <v>82</v>
      </c>
      <c r="B44" s="142" t="s">
        <v>83</v>
      </c>
      <c r="C44" s="100">
        <v>2488</v>
      </c>
      <c r="D44" s="87">
        <v>72.5</v>
      </c>
      <c r="E44" s="100">
        <v>2445</v>
      </c>
      <c r="F44" s="87">
        <v>74.900000000000006</v>
      </c>
      <c r="G44" s="100">
        <v>2392</v>
      </c>
      <c r="H44" s="101">
        <v>74.5</v>
      </c>
      <c r="I44" s="134">
        <v>2332</v>
      </c>
      <c r="J44" s="135">
        <v>72.7</v>
      </c>
      <c r="K44" s="134">
        <v>2373</v>
      </c>
      <c r="L44" s="135">
        <v>78</v>
      </c>
      <c r="M44" s="96"/>
      <c r="N44" s="100">
        <v>2494</v>
      </c>
      <c r="O44" s="102">
        <v>63.7</v>
      </c>
      <c r="P44" s="100">
        <v>2455</v>
      </c>
      <c r="Q44" s="102">
        <v>65.3</v>
      </c>
      <c r="R44" s="100">
        <v>2396</v>
      </c>
      <c r="S44" s="101">
        <v>69.099999999999994</v>
      </c>
      <c r="T44" s="134">
        <v>2337</v>
      </c>
      <c r="U44" s="135">
        <v>73</v>
      </c>
      <c r="V44" s="270">
        <v>2372</v>
      </c>
      <c r="W44" s="271">
        <v>72</v>
      </c>
      <c r="Y44" s="136"/>
      <c r="Z44" s="136"/>
      <c r="AB44" s="136"/>
      <c r="AC44" s="136"/>
    </row>
    <row r="45" spans="1:29" ht="11.25" customHeight="1" x14ac:dyDescent="0.2">
      <c r="A45" s="125" t="s">
        <v>84</v>
      </c>
      <c r="B45" s="142" t="s">
        <v>85</v>
      </c>
      <c r="C45" s="100">
        <v>3810</v>
      </c>
      <c r="D45" s="87">
        <v>64.900000000000006</v>
      </c>
      <c r="E45" s="100">
        <v>3759</v>
      </c>
      <c r="F45" s="87">
        <v>71.3</v>
      </c>
      <c r="G45" s="100">
        <v>3665</v>
      </c>
      <c r="H45" s="101">
        <v>72.099999999999994</v>
      </c>
      <c r="I45" s="134">
        <v>3567</v>
      </c>
      <c r="J45" s="135">
        <v>72.7</v>
      </c>
      <c r="K45" s="134">
        <v>3663</v>
      </c>
      <c r="L45" s="135">
        <v>74.7</v>
      </c>
      <c r="M45" s="96"/>
      <c r="N45" s="100">
        <v>3816</v>
      </c>
      <c r="O45" s="102">
        <v>53.3</v>
      </c>
      <c r="P45" s="100">
        <v>3753</v>
      </c>
      <c r="Q45" s="102">
        <v>60</v>
      </c>
      <c r="R45" s="100">
        <v>3662</v>
      </c>
      <c r="S45" s="101">
        <v>61.8</v>
      </c>
      <c r="T45" s="134">
        <v>3570</v>
      </c>
      <c r="U45" s="135">
        <v>71.400000000000006</v>
      </c>
      <c r="V45" s="270">
        <v>3666</v>
      </c>
      <c r="W45" s="271">
        <v>72</v>
      </c>
      <c r="Y45" s="136"/>
      <c r="Z45" s="136"/>
      <c r="AB45" s="136"/>
      <c r="AC45" s="136"/>
    </row>
    <row r="46" spans="1:29" ht="11.25" customHeight="1" x14ac:dyDescent="0.2">
      <c r="A46" s="125" t="s">
        <v>86</v>
      </c>
      <c r="B46" s="142" t="s">
        <v>87</v>
      </c>
      <c r="C46" s="100">
        <v>3862</v>
      </c>
      <c r="D46" s="87">
        <v>66.8</v>
      </c>
      <c r="E46" s="100">
        <v>3874</v>
      </c>
      <c r="F46" s="87">
        <v>73.599999999999994</v>
      </c>
      <c r="G46" s="100">
        <v>3724</v>
      </c>
      <c r="H46" s="101">
        <v>75.2</v>
      </c>
      <c r="I46" s="134">
        <v>3647</v>
      </c>
      <c r="J46" s="135">
        <v>73.8</v>
      </c>
      <c r="K46" s="134">
        <v>3607</v>
      </c>
      <c r="L46" s="135">
        <v>74.400000000000006</v>
      </c>
      <c r="M46" s="96"/>
      <c r="N46" s="100">
        <v>3862</v>
      </c>
      <c r="O46" s="102">
        <v>59.7</v>
      </c>
      <c r="P46" s="100">
        <v>3873</v>
      </c>
      <c r="Q46" s="102">
        <v>64.7</v>
      </c>
      <c r="R46" s="100">
        <v>3723</v>
      </c>
      <c r="S46" s="101">
        <v>68.8</v>
      </c>
      <c r="T46" s="134">
        <v>3650</v>
      </c>
      <c r="U46" s="135">
        <v>75.3</v>
      </c>
      <c r="V46" s="270">
        <v>3607</v>
      </c>
      <c r="W46" s="271">
        <v>75.3</v>
      </c>
      <c r="Y46" s="136"/>
      <c r="Z46" s="136"/>
      <c r="AB46" s="136"/>
      <c r="AC46" s="136"/>
    </row>
    <row r="47" spans="1:29" ht="11.25" customHeight="1" x14ac:dyDescent="0.2">
      <c r="A47" s="3"/>
      <c r="B47" s="142"/>
      <c r="D47" s="102"/>
      <c r="F47" s="102"/>
      <c r="G47" s="100"/>
      <c r="H47" s="101"/>
      <c r="M47" s="96"/>
      <c r="N47" s="100"/>
      <c r="O47" s="102"/>
      <c r="P47" s="100"/>
      <c r="Q47" s="102"/>
      <c r="R47" s="100"/>
      <c r="S47" s="101"/>
      <c r="V47" s="272"/>
      <c r="W47" s="272"/>
      <c r="Y47" s="136"/>
      <c r="Z47" s="136"/>
      <c r="AB47" s="136"/>
      <c r="AC47" s="136"/>
    </row>
    <row r="48" spans="1:29" s="98" customFormat="1" ht="11.25" customHeight="1" x14ac:dyDescent="0.2">
      <c r="A48" s="16" t="s">
        <v>382</v>
      </c>
      <c r="B48" s="92" t="s">
        <v>88</v>
      </c>
      <c r="C48" s="93">
        <v>58610</v>
      </c>
      <c r="D48" s="94">
        <v>62.3</v>
      </c>
      <c r="E48" s="93">
        <v>58133</v>
      </c>
      <c r="F48" s="94">
        <v>66.599999999999994</v>
      </c>
      <c r="G48" s="93">
        <v>56074</v>
      </c>
      <c r="H48" s="95">
        <v>69.5</v>
      </c>
      <c r="I48" s="93">
        <v>55950</v>
      </c>
      <c r="J48" s="95">
        <v>67</v>
      </c>
      <c r="K48" s="93">
        <v>56167</v>
      </c>
      <c r="L48" s="95">
        <v>69.900000000000006</v>
      </c>
      <c r="M48" s="96"/>
      <c r="N48" s="93">
        <v>58717</v>
      </c>
      <c r="O48" s="97">
        <v>52.9</v>
      </c>
      <c r="P48" s="93">
        <v>58252</v>
      </c>
      <c r="Q48" s="97">
        <v>57.7</v>
      </c>
      <c r="R48" s="93">
        <v>56247</v>
      </c>
      <c r="S48" s="95">
        <v>59.8</v>
      </c>
      <c r="T48" s="93">
        <v>56019</v>
      </c>
      <c r="U48" s="95">
        <v>66.2</v>
      </c>
      <c r="V48" s="268">
        <v>56299</v>
      </c>
      <c r="W48" s="269">
        <v>68.8</v>
      </c>
      <c r="Y48" s="136"/>
      <c r="Z48" s="136"/>
      <c r="AB48" s="136"/>
      <c r="AC48" s="136"/>
    </row>
    <row r="49" spans="1:29" ht="11.25" customHeight="1" x14ac:dyDescent="0.2">
      <c r="A49" s="125" t="s">
        <v>89</v>
      </c>
      <c r="B49" s="142" t="s">
        <v>90</v>
      </c>
      <c r="C49" s="100">
        <v>2590</v>
      </c>
      <c r="D49" s="87">
        <v>60.1</v>
      </c>
      <c r="E49" s="100">
        <v>2517</v>
      </c>
      <c r="F49" s="87">
        <v>59.4</v>
      </c>
      <c r="G49" s="100">
        <v>2484</v>
      </c>
      <c r="H49" s="101">
        <v>61</v>
      </c>
      <c r="I49" s="134">
        <v>2498</v>
      </c>
      <c r="J49" s="135">
        <v>56.7</v>
      </c>
      <c r="K49" s="134">
        <v>2481</v>
      </c>
      <c r="L49" s="135">
        <v>59.8</v>
      </c>
      <c r="M49" s="96"/>
      <c r="N49" s="100">
        <v>2588</v>
      </c>
      <c r="O49" s="102">
        <v>39.4</v>
      </c>
      <c r="P49" s="100">
        <v>2521</v>
      </c>
      <c r="Q49" s="102">
        <v>42.8</v>
      </c>
      <c r="R49" s="100">
        <v>2502</v>
      </c>
      <c r="S49" s="101">
        <v>44</v>
      </c>
      <c r="T49" s="134">
        <v>2508</v>
      </c>
      <c r="U49" s="135">
        <v>50.7</v>
      </c>
      <c r="V49" s="270">
        <v>2484</v>
      </c>
      <c r="W49" s="271">
        <v>54.2</v>
      </c>
      <c r="Y49" s="136"/>
      <c r="Z49" s="136"/>
      <c r="AB49" s="136"/>
      <c r="AC49" s="136"/>
    </row>
    <row r="50" spans="1:29" ht="11.25" customHeight="1" x14ac:dyDescent="0.2">
      <c r="A50" s="125" t="s">
        <v>91</v>
      </c>
      <c r="B50" s="142" t="s">
        <v>92</v>
      </c>
      <c r="C50" s="100">
        <v>5626</v>
      </c>
      <c r="D50" s="87">
        <v>58.9</v>
      </c>
      <c r="E50" s="100">
        <v>5574</v>
      </c>
      <c r="F50" s="87">
        <v>62.9</v>
      </c>
      <c r="G50" s="100">
        <v>5311</v>
      </c>
      <c r="H50" s="101">
        <v>66.8</v>
      </c>
      <c r="I50" s="134">
        <v>5288</v>
      </c>
      <c r="J50" s="135">
        <v>66.900000000000006</v>
      </c>
      <c r="K50" s="134">
        <v>5368</v>
      </c>
      <c r="L50" s="135">
        <v>67.099999999999994</v>
      </c>
      <c r="M50" s="96"/>
      <c r="N50" s="100">
        <v>5632</v>
      </c>
      <c r="O50" s="102">
        <v>49.5</v>
      </c>
      <c r="P50" s="100">
        <v>5585</v>
      </c>
      <c r="Q50" s="102">
        <v>53.7</v>
      </c>
      <c r="R50" s="100">
        <v>5329</v>
      </c>
      <c r="S50" s="101">
        <v>56.4</v>
      </c>
      <c r="T50" s="134">
        <v>5309</v>
      </c>
      <c r="U50" s="135">
        <v>62.5</v>
      </c>
      <c r="V50" s="270">
        <v>5408</v>
      </c>
      <c r="W50" s="271">
        <v>65</v>
      </c>
      <c r="Y50" s="136"/>
      <c r="Z50" s="136"/>
      <c r="AB50" s="136"/>
      <c r="AC50" s="136"/>
    </row>
    <row r="51" spans="1:29" ht="11.25" customHeight="1" x14ac:dyDescent="0.2">
      <c r="A51" s="125" t="s">
        <v>93</v>
      </c>
      <c r="B51" s="142" t="s">
        <v>94</v>
      </c>
      <c r="C51" s="100">
        <v>2575</v>
      </c>
      <c r="D51" s="87">
        <v>63.8</v>
      </c>
      <c r="E51" s="100">
        <v>2563</v>
      </c>
      <c r="F51" s="87">
        <v>69.400000000000006</v>
      </c>
      <c r="G51" s="100">
        <v>2527</v>
      </c>
      <c r="H51" s="101">
        <v>71.2</v>
      </c>
      <c r="I51" s="134">
        <v>2564</v>
      </c>
      <c r="J51" s="135">
        <v>68.400000000000006</v>
      </c>
      <c r="K51" s="134">
        <v>2549</v>
      </c>
      <c r="L51" s="135">
        <v>73</v>
      </c>
      <c r="M51" s="96"/>
      <c r="N51" s="100">
        <v>2573</v>
      </c>
      <c r="O51" s="102">
        <v>55.1</v>
      </c>
      <c r="P51" s="100">
        <v>2567</v>
      </c>
      <c r="Q51" s="102">
        <v>58.9</v>
      </c>
      <c r="R51" s="100">
        <v>2536</v>
      </c>
      <c r="S51" s="101">
        <v>61.5</v>
      </c>
      <c r="T51" s="134">
        <v>2561</v>
      </c>
      <c r="U51" s="135">
        <v>67.400000000000006</v>
      </c>
      <c r="V51" s="270">
        <v>2549</v>
      </c>
      <c r="W51" s="271">
        <v>71.7</v>
      </c>
      <c r="Y51" s="136"/>
      <c r="Z51" s="136"/>
      <c r="AB51" s="136"/>
      <c r="AC51" s="136"/>
    </row>
    <row r="52" spans="1:29" ht="11.25" customHeight="1" x14ac:dyDescent="0.2">
      <c r="A52" s="125" t="s">
        <v>95</v>
      </c>
      <c r="B52" s="142" t="s">
        <v>96</v>
      </c>
      <c r="C52" s="100">
        <v>3551</v>
      </c>
      <c r="D52" s="87">
        <v>55.2</v>
      </c>
      <c r="E52" s="100">
        <v>3476</v>
      </c>
      <c r="F52" s="87">
        <v>62.5</v>
      </c>
      <c r="G52" s="100">
        <v>3392</v>
      </c>
      <c r="H52" s="101">
        <v>66.2</v>
      </c>
      <c r="I52" s="134">
        <v>3292</v>
      </c>
      <c r="J52" s="135">
        <v>61.3</v>
      </c>
      <c r="K52" s="134">
        <v>3325</v>
      </c>
      <c r="L52" s="135">
        <v>66.900000000000006</v>
      </c>
      <c r="M52" s="96"/>
      <c r="N52" s="100">
        <v>3551</v>
      </c>
      <c r="O52" s="102">
        <v>44.6</v>
      </c>
      <c r="P52" s="100">
        <v>3481</v>
      </c>
      <c r="Q52" s="102">
        <v>53</v>
      </c>
      <c r="R52" s="100">
        <v>3402</v>
      </c>
      <c r="S52" s="101">
        <v>55.2</v>
      </c>
      <c r="T52" s="134">
        <v>3291</v>
      </c>
      <c r="U52" s="135">
        <v>62.5</v>
      </c>
      <c r="V52" s="270">
        <v>3332</v>
      </c>
      <c r="W52" s="271">
        <v>63.4</v>
      </c>
      <c r="Y52" s="136"/>
      <c r="Z52" s="136"/>
      <c r="AB52" s="136"/>
      <c r="AC52" s="136"/>
    </row>
    <row r="53" spans="1:29" ht="11.25" customHeight="1" x14ac:dyDescent="0.2">
      <c r="A53" s="125" t="s">
        <v>97</v>
      </c>
      <c r="B53" s="142" t="s">
        <v>98</v>
      </c>
      <c r="C53" s="100">
        <v>3952</v>
      </c>
      <c r="D53" s="87">
        <v>67.400000000000006</v>
      </c>
      <c r="E53" s="100">
        <v>3894</v>
      </c>
      <c r="F53" s="87">
        <v>71.7</v>
      </c>
      <c r="G53" s="100">
        <v>3841</v>
      </c>
      <c r="H53" s="101">
        <v>69.7</v>
      </c>
      <c r="I53" s="134">
        <v>3689</v>
      </c>
      <c r="J53" s="135">
        <v>63.7</v>
      </c>
      <c r="K53" s="134">
        <v>3809</v>
      </c>
      <c r="L53" s="135">
        <v>69.2</v>
      </c>
      <c r="M53" s="96"/>
      <c r="N53" s="100">
        <v>3952</v>
      </c>
      <c r="O53" s="102">
        <v>58.5</v>
      </c>
      <c r="P53" s="100">
        <v>3901</v>
      </c>
      <c r="Q53" s="102">
        <v>63.7</v>
      </c>
      <c r="R53" s="100">
        <v>3841</v>
      </c>
      <c r="S53" s="101">
        <v>62.9</v>
      </c>
      <c r="T53" s="134">
        <v>3695</v>
      </c>
      <c r="U53" s="135">
        <v>66.400000000000006</v>
      </c>
      <c r="V53" s="270">
        <v>3813</v>
      </c>
      <c r="W53" s="271">
        <v>70.7</v>
      </c>
      <c r="Y53" s="136"/>
      <c r="Z53" s="136"/>
      <c r="AB53" s="136"/>
      <c r="AC53" s="136"/>
    </row>
    <row r="54" spans="1:29" ht="11.25" customHeight="1" x14ac:dyDescent="0.2">
      <c r="A54" s="125" t="s">
        <v>99</v>
      </c>
      <c r="B54" s="142" t="s">
        <v>100</v>
      </c>
      <c r="C54" s="100">
        <v>2766</v>
      </c>
      <c r="D54" s="87">
        <v>51.4</v>
      </c>
      <c r="E54" s="100">
        <v>2670</v>
      </c>
      <c r="F54" s="87">
        <v>60.2</v>
      </c>
      <c r="G54" s="100">
        <v>2394</v>
      </c>
      <c r="H54" s="101">
        <v>62.2</v>
      </c>
      <c r="I54" s="134">
        <v>2423</v>
      </c>
      <c r="J54" s="135">
        <v>59</v>
      </c>
      <c r="K54" s="134">
        <v>2324</v>
      </c>
      <c r="L54" s="135">
        <v>63.9</v>
      </c>
      <c r="M54" s="96"/>
      <c r="N54" s="100">
        <v>2780</v>
      </c>
      <c r="O54" s="102">
        <v>37.700000000000003</v>
      </c>
      <c r="P54" s="100">
        <v>2680</v>
      </c>
      <c r="Q54" s="102">
        <v>43.6</v>
      </c>
      <c r="R54" s="100">
        <v>2424</v>
      </c>
      <c r="S54" s="101">
        <v>47.7</v>
      </c>
      <c r="T54" s="134">
        <v>2431</v>
      </c>
      <c r="U54" s="135">
        <v>54.9</v>
      </c>
      <c r="V54" s="270">
        <v>2332</v>
      </c>
      <c r="W54" s="271">
        <v>59.5</v>
      </c>
      <c r="Y54" s="136"/>
      <c r="Z54" s="136"/>
      <c r="AB54" s="136"/>
      <c r="AC54" s="136"/>
    </row>
    <row r="55" spans="1:29" ht="11.25" customHeight="1" x14ac:dyDescent="0.2">
      <c r="A55" s="125" t="s">
        <v>101</v>
      </c>
      <c r="B55" s="142" t="s">
        <v>102</v>
      </c>
      <c r="C55" s="100">
        <v>4511</v>
      </c>
      <c r="D55" s="87">
        <v>65.5</v>
      </c>
      <c r="E55" s="100">
        <v>4432</v>
      </c>
      <c r="F55" s="87">
        <v>68</v>
      </c>
      <c r="G55" s="100">
        <v>4387</v>
      </c>
      <c r="H55" s="101">
        <v>75.400000000000006</v>
      </c>
      <c r="I55" s="134">
        <v>4464</v>
      </c>
      <c r="J55" s="135">
        <v>74.5</v>
      </c>
      <c r="K55" s="134">
        <v>4482</v>
      </c>
      <c r="L55" s="135">
        <v>73.400000000000006</v>
      </c>
      <c r="M55" s="96"/>
      <c r="N55" s="100">
        <v>4516</v>
      </c>
      <c r="O55" s="102">
        <v>54.7</v>
      </c>
      <c r="P55" s="100">
        <v>4442</v>
      </c>
      <c r="Q55" s="102">
        <v>61.4</v>
      </c>
      <c r="R55" s="100">
        <v>4402</v>
      </c>
      <c r="S55" s="101">
        <v>63.3</v>
      </c>
      <c r="T55" s="134">
        <v>4478</v>
      </c>
      <c r="U55" s="135">
        <v>70.8</v>
      </c>
      <c r="V55" s="270">
        <v>4494</v>
      </c>
      <c r="W55" s="271">
        <v>71.8</v>
      </c>
      <c r="Y55" s="136"/>
      <c r="Z55" s="136"/>
      <c r="AB55" s="136"/>
      <c r="AC55" s="136"/>
    </row>
    <row r="56" spans="1:29" ht="11.25" customHeight="1" x14ac:dyDescent="0.2">
      <c r="A56" s="125" t="s">
        <v>103</v>
      </c>
      <c r="B56" s="142" t="s">
        <v>104</v>
      </c>
      <c r="C56" s="100">
        <v>7895</v>
      </c>
      <c r="D56" s="87">
        <v>58.6</v>
      </c>
      <c r="E56" s="100">
        <v>7832</v>
      </c>
      <c r="F56" s="87">
        <v>63.1</v>
      </c>
      <c r="G56" s="100">
        <v>7354</v>
      </c>
      <c r="H56" s="101">
        <v>66.7</v>
      </c>
      <c r="I56" s="134">
        <v>7414</v>
      </c>
      <c r="J56" s="135">
        <v>63.1</v>
      </c>
      <c r="K56" s="134">
        <v>7515</v>
      </c>
      <c r="L56" s="135">
        <v>65.2</v>
      </c>
      <c r="M56" s="96"/>
      <c r="N56" s="100">
        <v>7908</v>
      </c>
      <c r="O56" s="102">
        <v>51.6</v>
      </c>
      <c r="P56" s="100">
        <v>7860</v>
      </c>
      <c r="Q56" s="102">
        <v>56.7</v>
      </c>
      <c r="R56" s="100">
        <v>7380</v>
      </c>
      <c r="S56" s="101">
        <v>60.3</v>
      </c>
      <c r="T56" s="134">
        <v>7408</v>
      </c>
      <c r="U56" s="135">
        <v>67.099999999999994</v>
      </c>
      <c r="V56" s="270">
        <v>7537</v>
      </c>
      <c r="W56" s="271">
        <v>67.8</v>
      </c>
      <c r="Y56" s="136"/>
      <c r="Z56" s="136"/>
      <c r="AB56" s="136"/>
      <c r="AC56" s="136"/>
    </row>
    <row r="57" spans="1:29" ht="11.25" customHeight="1" x14ac:dyDescent="0.2">
      <c r="A57" s="125" t="s">
        <v>105</v>
      </c>
      <c r="B57" s="142" t="s">
        <v>106</v>
      </c>
      <c r="C57" s="100">
        <v>1898</v>
      </c>
      <c r="D57" s="87">
        <v>60</v>
      </c>
      <c r="E57" s="100">
        <v>1931</v>
      </c>
      <c r="F57" s="87">
        <v>67.099999999999994</v>
      </c>
      <c r="G57" s="100">
        <v>1786</v>
      </c>
      <c r="H57" s="101">
        <v>67.900000000000006</v>
      </c>
      <c r="I57" s="134">
        <v>1807</v>
      </c>
      <c r="J57" s="135">
        <v>65.900000000000006</v>
      </c>
      <c r="K57" s="134">
        <v>1785</v>
      </c>
      <c r="L57" s="135">
        <v>65.900000000000006</v>
      </c>
      <c r="M57" s="96"/>
      <c r="N57" s="100">
        <v>1903</v>
      </c>
      <c r="O57" s="102">
        <v>52.5</v>
      </c>
      <c r="P57" s="100">
        <v>1938</v>
      </c>
      <c r="Q57" s="102">
        <v>57.3</v>
      </c>
      <c r="R57" s="100">
        <v>1800</v>
      </c>
      <c r="S57" s="101">
        <v>60.3</v>
      </c>
      <c r="T57" s="134">
        <v>1800</v>
      </c>
      <c r="U57" s="135">
        <v>65.7</v>
      </c>
      <c r="V57" s="270">
        <v>1787</v>
      </c>
      <c r="W57" s="271">
        <v>67.5</v>
      </c>
      <c r="Y57" s="136"/>
      <c r="Z57" s="136"/>
      <c r="AB57" s="136"/>
      <c r="AC57" s="136"/>
    </row>
    <row r="58" spans="1:29" ht="11.25" customHeight="1" x14ac:dyDescent="0.2">
      <c r="A58" s="125" t="s">
        <v>107</v>
      </c>
      <c r="B58" s="142" t="s">
        <v>108</v>
      </c>
      <c r="C58" s="100">
        <v>1965</v>
      </c>
      <c r="D58" s="87">
        <v>59.5</v>
      </c>
      <c r="E58" s="100">
        <v>1964</v>
      </c>
      <c r="F58" s="87">
        <v>63.2</v>
      </c>
      <c r="G58" s="100">
        <v>1946</v>
      </c>
      <c r="H58" s="101">
        <v>66.3</v>
      </c>
      <c r="I58" s="134">
        <v>1893</v>
      </c>
      <c r="J58" s="135">
        <v>62.8</v>
      </c>
      <c r="K58" s="134">
        <v>1866</v>
      </c>
      <c r="L58" s="135">
        <v>65.099999999999994</v>
      </c>
      <c r="M58" s="96"/>
      <c r="N58" s="100">
        <v>1965</v>
      </c>
      <c r="O58" s="102">
        <v>51.7</v>
      </c>
      <c r="P58" s="100">
        <v>1962</v>
      </c>
      <c r="Q58" s="102">
        <v>57</v>
      </c>
      <c r="R58" s="100">
        <v>1951</v>
      </c>
      <c r="S58" s="101">
        <v>56.6</v>
      </c>
      <c r="T58" s="134">
        <v>1896</v>
      </c>
      <c r="U58" s="135">
        <v>66.7</v>
      </c>
      <c r="V58" s="270">
        <v>1868</v>
      </c>
      <c r="W58" s="271">
        <v>71.5</v>
      </c>
      <c r="Y58" s="136"/>
      <c r="Z58" s="136"/>
      <c r="AB58" s="136"/>
      <c r="AC58" s="136"/>
    </row>
    <row r="59" spans="1:29" ht="11.25" customHeight="1" x14ac:dyDescent="0.2">
      <c r="A59" s="125" t="s">
        <v>109</v>
      </c>
      <c r="B59" s="142" t="s">
        <v>110</v>
      </c>
      <c r="C59" s="100">
        <v>6758</v>
      </c>
      <c r="D59" s="87">
        <v>71.5</v>
      </c>
      <c r="E59" s="100">
        <v>6744</v>
      </c>
      <c r="F59" s="87">
        <v>73.2</v>
      </c>
      <c r="G59" s="100">
        <v>6521</v>
      </c>
      <c r="H59" s="101">
        <v>75.599999999999994</v>
      </c>
      <c r="I59" s="134">
        <v>6576</v>
      </c>
      <c r="J59" s="135">
        <v>71</v>
      </c>
      <c r="K59" s="134">
        <v>6552</v>
      </c>
      <c r="L59" s="135">
        <v>71.900000000000006</v>
      </c>
      <c r="M59" s="96"/>
      <c r="N59" s="100">
        <v>6765</v>
      </c>
      <c r="O59" s="102">
        <v>65</v>
      </c>
      <c r="P59" s="100">
        <v>6755</v>
      </c>
      <c r="Q59" s="102">
        <v>68.099999999999994</v>
      </c>
      <c r="R59" s="100">
        <v>6514</v>
      </c>
      <c r="S59" s="101">
        <v>69.8</v>
      </c>
      <c r="T59" s="134">
        <v>6584</v>
      </c>
      <c r="U59" s="135">
        <v>74.2</v>
      </c>
      <c r="V59" s="270">
        <v>6533</v>
      </c>
      <c r="W59" s="271">
        <v>76.400000000000006</v>
      </c>
      <c r="Y59" s="136"/>
      <c r="Z59" s="136"/>
      <c r="AB59" s="136"/>
      <c r="AC59" s="136"/>
    </row>
    <row r="60" spans="1:29" ht="11.25" customHeight="1" x14ac:dyDescent="0.2">
      <c r="A60" s="125" t="s">
        <v>111</v>
      </c>
      <c r="B60" s="142" t="s">
        <v>112</v>
      </c>
      <c r="C60" s="100">
        <v>3563</v>
      </c>
      <c r="D60" s="87">
        <v>63.3</v>
      </c>
      <c r="E60" s="100">
        <v>3538</v>
      </c>
      <c r="F60" s="87">
        <v>66.8</v>
      </c>
      <c r="G60" s="100">
        <v>3387</v>
      </c>
      <c r="H60" s="101">
        <v>73</v>
      </c>
      <c r="I60" s="134">
        <v>3395</v>
      </c>
      <c r="J60" s="135">
        <v>73</v>
      </c>
      <c r="K60" s="134">
        <v>3361</v>
      </c>
      <c r="L60" s="135">
        <v>77.2</v>
      </c>
      <c r="M60" s="96"/>
      <c r="N60" s="100">
        <v>3571</v>
      </c>
      <c r="O60" s="102">
        <v>52.5</v>
      </c>
      <c r="P60" s="100">
        <v>3535</v>
      </c>
      <c r="Q60" s="102">
        <v>56</v>
      </c>
      <c r="R60" s="100">
        <v>3393</v>
      </c>
      <c r="S60" s="101">
        <v>60.9</v>
      </c>
      <c r="T60" s="134">
        <v>3398</v>
      </c>
      <c r="U60" s="135">
        <v>66.900000000000006</v>
      </c>
      <c r="V60" s="270">
        <v>3361</v>
      </c>
      <c r="W60" s="271">
        <v>72</v>
      </c>
      <c r="Y60" s="136"/>
      <c r="Z60" s="136"/>
      <c r="AB60" s="136"/>
      <c r="AC60" s="136"/>
    </row>
    <row r="61" spans="1:29" ht="11.25" customHeight="1" x14ac:dyDescent="0.2">
      <c r="A61" s="125" t="s">
        <v>113</v>
      </c>
      <c r="B61" s="142" t="s">
        <v>114</v>
      </c>
      <c r="C61" s="100">
        <v>5507</v>
      </c>
      <c r="D61" s="87">
        <v>60.2</v>
      </c>
      <c r="E61" s="100">
        <v>5397</v>
      </c>
      <c r="F61" s="87">
        <v>65.8</v>
      </c>
      <c r="G61" s="100">
        <v>5209</v>
      </c>
      <c r="H61" s="101">
        <v>66.3</v>
      </c>
      <c r="I61" s="134">
        <v>5164</v>
      </c>
      <c r="J61" s="135">
        <v>68.5</v>
      </c>
      <c r="K61" s="134">
        <v>5292</v>
      </c>
      <c r="L61" s="135">
        <v>72</v>
      </c>
      <c r="M61" s="96"/>
      <c r="N61" s="100">
        <v>5532</v>
      </c>
      <c r="O61" s="102">
        <v>53.4</v>
      </c>
      <c r="P61" s="100">
        <v>5420</v>
      </c>
      <c r="Q61" s="102">
        <v>59.6</v>
      </c>
      <c r="R61" s="100">
        <v>5223</v>
      </c>
      <c r="S61" s="101">
        <v>58.7</v>
      </c>
      <c r="T61" s="134">
        <v>5178</v>
      </c>
      <c r="U61" s="135">
        <v>66.099999999999994</v>
      </c>
      <c r="V61" s="270">
        <v>5325</v>
      </c>
      <c r="W61" s="271">
        <v>67.8</v>
      </c>
      <c r="Y61" s="136"/>
      <c r="Z61" s="136"/>
      <c r="AB61" s="136"/>
      <c r="AC61" s="136"/>
    </row>
    <row r="62" spans="1:29" ht="11.25" customHeight="1" x14ac:dyDescent="0.2">
      <c r="A62" s="125" t="s">
        <v>115</v>
      </c>
      <c r="B62" s="142" t="s">
        <v>116</v>
      </c>
      <c r="C62" s="100">
        <v>3785</v>
      </c>
      <c r="D62" s="87">
        <v>66.3</v>
      </c>
      <c r="E62" s="100">
        <v>3891</v>
      </c>
      <c r="F62" s="87">
        <v>72.599999999999994</v>
      </c>
      <c r="G62" s="100">
        <v>3828</v>
      </c>
      <c r="H62" s="101">
        <v>74.099999999999994</v>
      </c>
      <c r="I62" s="134">
        <v>3823</v>
      </c>
      <c r="J62" s="135">
        <v>71.7</v>
      </c>
      <c r="K62" s="134">
        <v>3774</v>
      </c>
      <c r="L62" s="135">
        <v>78.099999999999994</v>
      </c>
      <c r="M62" s="96"/>
      <c r="N62" s="100">
        <v>3818</v>
      </c>
      <c r="O62" s="102">
        <v>53.4</v>
      </c>
      <c r="P62" s="100">
        <v>3895</v>
      </c>
      <c r="Q62" s="102">
        <v>56.2</v>
      </c>
      <c r="R62" s="100">
        <v>3839</v>
      </c>
      <c r="S62" s="101">
        <v>58.5</v>
      </c>
      <c r="T62" s="134">
        <v>3817</v>
      </c>
      <c r="U62" s="135">
        <v>65.7</v>
      </c>
      <c r="V62" s="270">
        <v>3793</v>
      </c>
      <c r="W62" s="271">
        <v>71.2</v>
      </c>
      <c r="Y62" s="136"/>
      <c r="Z62" s="136"/>
      <c r="AB62" s="136"/>
      <c r="AC62" s="136"/>
    </row>
    <row r="63" spans="1:29" ht="11.25" customHeight="1" x14ac:dyDescent="0.2">
      <c r="A63" s="125" t="s">
        <v>117</v>
      </c>
      <c r="B63" s="142" t="s">
        <v>118</v>
      </c>
      <c r="C63" s="100">
        <v>1668</v>
      </c>
      <c r="D63" s="87">
        <v>70.7</v>
      </c>
      <c r="E63" s="100">
        <v>1710</v>
      </c>
      <c r="F63" s="87">
        <v>71.099999999999994</v>
      </c>
      <c r="G63" s="100">
        <v>1707</v>
      </c>
      <c r="H63" s="101">
        <v>76.3</v>
      </c>
      <c r="I63" s="134">
        <v>1660</v>
      </c>
      <c r="J63" s="135">
        <v>71.5</v>
      </c>
      <c r="K63" s="134">
        <v>1684</v>
      </c>
      <c r="L63" s="135">
        <v>76.7</v>
      </c>
      <c r="M63" s="96"/>
      <c r="N63" s="100">
        <v>1663</v>
      </c>
      <c r="O63" s="102">
        <v>64.5</v>
      </c>
      <c r="P63" s="100">
        <v>1710</v>
      </c>
      <c r="Q63" s="102">
        <v>65.7</v>
      </c>
      <c r="R63" s="100">
        <v>1711</v>
      </c>
      <c r="S63" s="101">
        <v>67.900000000000006</v>
      </c>
      <c r="T63" s="134">
        <v>1665</v>
      </c>
      <c r="U63" s="135">
        <v>74.099999999999994</v>
      </c>
      <c r="V63" s="270">
        <v>1683</v>
      </c>
      <c r="W63" s="271">
        <v>74.2</v>
      </c>
      <c r="Y63" s="136"/>
      <c r="Z63" s="136"/>
      <c r="AB63" s="136"/>
      <c r="AC63" s="136"/>
    </row>
    <row r="64" spans="1:29" ht="11.25" customHeight="1" x14ac:dyDescent="0.2">
      <c r="A64" s="3"/>
      <c r="B64" s="142"/>
      <c r="C64" s="100"/>
      <c r="D64" s="102"/>
      <c r="E64" s="100"/>
      <c r="F64" s="102"/>
      <c r="G64" s="100"/>
      <c r="H64" s="101"/>
      <c r="M64" s="96"/>
      <c r="N64" s="100"/>
      <c r="O64" s="103"/>
      <c r="P64" s="100"/>
      <c r="Q64" s="103"/>
      <c r="R64" s="100"/>
      <c r="S64" s="101"/>
      <c r="V64" s="272"/>
      <c r="W64" s="272"/>
      <c r="Y64" s="136"/>
      <c r="Z64" s="136"/>
      <c r="AB64" s="136"/>
      <c r="AC64" s="136"/>
    </row>
    <row r="65" spans="1:29" s="98" customFormat="1" ht="11.25" customHeight="1" x14ac:dyDescent="0.2">
      <c r="A65" s="16" t="s">
        <v>385</v>
      </c>
      <c r="B65" s="92" t="s">
        <v>119</v>
      </c>
      <c r="C65" s="93">
        <v>49649</v>
      </c>
      <c r="D65" s="94">
        <v>65.400000000000006</v>
      </c>
      <c r="E65" s="93">
        <v>49914</v>
      </c>
      <c r="F65" s="94">
        <v>69.7</v>
      </c>
      <c r="G65" s="93">
        <v>48183</v>
      </c>
      <c r="H65" s="95">
        <v>72.5</v>
      </c>
      <c r="I65" s="93">
        <v>46976</v>
      </c>
      <c r="J65" s="95">
        <v>68.7</v>
      </c>
      <c r="K65" s="93">
        <v>48076</v>
      </c>
      <c r="L65" s="95">
        <v>69.599999999999994</v>
      </c>
      <c r="M65" s="96"/>
      <c r="N65" s="93">
        <v>49834</v>
      </c>
      <c r="O65" s="97">
        <v>56.8</v>
      </c>
      <c r="P65" s="93">
        <v>49997</v>
      </c>
      <c r="Q65" s="97">
        <v>60.7</v>
      </c>
      <c r="R65" s="93">
        <v>48300</v>
      </c>
      <c r="S65" s="95">
        <v>63.4</v>
      </c>
      <c r="T65" s="93">
        <v>47056</v>
      </c>
      <c r="U65" s="95">
        <v>66.7</v>
      </c>
      <c r="V65" s="268">
        <v>48240</v>
      </c>
      <c r="W65" s="269">
        <v>70</v>
      </c>
      <c r="Y65" s="136"/>
      <c r="Z65" s="136"/>
      <c r="AB65" s="136"/>
      <c r="AC65" s="136"/>
    </row>
    <row r="66" spans="1:29" ht="11.25" customHeight="1" x14ac:dyDescent="0.2">
      <c r="A66" s="125" t="s">
        <v>120</v>
      </c>
      <c r="B66" s="142" t="s">
        <v>121</v>
      </c>
      <c r="C66" s="100">
        <v>2717</v>
      </c>
      <c r="D66" s="87">
        <v>63.5</v>
      </c>
      <c r="E66" s="100">
        <v>2756</v>
      </c>
      <c r="F66" s="87">
        <v>70.8</v>
      </c>
      <c r="G66" s="100">
        <v>2683</v>
      </c>
      <c r="H66" s="101">
        <v>73.2</v>
      </c>
      <c r="I66" s="134">
        <v>2545</v>
      </c>
      <c r="J66" s="135">
        <v>69.400000000000006</v>
      </c>
      <c r="K66" s="134">
        <v>2764</v>
      </c>
      <c r="L66" s="135">
        <v>68.400000000000006</v>
      </c>
      <c r="M66" s="96"/>
      <c r="N66" s="100">
        <v>2723</v>
      </c>
      <c r="O66" s="102">
        <v>54.9</v>
      </c>
      <c r="P66" s="100">
        <v>2763</v>
      </c>
      <c r="Q66" s="102">
        <v>64.400000000000006</v>
      </c>
      <c r="R66" s="100">
        <v>2677</v>
      </c>
      <c r="S66" s="101">
        <v>65.3</v>
      </c>
      <c r="T66" s="134">
        <v>2556</v>
      </c>
      <c r="U66" s="135">
        <v>67.099999999999994</v>
      </c>
      <c r="V66" s="270">
        <v>2782</v>
      </c>
      <c r="W66" s="271">
        <v>69.8</v>
      </c>
      <c r="Y66" s="136"/>
      <c r="Z66" s="136"/>
      <c r="AB66" s="136"/>
      <c r="AC66" s="136"/>
    </row>
    <row r="67" spans="1:29" ht="11.25" customHeight="1" x14ac:dyDescent="0.2">
      <c r="A67" s="125" t="s">
        <v>122</v>
      </c>
      <c r="B67" s="142" t="s">
        <v>123</v>
      </c>
      <c r="C67" s="100">
        <v>8700</v>
      </c>
      <c r="D67" s="87">
        <v>64.2</v>
      </c>
      <c r="E67" s="100">
        <v>8624</v>
      </c>
      <c r="F67" s="87">
        <v>67.3</v>
      </c>
      <c r="G67" s="100">
        <v>8532</v>
      </c>
      <c r="H67" s="101">
        <v>69.599999999999994</v>
      </c>
      <c r="I67" s="134">
        <v>8130</v>
      </c>
      <c r="J67" s="135">
        <v>64.400000000000006</v>
      </c>
      <c r="K67" s="134">
        <v>8228</v>
      </c>
      <c r="L67" s="135">
        <v>65.599999999999994</v>
      </c>
      <c r="M67" s="96"/>
      <c r="N67" s="100">
        <v>8732</v>
      </c>
      <c r="O67" s="102">
        <v>57</v>
      </c>
      <c r="P67" s="100">
        <v>8617</v>
      </c>
      <c r="Q67" s="102">
        <v>60</v>
      </c>
      <c r="R67" s="100">
        <v>8539</v>
      </c>
      <c r="S67" s="101">
        <v>62</v>
      </c>
      <c r="T67" s="134">
        <v>8127</v>
      </c>
      <c r="U67" s="135">
        <v>66.099999999999994</v>
      </c>
      <c r="V67" s="270">
        <v>8222</v>
      </c>
      <c r="W67" s="271">
        <v>70.7</v>
      </c>
      <c r="Y67" s="136"/>
      <c r="Z67" s="136"/>
      <c r="AB67" s="136"/>
      <c r="AC67" s="136"/>
    </row>
    <row r="68" spans="1:29" ht="11.25" customHeight="1" x14ac:dyDescent="0.2">
      <c r="A68" s="125" t="s">
        <v>124</v>
      </c>
      <c r="B68" s="142" t="s">
        <v>125</v>
      </c>
      <c r="C68" s="100">
        <v>3187</v>
      </c>
      <c r="D68" s="87">
        <v>65.900000000000006</v>
      </c>
      <c r="E68" s="100">
        <v>3264</v>
      </c>
      <c r="F68" s="87">
        <v>71.599999999999994</v>
      </c>
      <c r="G68" s="100">
        <v>3058</v>
      </c>
      <c r="H68" s="101">
        <v>76.599999999999994</v>
      </c>
      <c r="I68" s="134">
        <v>3054</v>
      </c>
      <c r="J68" s="135">
        <v>73.2</v>
      </c>
      <c r="K68" s="134">
        <v>3170</v>
      </c>
      <c r="L68" s="135">
        <v>72.400000000000006</v>
      </c>
      <c r="M68" s="96"/>
      <c r="N68" s="100">
        <v>3231</v>
      </c>
      <c r="O68" s="102">
        <v>55.7</v>
      </c>
      <c r="P68" s="100">
        <v>3290</v>
      </c>
      <c r="Q68" s="102">
        <v>61.1</v>
      </c>
      <c r="R68" s="100">
        <v>3077</v>
      </c>
      <c r="S68" s="101">
        <v>62.9</v>
      </c>
      <c r="T68" s="134">
        <v>3112</v>
      </c>
      <c r="U68" s="135">
        <v>63.6</v>
      </c>
      <c r="V68" s="270">
        <v>3207</v>
      </c>
      <c r="W68" s="271">
        <v>67.400000000000006</v>
      </c>
      <c r="Y68" s="136"/>
      <c r="Z68" s="136"/>
      <c r="AB68" s="136"/>
      <c r="AC68" s="136"/>
    </row>
    <row r="69" spans="1:29" ht="11.25" customHeight="1" x14ac:dyDescent="0.2">
      <c r="A69" s="125" t="s">
        <v>126</v>
      </c>
      <c r="B69" s="142" t="s">
        <v>127</v>
      </c>
      <c r="C69" s="100">
        <v>7205</v>
      </c>
      <c r="D69" s="87">
        <v>70.5</v>
      </c>
      <c r="E69" s="100">
        <v>7270</v>
      </c>
      <c r="F69" s="87">
        <v>73.2</v>
      </c>
      <c r="G69" s="100">
        <v>7216</v>
      </c>
      <c r="H69" s="101">
        <v>74.7</v>
      </c>
      <c r="I69" s="134">
        <v>6985</v>
      </c>
      <c r="J69" s="135">
        <v>71</v>
      </c>
      <c r="K69" s="134">
        <v>7073</v>
      </c>
      <c r="L69" s="135">
        <v>70.8</v>
      </c>
      <c r="M69" s="96"/>
      <c r="N69" s="100">
        <v>7223</v>
      </c>
      <c r="O69" s="102">
        <v>59.3</v>
      </c>
      <c r="P69" s="100">
        <v>7272</v>
      </c>
      <c r="Q69" s="102">
        <v>62.3</v>
      </c>
      <c r="R69" s="100">
        <v>7210</v>
      </c>
      <c r="S69" s="101">
        <v>62.4</v>
      </c>
      <c r="T69" s="134">
        <v>6988</v>
      </c>
      <c r="U69" s="135">
        <v>63.4</v>
      </c>
      <c r="V69" s="270">
        <v>7091</v>
      </c>
      <c r="W69" s="271">
        <v>69</v>
      </c>
      <c r="Y69" s="136"/>
      <c r="Z69" s="136"/>
      <c r="AB69" s="136"/>
      <c r="AC69" s="136"/>
    </row>
    <row r="70" spans="1:29" ht="11.25" customHeight="1" x14ac:dyDescent="0.2">
      <c r="A70" s="125" t="s">
        <v>128</v>
      </c>
      <c r="B70" s="142" t="s">
        <v>129</v>
      </c>
      <c r="C70" s="100">
        <v>8083</v>
      </c>
      <c r="D70" s="87">
        <v>70.5</v>
      </c>
      <c r="E70" s="100">
        <v>8266</v>
      </c>
      <c r="F70" s="87">
        <v>75.400000000000006</v>
      </c>
      <c r="G70" s="100">
        <v>7905</v>
      </c>
      <c r="H70" s="101">
        <v>75.8</v>
      </c>
      <c r="I70" s="134">
        <v>7671</v>
      </c>
      <c r="J70" s="135">
        <v>71.099999999999994</v>
      </c>
      <c r="K70" s="134">
        <v>7763</v>
      </c>
      <c r="L70" s="135">
        <v>70.599999999999994</v>
      </c>
      <c r="M70" s="96"/>
      <c r="N70" s="100">
        <v>8090</v>
      </c>
      <c r="O70" s="102">
        <v>63.9</v>
      </c>
      <c r="P70" s="100">
        <v>8268</v>
      </c>
      <c r="Q70" s="102">
        <v>66.5</v>
      </c>
      <c r="R70" s="100">
        <v>7906</v>
      </c>
      <c r="S70" s="101">
        <v>70.400000000000006</v>
      </c>
      <c r="T70" s="134">
        <v>7644</v>
      </c>
      <c r="U70" s="135">
        <v>72.7</v>
      </c>
      <c r="V70" s="270">
        <v>7834</v>
      </c>
      <c r="W70" s="271">
        <v>73.599999999999994</v>
      </c>
      <c r="Y70" s="136"/>
      <c r="Z70" s="136"/>
      <c r="AB70" s="136"/>
      <c r="AC70" s="136"/>
    </row>
    <row r="71" spans="1:29" ht="11.25" customHeight="1" x14ac:dyDescent="0.2">
      <c r="A71" s="125" t="s">
        <v>130</v>
      </c>
      <c r="B71" s="142" t="s">
        <v>131</v>
      </c>
      <c r="C71" s="100">
        <v>7709</v>
      </c>
      <c r="D71" s="87">
        <v>67.099999999999994</v>
      </c>
      <c r="E71" s="100">
        <v>7647</v>
      </c>
      <c r="F71" s="87">
        <v>70.5</v>
      </c>
      <c r="G71" s="100">
        <v>7470</v>
      </c>
      <c r="H71" s="101">
        <v>73.099999999999994</v>
      </c>
      <c r="I71" s="134">
        <v>7292</v>
      </c>
      <c r="J71" s="135">
        <v>68.8</v>
      </c>
      <c r="K71" s="134">
        <v>7622</v>
      </c>
      <c r="L71" s="135">
        <v>71.400000000000006</v>
      </c>
      <c r="M71" s="96"/>
      <c r="N71" s="100">
        <v>7708</v>
      </c>
      <c r="O71" s="102">
        <v>55.9</v>
      </c>
      <c r="P71" s="100">
        <v>7671</v>
      </c>
      <c r="Q71" s="102">
        <v>59.3</v>
      </c>
      <c r="R71" s="100">
        <v>7499</v>
      </c>
      <c r="S71" s="101">
        <v>62.9</v>
      </c>
      <c r="T71" s="134">
        <v>7298</v>
      </c>
      <c r="U71" s="135">
        <v>67.599999999999994</v>
      </c>
      <c r="V71" s="270">
        <v>7631</v>
      </c>
      <c r="W71" s="271">
        <v>70.5</v>
      </c>
      <c r="Y71" s="136"/>
      <c r="Z71" s="136"/>
      <c r="AB71" s="136"/>
      <c r="AC71" s="136"/>
    </row>
    <row r="72" spans="1:29" ht="11.25" customHeight="1" x14ac:dyDescent="0.2">
      <c r="A72" s="125" t="s">
        <v>132</v>
      </c>
      <c r="B72" s="142" t="s">
        <v>133</v>
      </c>
      <c r="C72" s="100">
        <v>2606</v>
      </c>
      <c r="D72" s="87">
        <v>54.7</v>
      </c>
      <c r="E72" s="100">
        <v>2620</v>
      </c>
      <c r="F72" s="87">
        <v>61.9</v>
      </c>
      <c r="G72" s="100">
        <v>2389</v>
      </c>
      <c r="H72" s="101">
        <v>64.2</v>
      </c>
      <c r="I72" s="134">
        <v>2386</v>
      </c>
      <c r="J72" s="135">
        <v>58.6</v>
      </c>
      <c r="K72" s="134">
        <v>2543</v>
      </c>
      <c r="L72" s="135">
        <v>63.5</v>
      </c>
      <c r="M72" s="96"/>
      <c r="N72" s="100">
        <v>2653</v>
      </c>
      <c r="O72" s="102">
        <v>49.6</v>
      </c>
      <c r="P72" s="100">
        <v>2628</v>
      </c>
      <c r="Q72" s="102">
        <v>53.6</v>
      </c>
      <c r="R72" s="100">
        <v>2421</v>
      </c>
      <c r="S72" s="101">
        <v>52.9</v>
      </c>
      <c r="T72" s="134">
        <v>2396</v>
      </c>
      <c r="U72" s="135">
        <v>61.4</v>
      </c>
      <c r="V72" s="270">
        <v>2565</v>
      </c>
      <c r="W72" s="271">
        <v>60.7</v>
      </c>
      <c r="Y72" s="136"/>
      <c r="Z72" s="136"/>
      <c r="AB72" s="136"/>
      <c r="AC72" s="136"/>
    </row>
    <row r="73" spans="1:29" ht="11.25" customHeight="1" x14ac:dyDescent="0.2">
      <c r="A73" s="125" t="s">
        <v>134</v>
      </c>
      <c r="B73" s="142" t="s">
        <v>135</v>
      </c>
      <c r="C73" s="100">
        <v>8979</v>
      </c>
      <c r="D73" s="87">
        <v>59.7</v>
      </c>
      <c r="E73" s="100">
        <v>8981</v>
      </c>
      <c r="F73" s="87">
        <v>64.400000000000006</v>
      </c>
      <c r="G73" s="100">
        <v>8489</v>
      </c>
      <c r="H73" s="101">
        <v>70.3</v>
      </c>
      <c r="I73" s="134">
        <v>8446</v>
      </c>
      <c r="J73" s="135">
        <v>70.2</v>
      </c>
      <c r="K73" s="134">
        <v>8450</v>
      </c>
      <c r="L73" s="135">
        <v>71</v>
      </c>
      <c r="M73" s="96"/>
      <c r="N73" s="100">
        <v>9010</v>
      </c>
      <c r="O73" s="102">
        <v>51.9</v>
      </c>
      <c r="P73" s="100">
        <v>9000</v>
      </c>
      <c r="Q73" s="102">
        <v>56.2</v>
      </c>
      <c r="R73" s="100">
        <v>8530</v>
      </c>
      <c r="S73" s="101">
        <v>61.8</v>
      </c>
      <c r="T73" s="134">
        <v>8462</v>
      </c>
      <c r="U73" s="135">
        <v>66.2</v>
      </c>
      <c r="V73" s="270">
        <v>8446</v>
      </c>
      <c r="W73" s="271">
        <v>69.8</v>
      </c>
      <c r="Y73" s="136"/>
      <c r="Z73" s="136"/>
      <c r="AB73" s="136"/>
      <c r="AC73" s="136"/>
    </row>
    <row r="74" spans="1:29" ht="11.25" customHeight="1" x14ac:dyDescent="0.2">
      <c r="A74" s="125" t="s">
        <v>136</v>
      </c>
      <c r="B74" s="142" t="s">
        <v>137</v>
      </c>
      <c r="C74" s="100">
        <v>463</v>
      </c>
      <c r="D74" s="87">
        <v>71.7</v>
      </c>
      <c r="E74" s="100">
        <v>486</v>
      </c>
      <c r="F74" s="87">
        <v>72.8</v>
      </c>
      <c r="G74" s="100">
        <v>441</v>
      </c>
      <c r="H74" s="101">
        <v>83.2</v>
      </c>
      <c r="I74" s="134">
        <v>467</v>
      </c>
      <c r="J74" s="135">
        <v>59.7</v>
      </c>
      <c r="K74" s="134">
        <v>463</v>
      </c>
      <c r="L74" s="135">
        <v>69.099999999999994</v>
      </c>
      <c r="M74" s="96"/>
      <c r="N74" s="100">
        <v>464</v>
      </c>
      <c r="O74" s="102">
        <v>64.400000000000006</v>
      </c>
      <c r="P74" s="100">
        <v>488</v>
      </c>
      <c r="Q74" s="102">
        <v>68.2</v>
      </c>
      <c r="R74" s="100">
        <v>441</v>
      </c>
      <c r="S74" s="101">
        <v>68</v>
      </c>
      <c r="T74" s="134">
        <v>473</v>
      </c>
      <c r="U74" s="135">
        <v>66.8</v>
      </c>
      <c r="V74" s="270">
        <v>462</v>
      </c>
      <c r="W74" s="271">
        <v>81.8</v>
      </c>
      <c r="Y74" s="136"/>
      <c r="Z74" s="136"/>
      <c r="AB74" s="136"/>
      <c r="AC74" s="136"/>
    </row>
    <row r="75" spans="1:29" ht="11.25" customHeight="1" x14ac:dyDescent="0.2">
      <c r="A75" s="3"/>
      <c r="B75" s="142"/>
      <c r="C75" s="100"/>
      <c r="D75" s="102"/>
      <c r="E75" s="100"/>
      <c r="F75" s="102"/>
      <c r="G75" s="100"/>
      <c r="H75" s="101"/>
      <c r="M75" s="96"/>
      <c r="N75" s="100"/>
      <c r="O75" s="102"/>
      <c r="P75" s="100"/>
      <c r="Q75" s="102"/>
      <c r="R75" s="100"/>
      <c r="S75" s="101"/>
      <c r="V75" s="272"/>
      <c r="W75" s="272"/>
      <c r="Y75" s="136"/>
      <c r="Z75" s="136"/>
      <c r="AB75" s="136"/>
      <c r="AC75" s="136"/>
    </row>
    <row r="76" spans="1:29" s="98" customFormat="1" ht="11.25" customHeight="1" x14ac:dyDescent="0.2">
      <c r="A76" s="17" t="s">
        <v>386</v>
      </c>
      <c r="B76" s="92" t="s">
        <v>138</v>
      </c>
      <c r="C76" s="93">
        <v>61951</v>
      </c>
      <c r="D76" s="94">
        <v>64.7</v>
      </c>
      <c r="E76" s="93">
        <v>61916</v>
      </c>
      <c r="F76" s="94">
        <v>70.900000000000006</v>
      </c>
      <c r="G76" s="93">
        <v>59918</v>
      </c>
      <c r="H76" s="95">
        <v>72.599999999999994</v>
      </c>
      <c r="I76" s="93">
        <v>60428</v>
      </c>
      <c r="J76" s="95">
        <v>69.599999999999994</v>
      </c>
      <c r="K76" s="93">
        <v>61585</v>
      </c>
      <c r="L76" s="95">
        <v>71.400000000000006</v>
      </c>
      <c r="M76" s="96"/>
      <c r="N76" s="93">
        <v>62027</v>
      </c>
      <c r="O76" s="97">
        <v>56.8</v>
      </c>
      <c r="P76" s="93">
        <v>62120</v>
      </c>
      <c r="Q76" s="97">
        <v>61.3</v>
      </c>
      <c r="R76" s="93">
        <v>60015</v>
      </c>
      <c r="S76" s="95">
        <v>64.400000000000006</v>
      </c>
      <c r="T76" s="93">
        <v>60625</v>
      </c>
      <c r="U76" s="95">
        <v>68.7</v>
      </c>
      <c r="V76" s="268">
        <v>61793</v>
      </c>
      <c r="W76" s="269">
        <v>70.2</v>
      </c>
      <c r="Y76" s="136"/>
      <c r="Z76" s="136"/>
      <c r="AB76" s="136"/>
      <c r="AC76" s="136"/>
    </row>
    <row r="77" spans="1:29" ht="11.25" customHeight="1" x14ac:dyDescent="0.2">
      <c r="A77" s="125" t="s">
        <v>139</v>
      </c>
      <c r="B77" s="142" t="s">
        <v>140</v>
      </c>
      <c r="C77" s="100">
        <v>11518</v>
      </c>
      <c r="D77" s="87">
        <v>64.900000000000006</v>
      </c>
      <c r="E77" s="100">
        <v>11514</v>
      </c>
      <c r="F77" s="87">
        <v>72.599999999999994</v>
      </c>
      <c r="G77" s="100">
        <v>11322</v>
      </c>
      <c r="H77" s="101">
        <v>74.599999999999994</v>
      </c>
      <c r="I77" s="134">
        <v>11609</v>
      </c>
      <c r="J77" s="135">
        <v>73</v>
      </c>
      <c r="K77" s="134">
        <v>11763</v>
      </c>
      <c r="L77" s="135">
        <v>73.5</v>
      </c>
      <c r="M77" s="96"/>
      <c r="N77" s="100">
        <v>11566</v>
      </c>
      <c r="O77" s="102">
        <v>56.9</v>
      </c>
      <c r="P77" s="100">
        <v>11567</v>
      </c>
      <c r="Q77" s="102">
        <v>63.4</v>
      </c>
      <c r="R77" s="100">
        <v>11339</v>
      </c>
      <c r="S77" s="101">
        <v>67.2</v>
      </c>
      <c r="T77" s="134">
        <v>11637</v>
      </c>
      <c r="U77" s="135">
        <v>71.2</v>
      </c>
      <c r="V77" s="270">
        <v>11837</v>
      </c>
      <c r="W77" s="271">
        <v>72.599999999999994</v>
      </c>
      <c r="Y77" s="136"/>
      <c r="Z77" s="136"/>
      <c r="AB77" s="136"/>
      <c r="AC77" s="136"/>
    </row>
    <row r="78" spans="1:29" ht="11.25" customHeight="1" x14ac:dyDescent="0.2">
      <c r="A78" s="125" t="s">
        <v>141</v>
      </c>
      <c r="B78" s="142" t="s">
        <v>142</v>
      </c>
      <c r="C78" s="100">
        <v>3308</v>
      </c>
      <c r="D78" s="87">
        <v>63.8</v>
      </c>
      <c r="E78" s="100">
        <v>3398</v>
      </c>
      <c r="F78" s="87">
        <v>69.900000000000006</v>
      </c>
      <c r="G78" s="100">
        <v>3196</v>
      </c>
      <c r="H78" s="101">
        <v>70.8</v>
      </c>
      <c r="I78" s="134">
        <v>3332</v>
      </c>
      <c r="J78" s="135">
        <v>70.5</v>
      </c>
      <c r="K78" s="134">
        <v>3370</v>
      </c>
      <c r="L78" s="135">
        <v>71.3</v>
      </c>
      <c r="M78" s="96"/>
      <c r="N78" s="100">
        <v>3301</v>
      </c>
      <c r="O78" s="102">
        <v>55.8</v>
      </c>
      <c r="P78" s="100">
        <v>3424</v>
      </c>
      <c r="Q78" s="102">
        <v>60.1</v>
      </c>
      <c r="R78" s="100">
        <v>3219</v>
      </c>
      <c r="S78" s="101">
        <v>64.2</v>
      </c>
      <c r="T78" s="134">
        <v>3363</v>
      </c>
      <c r="U78" s="135">
        <v>71.099999999999994</v>
      </c>
      <c r="V78" s="270">
        <v>3397</v>
      </c>
      <c r="W78" s="271">
        <v>69.900000000000006</v>
      </c>
      <c r="Y78" s="136"/>
      <c r="Z78" s="136"/>
      <c r="AB78" s="136"/>
      <c r="AC78" s="136"/>
    </row>
    <row r="79" spans="1:29" ht="11.25" customHeight="1" x14ac:dyDescent="0.2">
      <c r="A79" s="125" t="s">
        <v>143</v>
      </c>
      <c r="B79" s="142" t="s">
        <v>144</v>
      </c>
      <c r="C79" s="100">
        <v>3856</v>
      </c>
      <c r="D79" s="87">
        <v>67.7</v>
      </c>
      <c r="E79" s="100">
        <v>3822</v>
      </c>
      <c r="F79" s="87">
        <v>73.3</v>
      </c>
      <c r="G79" s="100">
        <v>3666</v>
      </c>
      <c r="H79" s="101">
        <v>73.8</v>
      </c>
      <c r="I79" s="134">
        <v>3734</v>
      </c>
      <c r="J79" s="135">
        <v>68.099999999999994</v>
      </c>
      <c r="K79" s="134">
        <v>3773</v>
      </c>
      <c r="L79" s="135">
        <v>69.900000000000006</v>
      </c>
      <c r="M79" s="96"/>
      <c r="N79" s="100">
        <v>3859</v>
      </c>
      <c r="O79" s="102">
        <v>55.6</v>
      </c>
      <c r="P79" s="100">
        <v>3835</v>
      </c>
      <c r="Q79" s="102">
        <v>61.3</v>
      </c>
      <c r="R79" s="100">
        <v>3672</v>
      </c>
      <c r="S79" s="101">
        <v>63.9</v>
      </c>
      <c r="T79" s="134">
        <v>3753</v>
      </c>
      <c r="U79" s="135">
        <v>64.400000000000006</v>
      </c>
      <c r="V79" s="270">
        <v>3786</v>
      </c>
      <c r="W79" s="271">
        <v>67.900000000000006</v>
      </c>
      <c r="Y79" s="136"/>
      <c r="Z79" s="136"/>
      <c r="AB79" s="136"/>
      <c r="AC79" s="136"/>
    </row>
    <row r="80" spans="1:29" ht="11.25" customHeight="1" x14ac:dyDescent="0.2">
      <c r="A80" s="125" t="s">
        <v>355</v>
      </c>
      <c r="B80" s="142" t="s">
        <v>145</v>
      </c>
      <c r="C80" s="100">
        <v>1832</v>
      </c>
      <c r="D80" s="87">
        <v>67</v>
      </c>
      <c r="E80" s="100">
        <v>1842</v>
      </c>
      <c r="F80" s="87">
        <v>72.8</v>
      </c>
      <c r="G80" s="100">
        <v>1764</v>
      </c>
      <c r="H80" s="101">
        <v>76</v>
      </c>
      <c r="I80" s="134">
        <v>1754</v>
      </c>
      <c r="J80" s="135">
        <v>65.2</v>
      </c>
      <c r="K80" s="134">
        <v>1724</v>
      </c>
      <c r="L80" s="135">
        <v>66.2</v>
      </c>
      <c r="M80" s="96"/>
      <c r="N80" s="100">
        <v>1833</v>
      </c>
      <c r="O80" s="102">
        <v>63</v>
      </c>
      <c r="P80" s="100">
        <v>1834</v>
      </c>
      <c r="Q80" s="102">
        <v>65.3</v>
      </c>
      <c r="R80" s="100">
        <v>1767</v>
      </c>
      <c r="S80" s="101">
        <v>65.5</v>
      </c>
      <c r="T80" s="134">
        <v>1747</v>
      </c>
      <c r="U80" s="135">
        <v>71.5</v>
      </c>
      <c r="V80" s="270">
        <v>1719</v>
      </c>
      <c r="W80" s="271">
        <v>69.2</v>
      </c>
      <c r="Y80" s="136"/>
      <c r="Z80" s="136"/>
      <c r="AB80" s="136"/>
      <c r="AC80" s="136"/>
    </row>
    <row r="81" spans="1:29" ht="11.25" customHeight="1" x14ac:dyDescent="0.2">
      <c r="A81" s="125" t="s">
        <v>146</v>
      </c>
      <c r="B81" s="142" t="s">
        <v>147</v>
      </c>
      <c r="C81" s="100">
        <v>3450</v>
      </c>
      <c r="D81" s="87">
        <v>54.8</v>
      </c>
      <c r="E81" s="100">
        <v>3408</v>
      </c>
      <c r="F81" s="87">
        <v>62.5</v>
      </c>
      <c r="G81" s="100">
        <v>3394</v>
      </c>
      <c r="H81" s="101">
        <v>68.3</v>
      </c>
      <c r="I81" s="134">
        <v>3513</v>
      </c>
      <c r="J81" s="135">
        <v>65.3</v>
      </c>
      <c r="K81" s="134">
        <v>3537</v>
      </c>
      <c r="L81" s="135">
        <v>69.3</v>
      </c>
      <c r="M81" s="96"/>
      <c r="N81" s="100">
        <v>3457</v>
      </c>
      <c r="O81" s="102">
        <v>46.7</v>
      </c>
      <c r="P81" s="100">
        <v>3425</v>
      </c>
      <c r="Q81" s="102">
        <v>50.4</v>
      </c>
      <c r="R81" s="100">
        <v>3415</v>
      </c>
      <c r="S81" s="101">
        <v>56.7</v>
      </c>
      <c r="T81" s="134">
        <v>3542</v>
      </c>
      <c r="U81" s="135">
        <v>65.3</v>
      </c>
      <c r="V81" s="270">
        <v>3568</v>
      </c>
      <c r="W81" s="271">
        <v>63.9</v>
      </c>
      <c r="Y81" s="136"/>
      <c r="Z81" s="136"/>
      <c r="AB81" s="136"/>
      <c r="AC81" s="136"/>
    </row>
    <row r="82" spans="1:29" ht="11.25" customHeight="1" x14ac:dyDescent="0.2">
      <c r="A82" s="125" t="s">
        <v>148</v>
      </c>
      <c r="B82" s="142" t="s">
        <v>149</v>
      </c>
      <c r="C82" s="100">
        <v>3081</v>
      </c>
      <c r="D82" s="87">
        <v>69.3</v>
      </c>
      <c r="E82" s="100">
        <v>3164</v>
      </c>
      <c r="F82" s="87">
        <v>69.7</v>
      </c>
      <c r="G82" s="100">
        <v>3067</v>
      </c>
      <c r="H82" s="101">
        <v>70.5</v>
      </c>
      <c r="I82" s="134">
        <v>2994</v>
      </c>
      <c r="J82" s="135">
        <v>66.099999999999994</v>
      </c>
      <c r="K82" s="134">
        <v>3129</v>
      </c>
      <c r="L82" s="135">
        <v>68.2</v>
      </c>
      <c r="M82" s="96"/>
      <c r="N82" s="100">
        <v>3109</v>
      </c>
      <c r="O82" s="102">
        <v>65.900000000000006</v>
      </c>
      <c r="P82" s="100">
        <v>3174</v>
      </c>
      <c r="Q82" s="102">
        <v>68.099999999999994</v>
      </c>
      <c r="R82" s="100">
        <v>3060</v>
      </c>
      <c r="S82" s="101">
        <v>67.2</v>
      </c>
      <c r="T82" s="134">
        <v>2990</v>
      </c>
      <c r="U82" s="135">
        <v>70</v>
      </c>
      <c r="V82" s="270">
        <v>3135</v>
      </c>
      <c r="W82" s="271">
        <v>71.599999999999994</v>
      </c>
      <c r="Y82" s="136"/>
      <c r="Z82" s="136"/>
      <c r="AB82" s="136"/>
      <c r="AC82" s="136"/>
    </row>
    <row r="83" spans="1:29" ht="11.25" customHeight="1" x14ac:dyDescent="0.2">
      <c r="A83" s="125" t="s">
        <v>150</v>
      </c>
      <c r="B83" s="142" t="s">
        <v>151</v>
      </c>
      <c r="C83" s="100">
        <v>3008</v>
      </c>
      <c r="D83" s="87">
        <v>69.2</v>
      </c>
      <c r="E83" s="100">
        <v>3005</v>
      </c>
      <c r="F83" s="87">
        <v>75.3</v>
      </c>
      <c r="G83" s="100">
        <v>2937</v>
      </c>
      <c r="H83" s="101">
        <v>75.5</v>
      </c>
      <c r="I83" s="134">
        <v>2971</v>
      </c>
      <c r="J83" s="135">
        <v>71.7</v>
      </c>
      <c r="K83" s="134">
        <v>2955</v>
      </c>
      <c r="L83" s="135">
        <v>75.599999999999994</v>
      </c>
      <c r="M83" s="96"/>
      <c r="N83" s="100">
        <v>3013</v>
      </c>
      <c r="O83" s="102">
        <v>57.1</v>
      </c>
      <c r="P83" s="100">
        <v>3008</v>
      </c>
      <c r="Q83" s="102">
        <v>61.6</v>
      </c>
      <c r="R83" s="100">
        <v>2937</v>
      </c>
      <c r="S83" s="101">
        <v>63.5</v>
      </c>
      <c r="T83" s="134">
        <v>2977</v>
      </c>
      <c r="U83" s="135">
        <v>68.8</v>
      </c>
      <c r="V83" s="270">
        <v>2964</v>
      </c>
      <c r="W83" s="271">
        <v>72.3</v>
      </c>
      <c r="Y83" s="136"/>
      <c r="Z83" s="136"/>
      <c r="AB83" s="136"/>
      <c r="AC83" s="136"/>
    </row>
    <row r="84" spans="1:29" ht="11.25" customHeight="1" x14ac:dyDescent="0.2">
      <c r="A84" s="125" t="s">
        <v>152</v>
      </c>
      <c r="B84" s="142" t="s">
        <v>153</v>
      </c>
      <c r="C84" s="100">
        <v>9460</v>
      </c>
      <c r="D84" s="87">
        <v>67.099999999999994</v>
      </c>
      <c r="E84" s="100">
        <v>9455</v>
      </c>
      <c r="F84" s="87">
        <v>72.7</v>
      </c>
      <c r="G84" s="100">
        <v>9026</v>
      </c>
      <c r="H84" s="101">
        <v>72.3</v>
      </c>
      <c r="I84" s="134">
        <v>9208</v>
      </c>
      <c r="J84" s="135">
        <v>69.2</v>
      </c>
      <c r="K84" s="134">
        <v>9345</v>
      </c>
      <c r="L84" s="135">
        <v>69.900000000000006</v>
      </c>
      <c r="M84" s="96"/>
      <c r="N84" s="100">
        <v>9427</v>
      </c>
      <c r="O84" s="102">
        <v>60.1</v>
      </c>
      <c r="P84" s="100">
        <v>9468</v>
      </c>
      <c r="Q84" s="102">
        <v>61</v>
      </c>
      <c r="R84" s="100">
        <v>9025</v>
      </c>
      <c r="S84" s="101">
        <v>63.1</v>
      </c>
      <c r="T84" s="134">
        <v>9235</v>
      </c>
      <c r="U84" s="135">
        <v>67.8</v>
      </c>
      <c r="V84" s="270">
        <v>9346</v>
      </c>
      <c r="W84" s="271">
        <v>69.2</v>
      </c>
      <c r="Y84" s="136"/>
      <c r="Z84" s="136"/>
      <c r="AB84" s="136"/>
      <c r="AC84" s="136"/>
    </row>
    <row r="85" spans="1:29" ht="11.25" customHeight="1" x14ac:dyDescent="0.2">
      <c r="A85" s="125" t="s">
        <v>154</v>
      </c>
      <c r="B85" s="142" t="s">
        <v>155</v>
      </c>
      <c r="C85" s="100">
        <v>2573</v>
      </c>
      <c r="D85" s="87">
        <v>60.6</v>
      </c>
      <c r="E85" s="100">
        <v>2482</v>
      </c>
      <c r="F85" s="87">
        <v>68.400000000000006</v>
      </c>
      <c r="G85" s="100">
        <v>2448</v>
      </c>
      <c r="H85" s="101">
        <v>66.7</v>
      </c>
      <c r="I85" s="134">
        <v>2291</v>
      </c>
      <c r="J85" s="135">
        <v>67.3</v>
      </c>
      <c r="K85" s="134">
        <v>2494</v>
      </c>
      <c r="L85" s="135">
        <v>64.7</v>
      </c>
      <c r="M85" s="96"/>
      <c r="N85" s="100">
        <v>2585</v>
      </c>
      <c r="O85" s="102">
        <v>44.6</v>
      </c>
      <c r="P85" s="100">
        <v>2483</v>
      </c>
      <c r="Q85" s="102">
        <v>51.9</v>
      </c>
      <c r="R85" s="100">
        <v>2440</v>
      </c>
      <c r="S85" s="101">
        <v>53.9</v>
      </c>
      <c r="T85" s="134">
        <v>2300</v>
      </c>
      <c r="U85" s="135">
        <v>56.5</v>
      </c>
      <c r="V85" s="270">
        <v>2496</v>
      </c>
      <c r="W85" s="271">
        <v>59.3</v>
      </c>
      <c r="Y85" s="136"/>
      <c r="Z85" s="136"/>
      <c r="AB85" s="136"/>
      <c r="AC85" s="136"/>
    </row>
    <row r="86" spans="1:29" ht="11.25" customHeight="1" x14ac:dyDescent="0.2">
      <c r="A86" s="125" t="s">
        <v>156</v>
      </c>
      <c r="B86" s="142" t="s">
        <v>157</v>
      </c>
      <c r="C86" s="100">
        <v>2042</v>
      </c>
      <c r="D86" s="87">
        <v>59.6</v>
      </c>
      <c r="E86" s="100">
        <v>2051</v>
      </c>
      <c r="F86" s="87">
        <v>67.599999999999994</v>
      </c>
      <c r="G86" s="100">
        <v>1940</v>
      </c>
      <c r="H86" s="101">
        <v>67.599999999999994</v>
      </c>
      <c r="I86" s="134">
        <v>1901</v>
      </c>
      <c r="J86" s="135">
        <v>67.099999999999994</v>
      </c>
      <c r="K86" s="134">
        <v>1991</v>
      </c>
      <c r="L86" s="135">
        <v>69.900000000000006</v>
      </c>
      <c r="M86" s="96"/>
      <c r="N86" s="100">
        <v>2048</v>
      </c>
      <c r="O86" s="102">
        <v>55.9</v>
      </c>
      <c r="P86" s="100">
        <v>2054</v>
      </c>
      <c r="Q86" s="102">
        <v>62.7</v>
      </c>
      <c r="R86" s="100">
        <v>1947</v>
      </c>
      <c r="S86" s="101">
        <v>64</v>
      </c>
      <c r="T86" s="134">
        <v>1909</v>
      </c>
      <c r="U86" s="135">
        <v>70.5</v>
      </c>
      <c r="V86" s="270">
        <v>1995</v>
      </c>
      <c r="W86" s="271">
        <v>68.3</v>
      </c>
      <c r="Y86" s="136"/>
      <c r="Z86" s="136"/>
      <c r="AB86" s="136"/>
      <c r="AC86" s="136"/>
    </row>
    <row r="87" spans="1:29" ht="11.25" customHeight="1" x14ac:dyDescent="0.2">
      <c r="A87" s="125" t="s">
        <v>158</v>
      </c>
      <c r="B87" s="142" t="s">
        <v>159</v>
      </c>
      <c r="C87" s="100">
        <v>3580</v>
      </c>
      <c r="D87" s="87">
        <v>58.1</v>
      </c>
      <c r="E87" s="100">
        <v>3468</v>
      </c>
      <c r="F87" s="87">
        <v>64.5</v>
      </c>
      <c r="G87" s="100">
        <v>3317</v>
      </c>
      <c r="H87" s="101">
        <v>68.900000000000006</v>
      </c>
      <c r="I87" s="134">
        <v>3258</v>
      </c>
      <c r="J87" s="135">
        <v>62.2</v>
      </c>
      <c r="K87" s="134">
        <v>3339</v>
      </c>
      <c r="L87" s="135">
        <v>66.900000000000006</v>
      </c>
      <c r="M87" s="96"/>
      <c r="N87" s="100">
        <v>3574</v>
      </c>
      <c r="O87" s="102">
        <v>50.4</v>
      </c>
      <c r="P87" s="100">
        <v>3478</v>
      </c>
      <c r="Q87" s="102">
        <v>54.8</v>
      </c>
      <c r="R87" s="100">
        <v>3328</v>
      </c>
      <c r="S87" s="101">
        <v>61</v>
      </c>
      <c r="T87" s="134">
        <v>3273</v>
      </c>
      <c r="U87" s="135">
        <v>66.7</v>
      </c>
      <c r="V87" s="270">
        <v>3350</v>
      </c>
      <c r="W87" s="271">
        <v>67.3</v>
      </c>
      <c r="Y87" s="136"/>
      <c r="Z87" s="136"/>
      <c r="AB87" s="136"/>
      <c r="AC87" s="136"/>
    </row>
    <row r="88" spans="1:29" ht="11.25" customHeight="1" x14ac:dyDescent="0.2">
      <c r="A88" s="125" t="s">
        <v>160</v>
      </c>
      <c r="B88" s="142" t="s">
        <v>161</v>
      </c>
      <c r="C88" s="100">
        <v>5713</v>
      </c>
      <c r="D88" s="87">
        <v>68.5</v>
      </c>
      <c r="E88" s="100">
        <v>5899</v>
      </c>
      <c r="F88" s="87">
        <v>74.8</v>
      </c>
      <c r="G88" s="100">
        <v>5715</v>
      </c>
      <c r="H88" s="101">
        <v>75.900000000000006</v>
      </c>
      <c r="I88" s="134">
        <v>5643</v>
      </c>
      <c r="J88" s="135">
        <v>72.3</v>
      </c>
      <c r="K88" s="134">
        <v>5819</v>
      </c>
      <c r="L88" s="135">
        <v>75.400000000000006</v>
      </c>
      <c r="M88" s="96"/>
      <c r="N88" s="100">
        <v>5724</v>
      </c>
      <c r="O88" s="102">
        <v>62.1</v>
      </c>
      <c r="P88" s="100">
        <v>5917</v>
      </c>
      <c r="Q88" s="102">
        <v>65.8</v>
      </c>
      <c r="R88" s="100">
        <v>5737</v>
      </c>
      <c r="S88" s="101">
        <v>67</v>
      </c>
      <c r="T88" s="134">
        <v>5661</v>
      </c>
      <c r="U88" s="135">
        <v>69.8</v>
      </c>
      <c r="V88" s="270">
        <v>5832</v>
      </c>
      <c r="W88" s="271">
        <v>73.099999999999994</v>
      </c>
      <c r="Y88" s="136"/>
      <c r="Z88" s="136"/>
      <c r="AB88" s="136"/>
      <c r="AC88" s="136"/>
    </row>
    <row r="89" spans="1:29" ht="11.25" customHeight="1" x14ac:dyDescent="0.2">
      <c r="A89" s="125" t="s">
        <v>162</v>
      </c>
      <c r="B89" s="142" t="s">
        <v>163</v>
      </c>
      <c r="C89" s="100">
        <v>2598</v>
      </c>
      <c r="D89" s="87">
        <v>61.7</v>
      </c>
      <c r="E89" s="100">
        <v>2575</v>
      </c>
      <c r="F89" s="87">
        <v>66.7</v>
      </c>
      <c r="G89" s="100">
        <v>2391</v>
      </c>
      <c r="H89" s="101">
        <v>73.5</v>
      </c>
      <c r="I89" s="134">
        <v>2456</v>
      </c>
      <c r="J89" s="135">
        <v>71.599999999999994</v>
      </c>
      <c r="K89" s="134">
        <v>2493</v>
      </c>
      <c r="L89" s="135">
        <v>72.599999999999994</v>
      </c>
      <c r="M89" s="96"/>
      <c r="N89" s="100">
        <v>2605</v>
      </c>
      <c r="O89" s="102">
        <v>53.8</v>
      </c>
      <c r="P89" s="100">
        <v>2605</v>
      </c>
      <c r="Q89" s="102">
        <v>61.2</v>
      </c>
      <c r="R89" s="100">
        <v>2384</v>
      </c>
      <c r="S89" s="101">
        <v>65.900000000000006</v>
      </c>
      <c r="T89" s="134">
        <v>2452</v>
      </c>
      <c r="U89" s="135">
        <v>66.8</v>
      </c>
      <c r="V89" s="270">
        <v>2504</v>
      </c>
      <c r="W89" s="271">
        <v>73.099999999999994</v>
      </c>
      <c r="Y89" s="136"/>
      <c r="Z89" s="136"/>
      <c r="AB89" s="136"/>
      <c r="AC89" s="136"/>
    </row>
    <row r="90" spans="1:29" ht="11.25" customHeight="1" x14ac:dyDescent="0.2">
      <c r="A90" s="125" t="s">
        <v>164</v>
      </c>
      <c r="B90" s="142" t="s">
        <v>165</v>
      </c>
      <c r="C90" s="100">
        <v>5932</v>
      </c>
      <c r="D90" s="87">
        <v>64.8</v>
      </c>
      <c r="E90" s="100">
        <v>5833</v>
      </c>
      <c r="F90" s="87">
        <v>70.5</v>
      </c>
      <c r="G90" s="100">
        <v>5735</v>
      </c>
      <c r="H90" s="101">
        <v>73.5</v>
      </c>
      <c r="I90" s="134">
        <v>5764</v>
      </c>
      <c r="J90" s="135">
        <v>71.400000000000006</v>
      </c>
      <c r="K90" s="134">
        <v>5853</v>
      </c>
      <c r="L90" s="135">
        <v>74.5</v>
      </c>
      <c r="M90" s="96"/>
      <c r="N90" s="100">
        <v>5926</v>
      </c>
      <c r="O90" s="102">
        <v>57.4</v>
      </c>
      <c r="P90" s="100">
        <v>5848</v>
      </c>
      <c r="Q90" s="102">
        <v>62.9</v>
      </c>
      <c r="R90" s="100">
        <v>5745</v>
      </c>
      <c r="S90" s="101">
        <v>68.099999999999994</v>
      </c>
      <c r="T90" s="134">
        <v>5786</v>
      </c>
      <c r="U90" s="135">
        <v>72.7</v>
      </c>
      <c r="V90" s="270">
        <v>5864</v>
      </c>
      <c r="W90" s="271">
        <v>74</v>
      </c>
      <c r="Y90" s="136"/>
      <c r="Z90" s="136"/>
      <c r="AB90" s="136"/>
      <c r="AC90" s="136"/>
    </row>
    <row r="91" spans="1:29" ht="11.25" customHeight="1" x14ac:dyDescent="0.2">
      <c r="A91" s="3"/>
      <c r="B91" s="142"/>
      <c r="C91" s="100"/>
      <c r="D91" s="102"/>
      <c r="E91" s="100"/>
      <c r="F91" s="102"/>
      <c r="G91" s="100"/>
      <c r="H91" s="101"/>
      <c r="M91" s="96"/>
      <c r="N91" s="100"/>
      <c r="O91" s="102"/>
      <c r="P91" s="100"/>
      <c r="Q91" s="102"/>
      <c r="R91" s="100"/>
      <c r="S91" s="101"/>
      <c r="V91" s="272"/>
      <c r="W91" s="272"/>
      <c r="Y91" s="136"/>
      <c r="Z91" s="136"/>
      <c r="AB91" s="136"/>
      <c r="AC91" s="136"/>
    </row>
    <row r="92" spans="1:29" s="98" customFormat="1" ht="11.25" customHeight="1" x14ac:dyDescent="0.2">
      <c r="A92" s="17" t="s">
        <v>383</v>
      </c>
      <c r="B92" s="92" t="s">
        <v>166</v>
      </c>
      <c r="C92" s="93">
        <v>62625</v>
      </c>
      <c r="D92" s="94">
        <v>66.7</v>
      </c>
      <c r="E92" s="93">
        <v>63200</v>
      </c>
      <c r="F92" s="94">
        <v>71.3</v>
      </c>
      <c r="G92" s="93">
        <v>61371</v>
      </c>
      <c r="H92" s="95">
        <v>72.900000000000006</v>
      </c>
      <c r="I92" s="93">
        <v>60815</v>
      </c>
      <c r="J92" s="95">
        <v>67.599999999999994</v>
      </c>
      <c r="K92" s="93">
        <v>62172</v>
      </c>
      <c r="L92" s="95">
        <v>70.099999999999994</v>
      </c>
      <c r="M92" s="96"/>
      <c r="N92" s="93">
        <v>62639</v>
      </c>
      <c r="O92" s="97">
        <v>62.3</v>
      </c>
      <c r="P92" s="93">
        <v>63295</v>
      </c>
      <c r="Q92" s="97">
        <v>65.5</v>
      </c>
      <c r="R92" s="93">
        <v>61416</v>
      </c>
      <c r="S92" s="95">
        <v>68.5</v>
      </c>
      <c r="T92" s="93">
        <v>60997</v>
      </c>
      <c r="U92" s="95">
        <v>70.900000000000006</v>
      </c>
      <c r="V92" s="268">
        <v>62341</v>
      </c>
      <c r="W92" s="269">
        <v>72.7</v>
      </c>
      <c r="Y92" s="136"/>
      <c r="Z92" s="136"/>
      <c r="AB92" s="136"/>
      <c r="AC92" s="136"/>
    </row>
    <row r="93" spans="1:29" ht="11.25" customHeight="1" x14ac:dyDescent="0.2">
      <c r="A93" s="125" t="s">
        <v>167</v>
      </c>
      <c r="B93" s="126" t="s">
        <v>168</v>
      </c>
      <c r="C93" s="100">
        <v>1737</v>
      </c>
      <c r="D93" s="87">
        <v>66.7</v>
      </c>
      <c r="E93" s="100">
        <v>1743</v>
      </c>
      <c r="F93" s="87">
        <v>70.3</v>
      </c>
      <c r="G93" s="100">
        <v>1686</v>
      </c>
      <c r="H93" s="101">
        <v>76.599999999999994</v>
      </c>
      <c r="I93" s="134">
        <v>1732</v>
      </c>
      <c r="J93" s="135">
        <v>67.099999999999994</v>
      </c>
      <c r="K93" s="134">
        <v>1785</v>
      </c>
      <c r="L93" s="135">
        <v>71.3</v>
      </c>
      <c r="M93" s="96"/>
      <c r="N93" s="100">
        <v>1728</v>
      </c>
      <c r="O93" s="102">
        <v>62.7</v>
      </c>
      <c r="P93" s="100">
        <v>1730</v>
      </c>
      <c r="Q93" s="102">
        <v>63.6</v>
      </c>
      <c r="R93" s="100">
        <v>1693</v>
      </c>
      <c r="S93" s="101">
        <v>66.599999999999994</v>
      </c>
      <c r="T93" s="134">
        <v>1743</v>
      </c>
      <c r="U93" s="135">
        <v>71</v>
      </c>
      <c r="V93" s="270">
        <v>1791</v>
      </c>
      <c r="W93" s="271">
        <v>72.599999999999994</v>
      </c>
      <c r="Y93" s="136"/>
      <c r="Z93" s="136"/>
      <c r="AB93" s="136"/>
      <c r="AC93" s="136"/>
    </row>
    <row r="94" spans="1:29" ht="11.25" customHeight="1" x14ac:dyDescent="0.2">
      <c r="A94" s="125" t="s">
        <v>169</v>
      </c>
      <c r="B94" s="142" t="s">
        <v>170</v>
      </c>
      <c r="C94" s="100">
        <v>5605</v>
      </c>
      <c r="D94" s="87">
        <v>70.2</v>
      </c>
      <c r="E94" s="100">
        <v>5835</v>
      </c>
      <c r="F94" s="87">
        <v>72.599999999999994</v>
      </c>
      <c r="G94" s="100">
        <v>5700</v>
      </c>
      <c r="H94" s="101">
        <v>73.400000000000006</v>
      </c>
      <c r="I94" s="134">
        <v>5624</v>
      </c>
      <c r="J94" s="135">
        <v>69.099999999999994</v>
      </c>
      <c r="K94" s="134">
        <v>5779</v>
      </c>
      <c r="L94" s="135">
        <v>72.099999999999994</v>
      </c>
      <c r="M94" s="96"/>
      <c r="N94" s="100">
        <v>5605</v>
      </c>
      <c r="O94" s="102">
        <v>65.7</v>
      </c>
      <c r="P94" s="100">
        <v>5846</v>
      </c>
      <c r="Q94" s="102">
        <v>69.8</v>
      </c>
      <c r="R94" s="100">
        <v>5711</v>
      </c>
      <c r="S94" s="101">
        <v>67.599999999999994</v>
      </c>
      <c r="T94" s="134">
        <v>5640</v>
      </c>
      <c r="U94" s="135">
        <v>67.099999999999994</v>
      </c>
      <c r="V94" s="270">
        <v>5791</v>
      </c>
      <c r="W94" s="271">
        <v>74.5</v>
      </c>
      <c r="Y94" s="136"/>
      <c r="Z94" s="136"/>
      <c r="AB94" s="136"/>
      <c r="AC94" s="136"/>
    </row>
    <row r="95" spans="1:29" ht="11.25" customHeight="1" x14ac:dyDescent="0.2">
      <c r="A95" s="125" t="s">
        <v>171</v>
      </c>
      <c r="B95" s="126" t="s">
        <v>172</v>
      </c>
      <c r="C95" s="100">
        <v>2769</v>
      </c>
      <c r="D95" s="87">
        <v>64.599999999999994</v>
      </c>
      <c r="E95" s="100">
        <v>2882</v>
      </c>
      <c r="F95" s="87">
        <v>68.900000000000006</v>
      </c>
      <c r="G95" s="100">
        <v>2725</v>
      </c>
      <c r="H95" s="101">
        <v>72.5</v>
      </c>
      <c r="I95" s="134">
        <v>2806</v>
      </c>
      <c r="J95" s="135">
        <v>65.099999999999994</v>
      </c>
      <c r="K95" s="134">
        <v>2738</v>
      </c>
      <c r="L95" s="135">
        <v>65.5</v>
      </c>
      <c r="M95" s="96"/>
      <c r="N95" s="100">
        <v>2773</v>
      </c>
      <c r="O95" s="102">
        <v>59.6</v>
      </c>
      <c r="P95" s="100">
        <v>2893</v>
      </c>
      <c r="Q95" s="102">
        <v>63.8</v>
      </c>
      <c r="R95" s="100">
        <v>2724</v>
      </c>
      <c r="S95" s="101">
        <v>66.8</v>
      </c>
      <c r="T95" s="134">
        <v>2806</v>
      </c>
      <c r="U95" s="135">
        <v>70.2</v>
      </c>
      <c r="V95" s="270">
        <v>2738</v>
      </c>
      <c r="W95" s="271">
        <v>71.900000000000006</v>
      </c>
      <c r="Y95" s="136"/>
      <c r="Z95" s="136"/>
      <c r="AB95" s="136"/>
      <c r="AC95" s="136"/>
    </row>
    <row r="96" spans="1:29" ht="11.25" customHeight="1" x14ac:dyDescent="0.2">
      <c r="A96" s="125" t="s">
        <v>173</v>
      </c>
      <c r="B96" s="142" t="s">
        <v>174</v>
      </c>
      <c r="C96" s="100">
        <v>15638</v>
      </c>
      <c r="D96" s="87">
        <v>64</v>
      </c>
      <c r="E96" s="100">
        <v>15703</v>
      </c>
      <c r="F96" s="87">
        <v>69.5</v>
      </c>
      <c r="G96" s="100">
        <v>15102</v>
      </c>
      <c r="H96" s="101">
        <v>72.400000000000006</v>
      </c>
      <c r="I96" s="134">
        <v>14953</v>
      </c>
      <c r="J96" s="135">
        <v>67.3</v>
      </c>
      <c r="K96" s="134">
        <v>15115</v>
      </c>
      <c r="L96" s="135">
        <v>70.099999999999994</v>
      </c>
      <c r="M96" s="96"/>
      <c r="N96" s="100">
        <v>15605</v>
      </c>
      <c r="O96" s="102">
        <v>59.3</v>
      </c>
      <c r="P96" s="100">
        <v>15737</v>
      </c>
      <c r="Q96" s="102">
        <v>62.6</v>
      </c>
      <c r="R96" s="100">
        <v>15094</v>
      </c>
      <c r="S96" s="101">
        <v>67.099999999999994</v>
      </c>
      <c r="T96" s="134">
        <v>14984</v>
      </c>
      <c r="U96" s="135">
        <v>71.8</v>
      </c>
      <c r="V96" s="270">
        <v>15134</v>
      </c>
      <c r="W96" s="271">
        <v>72.599999999999994</v>
      </c>
      <c r="Y96" s="136"/>
      <c r="Z96" s="136"/>
      <c r="AB96" s="136"/>
      <c r="AC96" s="136"/>
    </row>
    <row r="97" spans="1:29" ht="11.25" customHeight="1" x14ac:dyDescent="0.2">
      <c r="A97" s="125" t="s">
        <v>175</v>
      </c>
      <c r="B97" s="142" t="s">
        <v>176</v>
      </c>
      <c r="C97" s="100">
        <v>12470</v>
      </c>
      <c r="D97" s="87">
        <v>71.7</v>
      </c>
      <c r="E97" s="100">
        <v>12553</v>
      </c>
      <c r="F97" s="87">
        <v>76.7</v>
      </c>
      <c r="G97" s="100">
        <v>12341</v>
      </c>
      <c r="H97" s="101">
        <v>77.2</v>
      </c>
      <c r="I97" s="134">
        <v>12105</v>
      </c>
      <c r="J97" s="135">
        <v>71.2</v>
      </c>
      <c r="K97" s="134">
        <v>12438</v>
      </c>
      <c r="L97" s="135">
        <v>73.5</v>
      </c>
      <c r="M97" s="96"/>
      <c r="N97" s="100">
        <v>12490</v>
      </c>
      <c r="O97" s="102">
        <v>67.900000000000006</v>
      </c>
      <c r="P97" s="100">
        <v>12580</v>
      </c>
      <c r="Q97" s="102">
        <v>71.900000000000006</v>
      </c>
      <c r="R97" s="100">
        <v>12373</v>
      </c>
      <c r="S97" s="101">
        <v>74.7</v>
      </c>
      <c r="T97" s="134">
        <v>12150</v>
      </c>
      <c r="U97" s="135">
        <v>76.900000000000006</v>
      </c>
      <c r="V97" s="270">
        <v>12506</v>
      </c>
      <c r="W97" s="271">
        <v>77.3</v>
      </c>
      <c r="Y97" s="136"/>
      <c r="Z97" s="136"/>
      <c r="AB97" s="136"/>
      <c r="AC97" s="136"/>
    </row>
    <row r="98" spans="1:29" ht="11.25" customHeight="1" x14ac:dyDescent="0.2">
      <c r="A98" s="125" t="s">
        <v>177</v>
      </c>
      <c r="B98" s="142" t="s">
        <v>178</v>
      </c>
      <c r="C98" s="100">
        <v>2237</v>
      </c>
      <c r="D98" s="87">
        <v>63.6</v>
      </c>
      <c r="E98" s="100">
        <v>2230</v>
      </c>
      <c r="F98" s="87">
        <v>71.5</v>
      </c>
      <c r="G98" s="100">
        <v>2205</v>
      </c>
      <c r="H98" s="101">
        <v>69.599999999999994</v>
      </c>
      <c r="I98" s="134">
        <v>2280</v>
      </c>
      <c r="J98" s="135">
        <v>70</v>
      </c>
      <c r="K98" s="134">
        <v>2297</v>
      </c>
      <c r="L98" s="135">
        <v>73.400000000000006</v>
      </c>
      <c r="M98" s="96"/>
      <c r="N98" s="100">
        <v>2269</v>
      </c>
      <c r="O98" s="102">
        <v>66.3</v>
      </c>
      <c r="P98" s="100">
        <v>2257</v>
      </c>
      <c r="Q98" s="102">
        <v>68.099999999999994</v>
      </c>
      <c r="R98" s="100">
        <v>2213</v>
      </c>
      <c r="S98" s="101">
        <v>71.8</v>
      </c>
      <c r="T98" s="134">
        <v>2300</v>
      </c>
      <c r="U98" s="135">
        <v>75.7</v>
      </c>
      <c r="V98" s="270">
        <v>2314</v>
      </c>
      <c r="W98" s="271">
        <v>76.400000000000006</v>
      </c>
      <c r="Y98" s="136"/>
      <c r="Z98" s="136"/>
      <c r="AB98" s="136"/>
      <c r="AC98" s="136"/>
    </row>
    <row r="99" spans="1:29" ht="11.25" customHeight="1" x14ac:dyDescent="0.2">
      <c r="A99" s="125" t="s">
        <v>179</v>
      </c>
      <c r="B99" s="142" t="s">
        <v>180</v>
      </c>
      <c r="C99" s="100">
        <v>8587</v>
      </c>
      <c r="D99" s="87">
        <v>65.2</v>
      </c>
      <c r="E99" s="100">
        <v>8770</v>
      </c>
      <c r="F99" s="87">
        <v>67.599999999999994</v>
      </c>
      <c r="G99" s="100">
        <v>8520</v>
      </c>
      <c r="H99" s="101">
        <v>70.099999999999994</v>
      </c>
      <c r="I99" s="134">
        <v>8278</v>
      </c>
      <c r="J99" s="135">
        <v>67.599999999999994</v>
      </c>
      <c r="K99" s="134">
        <v>8586</v>
      </c>
      <c r="L99" s="135">
        <v>67.099999999999994</v>
      </c>
      <c r="M99" s="96"/>
      <c r="N99" s="100">
        <v>8599</v>
      </c>
      <c r="O99" s="102">
        <v>62</v>
      </c>
      <c r="P99" s="100">
        <v>8775</v>
      </c>
      <c r="Q99" s="102">
        <v>64</v>
      </c>
      <c r="R99" s="100">
        <v>8532</v>
      </c>
      <c r="S99" s="101">
        <v>66.599999999999994</v>
      </c>
      <c r="T99" s="134">
        <v>8288</v>
      </c>
      <c r="U99" s="135">
        <v>68.599999999999994</v>
      </c>
      <c r="V99" s="270">
        <v>8615</v>
      </c>
      <c r="W99" s="271">
        <v>67.900000000000006</v>
      </c>
      <c r="Y99" s="136"/>
      <c r="Z99" s="136"/>
      <c r="AB99" s="136"/>
      <c r="AC99" s="136"/>
    </row>
    <row r="100" spans="1:29" ht="11.25" customHeight="1" x14ac:dyDescent="0.2">
      <c r="A100" s="125" t="s">
        <v>181</v>
      </c>
      <c r="B100" s="142" t="s">
        <v>182</v>
      </c>
      <c r="C100" s="100">
        <v>2145</v>
      </c>
      <c r="D100" s="87">
        <v>55.9</v>
      </c>
      <c r="E100" s="100">
        <v>2113</v>
      </c>
      <c r="F100" s="87">
        <v>64.099999999999994</v>
      </c>
      <c r="G100" s="100">
        <v>2058</v>
      </c>
      <c r="H100" s="101">
        <v>64.8</v>
      </c>
      <c r="I100" s="134">
        <v>2036</v>
      </c>
      <c r="J100" s="135">
        <v>62.4</v>
      </c>
      <c r="K100" s="134">
        <v>2063</v>
      </c>
      <c r="L100" s="135">
        <v>69.2</v>
      </c>
      <c r="M100" s="96"/>
      <c r="N100" s="100">
        <v>2143</v>
      </c>
      <c r="O100" s="102">
        <v>48.6</v>
      </c>
      <c r="P100" s="100">
        <v>2105</v>
      </c>
      <c r="Q100" s="102">
        <v>53.6</v>
      </c>
      <c r="R100" s="100">
        <v>2072</v>
      </c>
      <c r="S100" s="101">
        <v>57.9</v>
      </c>
      <c r="T100" s="134">
        <v>2053</v>
      </c>
      <c r="U100" s="135">
        <v>61.4</v>
      </c>
      <c r="V100" s="270">
        <v>2079</v>
      </c>
      <c r="W100" s="271">
        <v>67.900000000000006</v>
      </c>
      <c r="Y100" s="136"/>
      <c r="Z100" s="136"/>
      <c r="AB100" s="136"/>
      <c r="AC100" s="136"/>
    </row>
    <row r="101" spans="1:29" ht="11.25" customHeight="1" x14ac:dyDescent="0.2">
      <c r="A101" s="125" t="s">
        <v>183</v>
      </c>
      <c r="B101" s="142" t="s">
        <v>184</v>
      </c>
      <c r="C101" s="100">
        <v>2098</v>
      </c>
      <c r="D101" s="87">
        <v>74.5</v>
      </c>
      <c r="E101" s="100">
        <v>2131</v>
      </c>
      <c r="F101" s="87">
        <v>77.099999999999994</v>
      </c>
      <c r="G101" s="100">
        <v>1957</v>
      </c>
      <c r="H101" s="101">
        <v>77.3</v>
      </c>
      <c r="I101" s="134">
        <v>2078</v>
      </c>
      <c r="J101" s="135">
        <v>69.900000000000006</v>
      </c>
      <c r="K101" s="134">
        <v>2089</v>
      </c>
      <c r="L101" s="135">
        <v>69.900000000000006</v>
      </c>
      <c r="M101" s="96"/>
      <c r="N101" s="100">
        <v>2097</v>
      </c>
      <c r="O101" s="102">
        <v>67.5</v>
      </c>
      <c r="P101" s="100">
        <v>2133</v>
      </c>
      <c r="Q101" s="102">
        <v>70.3</v>
      </c>
      <c r="R101" s="100">
        <v>1962</v>
      </c>
      <c r="S101" s="101">
        <v>71.900000000000006</v>
      </c>
      <c r="T101" s="134">
        <v>2081</v>
      </c>
      <c r="U101" s="135">
        <v>71.7</v>
      </c>
      <c r="V101" s="270">
        <v>2094</v>
      </c>
      <c r="W101" s="271">
        <v>74.5</v>
      </c>
      <c r="Y101" s="136"/>
      <c r="Z101" s="136"/>
      <c r="AB101" s="136"/>
      <c r="AC101" s="136"/>
    </row>
    <row r="102" spans="1:29" ht="11.25" customHeight="1" x14ac:dyDescent="0.2">
      <c r="A102" s="125" t="s">
        <v>185</v>
      </c>
      <c r="B102" s="142" t="s">
        <v>186</v>
      </c>
      <c r="C102" s="100">
        <v>7533</v>
      </c>
      <c r="D102" s="87">
        <v>66.5</v>
      </c>
      <c r="E102" s="100">
        <v>7509</v>
      </c>
      <c r="F102" s="87">
        <v>70.3</v>
      </c>
      <c r="G102" s="100">
        <v>7391</v>
      </c>
      <c r="H102" s="101">
        <v>70.599999999999994</v>
      </c>
      <c r="I102" s="134">
        <v>7276</v>
      </c>
      <c r="J102" s="135">
        <v>61.9</v>
      </c>
      <c r="K102" s="134">
        <v>7517</v>
      </c>
      <c r="L102" s="135">
        <v>66.2</v>
      </c>
      <c r="M102" s="96"/>
      <c r="N102" s="100">
        <v>7521</v>
      </c>
      <c r="O102" s="102">
        <v>59.8</v>
      </c>
      <c r="P102" s="100">
        <v>7503</v>
      </c>
      <c r="Q102" s="102">
        <v>61</v>
      </c>
      <c r="R102" s="100">
        <v>7359</v>
      </c>
      <c r="S102" s="101">
        <v>64.3</v>
      </c>
      <c r="T102" s="134">
        <v>7287</v>
      </c>
      <c r="U102" s="135">
        <v>64.3</v>
      </c>
      <c r="V102" s="270">
        <v>7517</v>
      </c>
      <c r="W102" s="271">
        <v>69</v>
      </c>
      <c r="Y102" s="136"/>
      <c r="Z102" s="136"/>
      <c r="AB102" s="136"/>
      <c r="AC102" s="136"/>
    </row>
    <row r="103" spans="1:29" ht="11.25" customHeight="1" x14ac:dyDescent="0.2">
      <c r="A103" s="125" t="s">
        <v>187</v>
      </c>
      <c r="B103" s="142" t="s">
        <v>188</v>
      </c>
      <c r="C103" s="100">
        <v>1806</v>
      </c>
      <c r="D103" s="87">
        <v>64</v>
      </c>
      <c r="E103" s="100">
        <v>1731</v>
      </c>
      <c r="F103" s="87">
        <v>72</v>
      </c>
      <c r="G103" s="100">
        <v>1686</v>
      </c>
      <c r="H103" s="101">
        <v>73</v>
      </c>
      <c r="I103" s="134">
        <v>1647</v>
      </c>
      <c r="J103" s="135">
        <v>68.2</v>
      </c>
      <c r="K103" s="134">
        <v>1765</v>
      </c>
      <c r="L103" s="135">
        <v>73.5</v>
      </c>
      <c r="M103" s="96"/>
      <c r="N103" s="100">
        <v>1809</v>
      </c>
      <c r="O103" s="102">
        <v>58.2</v>
      </c>
      <c r="P103" s="100">
        <v>1736</v>
      </c>
      <c r="Q103" s="102">
        <v>67.400000000000006</v>
      </c>
      <c r="R103" s="100">
        <v>1683</v>
      </c>
      <c r="S103" s="101">
        <v>74.400000000000006</v>
      </c>
      <c r="T103" s="134">
        <v>1665</v>
      </c>
      <c r="U103" s="135">
        <v>76</v>
      </c>
      <c r="V103" s="270">
        <v>1762</v>
      </c>
      <c r="W103" s="271">
        <v>75</v>
      </c>
      <c r="Y103" s="136"/>
      <c r="Z103" s="136"/>
      <c r="AB103" s="136"/>
      <c r="AC103" s="136"/>
    </row>
    <row r="104" spans="1:29" ht="11.25" customHeight="1" x14ac:dyDescent="0.2">
      <c r="A104" s="3"/>
      <c r="B104" s="142"/>
      <c r="C104" s="100"/>
      <c r="D104" s="102"/>
      <c r="E104" s="100"/>
      <c r="F104" s="102"/>
      <c r="G104" s="100"/>
      <c r="H104" s="101"/>
      <c r="M104" s="96"/>
      <c r="N104" s="100"/>
      <c r="O104" s="102"/>
      <c r="P104" s="100"/>
      <c r="Q104" s="102"/>
      <c r="R104" s="100"/>
      <c r="S104" s="101"/>
      <c r="V104" s="272"/>
      <c r="W104" s="272"/>
      <c r="Y104" s="136"/>
      <c r="Z104" s="136"/>
      <c r="AB104" s="136"/>
      <c r="AC104" s="136"/>
    </row>
    <row r="105" spans="1:29" s="98" customFormat="1" ht="11.25" customHeight="1" x14ac:dyDescent="0.2">
      <c r="A105" s="17" t="s">
        <v>384</v>
      </c>
      <c r="B105" s="92" t="s">
        <v>189</v>
      </c>
      <c r="C105" s="93">
        <v>67808</v>
      </c>
      <c r="D105" s="94">
        <v>71.8</v>
      </c>
      <c r="E105" s="93">
        <v>68726</v>
      </c>
      <c r="F105" s="94">
        <v>75.8</v>
      </c>
      <c r="G105" s="93">
        <v>68020</v>
      </c>
      <c r="H105" s="95">
        <v>78.400000000000006</v>
      </c>
      <c r="I105" s="93">
        <v>68819</v>
      </c>
      <c r="J105" s="95">
        <v>75</v>
      </c>
      <c r="K105" s="106">
        <v>70958</v>
      </c>
      <c r="L105" s="108">
        <v>78.2</v>
      </c>
      <c r="M105" s="96"/>
      <c r="N105" s="93">
        <v>68722</v>
      </c>
      <c r="O105" s="97">
        <v>67</v>
      </c>
      <c r="P105" s="93">
        <v>69581</v>
      </c>
      <c r="Q105" s="97">
        <v>70.3</v>
      </c>
      <c r="R105" s="93">
        <v>68814</v>
      </c>
      <c r="S105" s="95">
        <v>73.7</v>
      </c>
      <c r="T105" s="93">
        <v>69590</v>
      </c>
      <c r="U105" s="95">
        <v>76.599999999999994</v>
      </c>
      <c r="V105" s="268">
        <v>71769</v>
      </c>
      <c r="W105" s="269">
        <v>78.599999999999994</v>
      </c>
      <c r="Y105" s="136"/>
      <c r="Z105" s="136"/>
      <c r="AB105" s="136"/>
      <c r="AC105" s="136"/>
    </row>
    <row r="106" spans="1:29" s="98" customFormat="1" ht="11.25" customHeight="1" x14ac:dyDescent="0.2">
      <c r="A106" s="16" t="s">
        <v>190</v>
      </c>
      <c r="B106" s="92" t="s">
        <v>191</v>
      </c>
      <c r="C106" s="93">
        <v>20746</v>
      </c>
      <c r="D106" s="94">
        <v>70</v>
      </c>
      <c r="E106" s="93">
        <v>20937</v>
      </c>
      <c r="F106" s="94">
        <v>73.7</v>
      </c>
      <c r="G106" s="93">
        <v>20961</v>
      </c>
      <c r="H106" s="95">
        <v>77.7</v>
      </c>
      <c r="I106" s="93">
        <v>21744</v>
      </c>
      <c r="J106" s="95">
        <v>75.599999999999994</v>
      </c>
      <c r="K106" s="93">
        <v>22469</v>
      </c>
      <c r="L106" s="95">
        <v>78.3</v>
      </c>
      <c r="M106" s="96"/>
      <c r="N106" s="93">
        <v>21036</v>
      </c>
      <c r="O106" s="97">
        <v>64.900000000000006</v>
      </c>
      <c r="P106" s="93">
        <v>21254</v>
      </c>
      <c r="Q106" s="97">
        <v>69.099999999999994</v>
      </c>
      <c r="R106" s="93">
        <v>21282</v>
      </c>
      <c r="S106" s="95">
        <v>74</v>
      </c>
      <c r="T106" s="93">
        <v>22004</v>
      </c>
      <c r="U106" s="95">
        <v>76.7</v>
      </c>
      <c r="V106" s="268">
        <v>22749</v>
      </c>
      <c r="W106" s="269">
        <v>78.5</v>
      </c>
      <c r="Y106" s="136"/>
      <c r="Z106" s="136"/>
      <c r="AB106" s="136"/>
      <c r="AC106" s="136"/>
    </row>
    <row r="107" spans="1:29" ht="11.25" customHeight="1" x14ac:dyDescent="0.2">
      <c r="A107" s="125" t="s">
        <v>192</v>
      </c>
      <c r="B107" s="142" t="s">
        <v>193</v>
      </c>
      <c r="C107" s="100">
        <v>1359</v>
      </c>
      <c r="D107" s="87">
        <v>72.8</v>
      </c>
      <c r="E107" s="100">
        <v>1419</v>
      </c>
      <c r="F107" s="87">
        <v>74.3</v>
      </c>
      <c r="G107" s="100">
        <v>1397</v>
      </c>
      <c r="H107" s="101">
        <v>78.2</v>
      </c>
      <c r="I107" s="134">
        <v>1404</v>
      </c>
      <c r="J107" s="135">
        <v>75</v>
      </c>
      <c r="K107" s="134">
        <v>1440</v>
      </c>
      <c r="L107" s="135">
        <v>75.099999999999994</v>
      </c>
      <c r="M107" s="96"/>
      <c r="N107" s="100">
        <v>1362</v>
      </c>
      <c r="O107" s="102">
        <v>60.2</v>
      </c>
      <c r="P107" s="100">
        <v>1424</v>
      </c>
      <c r="Q107" s="102">
        <v>66.599999999999994</v>
      </c>
      <c r="R107" s="100">
        <v>1405</v>
      </c>
      <c r="S107" s="101">
        <v>72.599999999999994</v>
      </c>
      <c r="T107" s="134">
        <v>1409</v>
      </c>
      <c r="U107" s="135">
        <v>72.7</v>
      </c>
      <c r="V107" s="270">
        <v>1439</v>
      </c>
      <c r="W107" s="271">
        <v>73.2</v>
      </c>
      <c r="Y107" s="136"/>
      <c r="Z107" s="136"/>
      <c r="AB107" s="136"/>
      <c r="AC107" s="136"/>
    </row>
    <row r="108" spans="1:29" ht="11.25" customHeight="1" x14ac:dyDescent="0.2">
      <c r="A108" s="125" t="s">
        <v>194</v>
      </c>
      <c r="B108" s="142" t="s">
        <v>195</v>
      </c>
      <c r="C108" s="100" t="s">
        <v>196</v>
      </c>
      <c r="D108" s="100" t="s">
        <v>196</v>
      </c>
      <c r="E108" s="100" t="s">
        <v>196</v>
      </c>
      <c r="F108" s="100" t="s">
        <v>196</v>
      </c>
      <c r="G108" s="100" t="s">
        <v>196</v>
      </c>
      <c r="H108" s="100" t="s">
        <v>196</v>
      </c>
      <c r="I108" s="100" t="s">
        <v>196</v>
      </c>
      <c r="J108" s="100" t="s">
        <v>196</v>
      </c>
      <c r="K108" s="100" t="s">
        <v>196</v>
      </c>
      <c r="L108" s="100" t="s">
        <v>196</v>
      </c>
      <c r="M108" s="96"/>
      <c r="N108" s="100" t="s">
        <v>196</v>
      </c>
      <c r="O108" s="100" t="s">
        <v>196</v>
      </c>
      <c r="P108" s="100" t="s">
        <v>196</v>
      </c>
      <c r="Q108" s="100" t="s">
        <v>196</v>
      </c>
      <c r="R108" s="100" t="s">
        <v>196</v>
      </c>
      <c r="S108" s="100" t="s">
        <v>196</v>
      </c>
      <c r="T108" s="100" t="s">
        <v>196</v>
      </c>
      <c r="U108" s="100" t="s">
        <v>196</v>
      </c>
      <c r="V108" s="270" t="s">
        <v>196</v>
      </c>
      <c r="W108" s="271" t="s">
        <v>196</v>
      </c>
      <c r="Y108" s="136"/>
      <c r="Z108" s="136"/>
      <c r="AB108" s="136"/>
      <c r="AC108" s="136"/>
    </row>
    <row r="109" spans="1:29" ht="11.25" customHeight="1" x14ac:dyDescent="0.2">
      <c r="A109" s="125" t="s">
        <v>197</v>
      </c>
      <c r="B109" s="142" t="s">
        <v>198</v>
      </c>
      <c r="C109" s="100">
        <v>1234</v>
      </c>
      <c r="D109" s="87">
        <v>71.400000000000006</v>
      </c>
      <c r="E109" s="100">
        <v>1214</v>
      </c>
      <c r="F109" s="87">
        <v>79.5</v>
      </c>
      <c r="G109" s="100">
        <v>1350</v>
      </c>
      <c r="H109" s="101">
        <v>79</v>
      </c>
      <c r="I109" s="134">
        <v>1462</v>
      </c>
      <c r="J109" s="135">
        <v>78.2</v>
      </c>
      <c r="K109" s="134">
        <v>1534</v>
      </c>
      <c r="L109" s="135">
        <v>77.8</v>
      </c>
      <c r="M109" s="96"/>
      <c r="N109" s="100">
        <v>1245</v>
      </c>
      <c r="O109" s="102">
        <v>70.400000000000006</v>
      </c>
      <c r="P109" s="100">
        <v>1225</v>
      </c>
      <c r="Q109" s="102">
        <v>70.8</v>
      </c>
      <c r="R109" s="100">
        <v>1361</v>
      </c>
      <c r="S109" s="101">
        <v>73.099999999999994</v>
      </c>
      <c r="T109" s="134">
        <v>1478</v>
      </c>
      <c r="U109" s="135">
        <v>78.599999999999994</v>
      </c>
      <c r="V109" s="270">
        <v>1548</v>
      </c>
      <c r="W109" s="271">
        <v>80.2</v>
      </c>
      <c r="Y109" s="136"/>
      <c r="Z109" s="136"/>
      <c r="AB109" s="136"/>
      <c r="AC109" s="136"/>
    </row>
    <row r="110" spans="1:29" ht="11.25" customHeight="1" x14ac:dyDescent="0.2">
      <c r="A110" s="125" t="s">
        <v>199</v>
      </c>
      <c r="B110" s="142" t="s">
        <v>200</v>
      </c>
      <c r="C110" s="100">
        <v>937</v>
      </c>
      <c r="D110" s="87">
        <v>78.8</v>
      </c>
      <c r="E110" s="100">
        <v>919</v>
      </c>
      <c r="F110" s="87">
        <v>87.9</v>
      </c>
      <c r="G110" s="100">
        <v>946</v>
      </c>
      <c r="H110" s="101">
        <v>84</v>
      </c>
      <c r="I110" s="134">
        <v>995</v>
      </c>
      <c r="J110" s="135">
        <v>77.400000000000006</v>
      </c>
      <c r="K110" s="134">
        <v>1053</v>
      </c>
      <c r="L110" s="135">
        <v>73.900000000000006</v>
      </c>
      <c r="M110" s="96"/>
      <c r="N110" s="100">
        <v>955</v>
      </c>
      <c r="O110" s="102">
        <v>79.2</v>
      </c>
      <c r="P110" s="100">
        <v>937</v>
      </c>
      <c r="Q110" s="102">
        <v>82.7</v>
      </c>
      <c r="R110" s="100">
        <v>965</v>
      </c>
      <c r="S110" s="101">
        <v>85.7</v>
      </c>
      <c r="T110" s="134">
        <v>1012</v>
      </c>
      <c r="U110" s="135">
        <v>82.3</v>
      </c>
      <c r="V110" s="270">
        <v>1084</v>
      </c>
      <c r="W110" s="271">
        <v>83</v>
      </c>
      <c r="Y110" s="136"/>
      <c r="Z110" s="136"/>
      <c r="AB110" s="136"/>
      <c r="AC110" s="136"/>
    </row>
    <row r="111" spans="1:29" ht="11.25" customHeight="1" x14ac:dyDescent="0.2">
      <c r="A111" s="125" t="s">
        <v>201</v>
      </c>
      <c r="B111" s="142" t="s">
        <v>202</v>
      </c>
      <c r="C111" s="100">
        <v>1934</v>
      </c>
      <c r="D111" s="87">
        <v>68.3</v>
      </c>
      <c r="E111" s="100">
        <v>1938</v>
      </c>
      <c r="F111" s="87">
        <v>70.400000000000006</v>
      </c>
      <c r="G111" s="100">
        <v>1837</v>
      </c>
      <c r="H111" s="101">
        <v>78.7</v>
      </c>
      <c r="I111" s="134">
        <v>1925</v>
      </c>
      <c r="J111" s="135">
        <v>75.099999999999994</v>
      </c>
      <c r="K111" s="134">
        <v>1984</v>
      </c>
      <c r="L111" s="135">
        <v>79.099999999999994</v>
      </c>
      <c r="M111" s="96"/>
      <c r="N111" s="100">
        <v>1954</v>
      </c>
      <c r="O111" s="102">
        <v>67.2</v>
      </c>
      <c r="P111" s="100">
        <v>1967</v>
      </c>
      <c r="Q111" s="102">
        <v>67.599999999999994</v>
      </c>
      <c r="R111" s="100">
        <v>1898</v>
      </c>
      <c r="S111" s="101">
        <v>73.599999999999994</v>
      </c>
      <c r="T111" s="134">
        <v>1942</v>
      </c>
      <c r="U111" s="135">
        <v>77.7</v>
      </c>
      <c r="V111" s="270">
        <v>2013</v>
      </c>
      <c r="W111" s="271">
        <v>81.099999999999994</v>
      </c>
      <c r="Y111" s="136"/>
      <c r="Z111" s="136"/>
      <c r="AB111" s="136"/>
      <c r="AC111" s="136"/>
    </row>
    <row r="112" spans="1:29" ht="11.25" customHeight="1" x14ac:dyDescent="0.2">
      <c r="A112" s="125" t="s">
        <v>203</v>
      </c>
      <c r="B112" s="142" t="s">
        <v>204</v>
      </c>
      <c r="C112" s="100">
        <v>1287</v>
      </c>
      <c r="D112" s="87">
        <v>70.3</v>
      </c>
      <c r="E112" s="100">
        <v>1284</v>
      </c>
      <c r="F112" s="87">
        <v>70.7</v>
      </c>
      <c r="G112" s="100">
        <v>1208</v>
      </c>
      <c r="H112" s="101">
        <v>69.099999999999994</v>
      </c>
      <c r="I112" s="134">
        <v>1353</v>
      </c>
      <c r="J112" s="135">
        <v>69.599999999999994</v>
      </c>
      <c r="K112" s="134">
        <v>1327</v>
      </c>
      <c r="L112" s="135">
        <v>79.8</v>
      </c>
      <c r="M112" s="96"/>
      <c r="N112" s="100">
        <v>1298</v>
      </c>
      <c r="O112" s="102">
        <v>63.3</v>
      </c>
      <c r="P112" s="100">
        <v>1303</v>
      </c>
      <c r="Q112" s="102">
        <v>67.8</v>
      </c>
      <c r="R112" s="100">
        <v>1230</v>
      </c>
      <c r="S112" s="101">
        <v>69.8</v>
      </c>
      <c r="T112" s="134">
        <v>1372</v>
      </c>
      <c r="U112" s="135">
        <v>72.400000000000006</v>
      </c>
      <c r="V112" s="270">
        <v>1345</v>
      </c>
      <c r="W112" s="271">
        <v>81.3</v>
      </c>
      <c r="Y112" s="136"/>
      <c r="Z112" s="136"/>
      <c r="AB112" s="136"/>
      <c r="AC112" s="136"/>
    </row>
    <row r="113" spans="1:29" ht="11.25" customHeight="1" x14ac:dyDescent="0.2">
      <c r="A113" s="125" t="s">
        <v>205</v>
      </c>
      <c r="B113" s="142" t="s">
        <v>206</v>
      </c>
      <c r="C113" s="100">
        <v>546</v>
      </c>
      <c r="D113" s="87">
        <v>75.5</v>
      </c>
      <c r="E113" s="100">
        <v>533</v>
      </c>
      <c r="F113" s="87">
        <v>80.3</v>
      </c>
      <c r="G113" s="100">
        <v>551</v>
      </c>
      <c r="H113" s="101">
        <v>86.4</v>
      </c>
      <c r="I113" s="134">
        <v>581</v>
      </c>
      <c r="J113" s="135">
        <v>86.1</v>
      </c>
      <c r="K113" s="134">
        <v>585</v>
      </c>
      <c r="L113" s="135">
        <v>87.9</v>
      </c>
      <c r="M113" s="96"/>
      <c r="N113" s="100">
        <v>548</v>
      </c>
      <c r="O113" s="102">
        <v>70.8</v>
      </c>
      <c r="P113" s="100">
        <v>534</v>
      </c>
      <c r="Q113" s="102">
        <v>78.7</v>
      </c>
      <c r="R113" s="100">
        <v>556</v>
      </c>
      <c r="S113" s="101">
        <v>80.599999999999994</v>
      </c>
      <c r="T113" s="134">
        <v>583</v>
      </c>
      <c r="U113" s="135">
        <v>83</v>
      </c>
      <c r="V113" s="270">
        <v>582</v>
      </c>
      <c r="W113" s="271">
        <v>84.7</v>
      </c>
      <c r="Y113" s="136"/>
      <c r="Z113" s="136"/>
      <c r="AB113" s="136"/>
      <c r="AC113" s="136"/>
    </row>
    <row r="114" spans="1:29" ht="11.25" customHeight="1" x14ac:dyDescent="0.2">
      <c r="A114" s="125" t="s">
        <v>207</v>
      </c>
      <c r="B114" s="142" t="s">
        <v>208</v>
      </c>
      <c r="C114" s="100">
        <v>1382</v>
      </c>
      <c r="D114" s="87">
        <v>71.599999999999994</v>
      </c>
      <c r="E114" s="100">
        <v>1449</v>
      </c>
      <c r="F114" s="87">
        <v>71.2</v>
      </c>
      <c r="G114" s="100">
        <v>1459</v>
      </c>
      <c r="H114" s="101">
        <v>75.400000000000006</v>
      </c>
      <c r="I114" s="134">
        <v>1613</v>
      </c>
      <c r="J114" s="135">
        <v>77.2</v>
      </c>
      <c r="K114" s="134">
        <v>1736</v>
      </c>
      <c r="L114" s="135">
        <v>78.2</v>
      </c>
      <c r="M114" s="96"/>
      <c r="N114" s="100">
        <v>1419</v>
      </c>
      <c r="O114" s="102">
        <v>65.8</v>
      </c>
      <c r="P114" s="100">
        <v>1473</v>
      </c>
      <c r="Q114" s="102">
        <v>69</v>
      </c>
      <c r="R114" s="100">
        <v>1487</v>
      </c>
      <c r="S114" s="101">
        <v>73.8</v>
      </c>
      <c r="T114" s="134">
        <v>1622</v>
      </c>
      <c r="U114" s="135">
        <v>78.400000000000006</v>
      </c>
      <c r="V114" s="270">
        <v>1759</v>
      </c>
      <c r="W114" s="271">
        <v>80.599999999999994</v>
      </c>
      <c r="Y114" s="136"/>
      <c r="Z114" s="136"/>
      <c r="AB114" s="136"/>
      <c r="AC114" s="136"/>
    </row>
    <row r="115" spans="1:29" ht="11.25" customHeight="1" x14ac:dyDescent="0.2">
      <c r="A115" s="125" t="s">
        <v>209</v>
      </c>
      <c r="B115" s="142" t="s">
        <v>210</v>
      </c>
      <c r="C115" s="100">
        <v>1924</v>
      </c>
      <c r="D115" s="87">
        <v>69.3</v>
      </c>
      <c r="E115" s="100">
        <v>1978</v>
      </c>
      <c r="F115" s="87">
        <v>68.099999999999994</v>
      </c>
      <c r="G115" s="100">
        <v>1956</v>
      </c>
      <c r="H115" s="101">
        <v>75.2</v>
      </c>
      <c r="I115" s="134">
        <v>2042</v>
      </c>
      <c r="J115" s="135">
        <v>71.099999999999994</v>
      </c>
      <c r="K115" s="134">
        <v>2148</v>
      </c>
      <c r="L115" s="135">
        <v>73.5</v>
      </c>
      <c r="M115" s="96"/>
      <c r="N115" s="100">
        <v>1947</v>
      </c>
      <c r="O115" s="102">
        <v>61</v>
      </c>
      <c r="P115" s="100">
        <v>2013</v>
      </c>
      <c r="Q115" s="102">
        <v>59.3</v>
      </c>
      <c r="R115" s="100">
        <v>1978</v>
      </c>
      <c r="S115" s="101">
        <v>70.400000000000006</v>
      </c>
      <c r="T115" s="134">
        <v>2057</v>
      </c>
      <c r="U115" s="135">
        <v>70</v>
      </c>
      <c r="V115" s="270">
        <v>2161</v>
      </c>
      <c r="W115" s="271">
        <v>72.099999999999994</v>
      </c>
      <c r="Y115" s="136"/>
      <c r="Z115" s="136"/>
      <c r="AB115" s="136"/>
      <c r="AC115" s="136"/>
    </row>
    <row r="116" spans="1:29" ht="11.25" customHeight="1" x14ac:dyDescent="0.2">
      <c r="A116" s="125" t="s">
        <v>211</v>
      </c>
      <c r="B116" s="142" t="s">
        <v>212</v>
      </c>
      <c r="C116" s="100">
        <v>3075</v>
      </c>
      <c r="D116" s="87">
        <v>68.599999999999994</v>
      </c>
      <c r="E116" s="100">
        <v>3019</v>
      </c>
      <c r="F116" s="87">
        <v>69.3</v>
      </c>
      <c r="G116" s="100">
        <v>2946</v>
      </c>
      <c r="H116" s="101">
        <v>75.7</v>
      </c>
      <c r="I116" s="134">
        <v>3175</v>
      </c>
      <c r="J116" s="135">
        <v>76.3</v>
      </c>
      <c r="K116" s="134">
        <v>3197</v>
      </c>
      <c r="L116" s="135">
        <v>77.5</v>
      </c>
      <c r="M116" s="96"/>
      <c r="N116" s="100">
        <v>3131</v>
      </c>
      <c r="O116" s="102">
        <v>63.9</v>
      </c>
      <c r="P116" s="100">
        <v>3080</v>
      </c>
      <c r="Q116" s="102">
        <v>69.099999999999994</v>
      </c>
      <c r="R116" s="100">
        <v>2995</v>
      </c>
      <c r="S116" s="101">
        <v>75.5</v>
      </c>
      <c r="T116" s="134">
        <v>3213</v>
      </c>
      <c r="U116" s="135">
        <v>78</v>
      </c>
      <c r="V116" s="270">
        <v>3269</v>
      </c>
      <c r="W116" s="271">
        <v>77.099999999999994</v>
      </c>
      <c r="Y116" s="136"/>
      <c r="Z116" s="136"/>
      <c r="AB116" s="136"/>
      <c r="AC116" s="136"/>
    </row>
    <row r="117" spans="1:29" ht="11.25" customHeight="1" x14ac:dyDescent="0.2">
      <c r="A117" s="125" t="s">
        <v>213</v>
      </c>
      <c r="B117" s="142" t="s">
        <v>214</v>
      </c>
      <c r="C117" s="100">
        <v>2097</v>
      </c>
      <c r="D117" s="87">
        <v>67.099999999999994</v>
      </c>
      <c r="E117" s="100">
        <v>2073</v>
      </c>
      <c r="F117" s="87">
        <v>75.7</v>
      </c>
      <c r="G117" s="100">
        <v>2065</v>
      </c>
      <c r="H117" s="101">
        <v>76.599999999999994</v>
      </c>
      <c r="I117" s="134">
        <v>2052</v>
      </c>
      <c r="J117" s="135">
        <v>76.8</v>
      </c>
      <c r="K117" s="134">
        <v>2114</v>
      </c>
      <c r="L117" s="135">
        <v>81.599999999999994</v>
      </c>
      <c r="M117" s="96"/>
      <c r="N117" s="100">
        <v>2120</v>
      </c>
      <c r="O117" s="102">
        <v>63.4</v>
      </c>
      <c r="P117" s="100">
        <v>2113</v>
      </c>
      <c r="Q117" s="102">
        <v>71.099999999999994</v>
      </c>
      <c r="R117" s="100">
        <v>2106</v>
      </c>
      <c r="S117" s="101">
        <v>73.3</v>
      </c>
      <c r="T117" s="134">
        <v>2085</v>
      </c>
      <c r="U117" s="135">
        <v>76.8</v>
      </c>
      <c r="V117" s="270">
        <v>2143</v>
      </c>
      <c r="W117" s="271">
        <v>79.900000000000006</v>
      </c>
      <c r="Y117" s="136"/>
      <c r="Z117" s="136"/>
      <c r="AB117" s="136"/>
      <c r="AC117" s="136"/>
    </row>
    <row r="118" spans="1:29" ht="11.25" customHeight="1" x14ac:dyDescent="0.2">
      <c r="A118" s="125" t="s">
        <v>215</v>
      </c>
      <c r="B118" s="142" t="s">
        <v>216</v>
      </c>
      <c r="C118" s="100">
        <v>2164</v>
      </c>
      <c r="D118" s="87">
        <v>63.5</v>
      </c>
      <c r="E118" s="100">
        <v>2228</v>
      </c>
      <c r="F118" s="87">
        <v>69.400000000000006</v>
      </c>
      <c r="G118" s="100">
        <v>2361</v>
      </c>
      <c r="H118" s="101">
        <v>76.099999999999994</v>
      </c>
      <c r="I118" s="134">
        <v>2246</v>
      </c>
      <c r="J118" s="135">
        <v>73.3</v>
      </c>
      <c r="K118" s="134">
        <v>2376</v>
      </c>
      <c r="L118" s="135">
        <v>78.599999999999994</v>
      </c>
      <c r="M118" s="96"/>
      <c r="N118" s="100">
        <v>2188</v>
      </c>
      <c r="O118" s="102">
        <v>58.1</v>
      </c>
      <c r="P118" s="100">
        <v>2254</v>
      </c>
      <c r="Q118" s="102">
        <v>64.7</v>
      </c>
      <c r="R118" s="100">
        <v>2381</v>
      </c>
      <c r="S118" s="101">
        <v>70.8</v>
      </c>
      <c r="T118" s="134">
        <v>2276</v>
      </c>
      <c r="U118" s="135">
        <v>74.599999999999994</v>
      </c>
      <c r="V118" s="270">
        <v>2388</v>
      </c>
      <c r="W118" s="271">
        <v>75.3</v>
      </c>
      <c r="Y118" s="136"/>
      <c r="Z118" s="136"/>
      <c r="AB118" s="136"/>
      <c r="AC118" s="136"/>
    </row>
    <row r="119" spans="1:29" ht="11.25" customHeight="1" x14ac:dyDescent="0.2">
      <c r="A119" s="125" t="s">
        <v>217</v>
      </c>
      <c r="B119" s="142" t="s">
        <v>218</v>
      </c>
      <c r="C119" s="100">
        <v>1632</v>
      </c>
      <c r="D119" s="87">
        <v>73.8</v>
      </c>
      <c r="E119" s="100">
        <v>1630</v>
      </c>
      <c r="F119" s="87">
        <v>78.8</v>
      </c>
      <c r="G119" s="100">
        <v>1630</v>
      </c>
      <c r="H119" s="101">
        <v>81</v>
      </c>
      <c r="I119" s="134">
        <v>1621</v>
      </c>
      <c r="J119" s="135">
        <v>72.900000000000006</v>
      </c>
      <c r="K119" s="134">
        <v>1648</v>
      </c>
      <c r="L119" s="135">
        <v>76</v>
      </c>
      <c r="M119" s="96"/>
      <c r="N119" s="100">
        <v>1662</v>
      </c>
      <c r="O119" s="102">
        <v>67.3</v>
      </c>
      <c r="P119" s="100">
        <v>1660</v>
      </c>
      <c r="Q119" s="102">
        <v>71.8</v>
      </c>
      <c r="R119" s="100">
        <v>1655</v>
      </c>
      <c r="S119" s="101">
        <v>75.7</v>
      </c>
      <c r="T119" s="134">
        <v>1644</v>
      </c>
      <c r="U119" s="135">
        <v>75.599999999999994</v>
      </c>
      <c r="V119" s="270">
        <v>1670</v>
      </c>
      <c r="W119" s="271">
        <v>79.5</v>
      </c>
      <c r="Y119" s="136"/>
      <c r="Z119" s="136"/>
      <c r="AB119" s="136"/>
      <c r="AC119" s="136"/>
    </row>
    <row r="120" spans="1:29" ht="11.25" customHeight="1" x14ac:dyDescent="0.2">
      <c r="A120" s="125" t="s">
        <v>219</v>
      </c>
      <c r="B120" s="142" t="s">
        <v>220</v>
      </c>
      <c r="C120" s="100">
        <v>1175</v>
      </c>
      <c r="D120" s="87">
        <v>72.099999999999994</v>
      </c>
      <c r="E120" s="100">
        <v>1253</v>
      </c>
      <c r="F120" s="87">
        <v>82.7</v>
      </c>
      <c r="G120" s="100">
        <v>1255</v>
      </c>
      <c r="H120" s="101">
        <v>86.3</v>
      </c>
      <c r="I120" s="134">
        <v>1275</v>
      </c>
      <c r="J120" s="135">
        <v>82.3</v>
      </c>
      <c r="K120" s="134">
        <v>1327</v>
      </c>
      <c r="L120" s="135">
        <v>85.3</v>
      </c>
      <c r="M120" s="96"/>
      <c r="N120" s="100">
        <v>1207</v>
      </c>
      <c r="O120" s="102">
        <v>67.3</v>
      </c>
      <c r="P120" s="100">
        <v>1271</v>
      </c>
      <c r="Q120" s="102">
        <v>75.7</v>
      </c>
      <c r="R120" s="100">
        <v>1265</v>
      </c>
      <c r="S120" s="101">
        <v>76</v>
      </c>
      <c r="T120" s="134">
        <v>1311</v>
      </c>
      <c r="U120" s="135">
        <v>85.4</v>
      </c>
      <c r="V120" s="270">
        <v>1348</v>
      </c>
      <c r="W120" s="271">
        <v>81.8</v>
      </c>
      <c r="Y120" s="136"/>
      <c r="Z120" s="136"/>
      <c r="AB120" s="136"/>
      <c r="AC120" s="136"/>
    </row>
    <row r="121" spans="1:29" ht="11.25" customHeight="1" x14ac:dyDescent="0.2">
      <c r="A121" s="3"/>
      <c r="B121" s="142"/>
      <c r="C121" s="100"/>
      <c r="D121" s="102"/>
      <c r="E121" s="100"/>
      <c r="F121" s="102"/>
      <c r="G121" s="100"/>
      <c r="H121" s="101"/>
      <c r="M121" s="96"/>
      <c r="N121" s="100"/>
      <c r="O121" s="103"/>
      <c r="P121" s="100"/>
      <c r="Q121" s="103"/>
      <c r="R121" s="100"/>
      <c r="S121" s="101"/>
      <c r="V121" s="272"/>
      <c r="W121" s="272"/>
      <c r="Y121" s="136"/>
      <c r="Z121" s="136"/>
      <c r="AB121" s="136"/>
      <c r="AC121" s="136"/>
    </row>
    <row r="122" spans="1:29" s="98" customFormat="1" ht="11.25" customHeight="1" x14ac:dyDescent="0.2">
      <c r="A122" s="17" t="s">
        <v>221</v>
      </c>
      <c r="B122" s="92" t="s">
        <v>222</v>
      </c>
      <c r="C122" s="93">
        <v>47062</v>
      </c>
      <c r="D122" s="94">
        <v>72.599999999999994</v>
      </c>
      <c r="E122" s="93">
        <v>47789</v>
      </c>
      <c r="F122" s="94">
        <v>76.7</v>
      </c>
      <c r="G122" s="93">
        <v>47059</v>
      </c>
      <c r="H122" s="95">
        <v>78.7</v>
      </c>
      <c r="I122" s="93">
        <v>47075</v>
      </c>
      <c r="J122" s="95">
        <v>74.8</v>
      </c>
      <c r="K122" s="93">
        <v>48489</v>
      </c>
      <c r="L122" s="95">
        <v>78.2</v>
      </c>
      <c r="M122" s="96"/>
      <c r="N122" s="93">
        <v>47686</v>
      </c>
      <c r="O122" s="97">
        <v>68</v>
      </c>
      <c r="P122" s="93">
        <v>48327</v>
      </c>
      <c r="Q122" s="97">
        <v>70.900000000000006</v>
      </c>
      <c r="R122" s="93">
        <v>47532</v>
      </c>
      <c r="S122" s="95">
        <v>73.599999999999994</v>
      </c>
      <c r="T122" s="93">
        <v>47586</v>
      </c>
      <c r="U122" s="95">
        <v>76.5</v>
      </c>
      <c r="V122" s="268">
        <v>49020</v>
      </c>
      <c r="W122" s="269">
        <v>78.7</v>
      </c>
      <c r="Y122" s="136"/>
      <c r="Z122" s="136"/>
      <c r="AB122" s="136"/>
      <c r="AC122" s="136"/>
    </row>
    <row r="123" spans="1:29" ht="11.25" customHeight="1" x14ac:dyDescent="0.2">
      <c r="A123" s="125" t="s">
        <v>223</v>
      </c>
      <c r="B123" s="142" t="s">
        <v>224</v>
      </c>
      <c r="C123" s="100">
        <v>1898</v>
      </c>
      <c r="D123" s="87">
        <v>64.400000000000006</v>
      </c>
      <c r="E123" s="100">
        <v>1997</v>
      </c>
      <c r="F123" s="87">
        <v>70.3</v>
      </c>
      <c r="G123" s="100">
        <v>1919</v>
      </c>
      <c r="H123" s="101">
        <v>74</v>
      </c>
      <c r="I123" s="134">
        <v>1972</v>
      </c>
      <c r="J123" s="135">
        <v>71.5</v>
      </c>
      <c r="K123" s="134">
        <v>2100</v>
      </c>
      <c r="L123" s="135">
        <v>78.8</v>
      </c>
      <c r="M123" s="96"/>
      <c r="N123" s="100">
        <v>1919</v>
      </c>
      <c r="O123" s="102">
        <v>55.9</v>
      </c>
      <c r="P123" s="100">
        <v>2020</v>
      </c>
      <c r="Q123" s="102">
        <v>60.9</v>
      </c>
      <c r="R123" s="100">
        <v>1939</v>
      </c>
      <c r="S123" s="101">
        <v>64.8</v>
      </c>
      <c r="T123" s="134">
        <v>1970</v>
      </c>
      <c r="U123" s="135">
        <v>69.5</v>
      </c>
      <c r="V123" s="270">
        <v>2114</v>
      </c>
      <c r="W123" s="271">
        <v>66.900000000000006</v>
      </c>
      <c r="Y123" s="136"/>
      <c r="Z123" s="136"/>
      <c r="AB123" s="136"/>
      <c r="AC123" s="136"/>
    </row>
    <row r="124" spans="1:29" ht="11.25" customHeight="1" x14ac:dyDescent="0.2">
      <c r="A124" s="125" t="s">
        <v>225</v>
      </c>
      <c r="B124" s="142" t="s">
        <v>226</v>
      </c>
      <c r="C124" s="100">
        <v>3012</v>
      </c>
      <c r="D124" s="87">
        <v>79.400000000000006</v>
      </c>
      <c r="E124" s="100">
        <v>3152</v>
      </c>
      <c r="F124" s="87">
        <v>83.3</v>
      </c>
      <c r="G124" s="100">
        <v>3131</v>
      </c>
      <c r="H124" s="101">
        <v>83.5</v>
      </c>
      <c r="I124" s="134">
        <v>3056</v>
      </c>
      <c r="J124" s="135">
        <v>82.2</v>
      </c>
      <c r="K124" s="134">
        <v>3257</v>
      </c>
      <c r="L124" s="135">
        <v>82.5</v>
      </c>
      <c r="M124" s="96"/>
      <c r="N124" s="100">
        <v>3039</v>
      </c>
      <c r="O124" s="102">
        <v>70</v>
      </c>
      <c r="P124" s="100">
        <v>3193</v>
      </c>
      <c r="Q124" s="102">
        <v>76.2</v>
      </c>
      <c r="R124" s="100">
        <v>3164</v>
      </c>
      <c r="S124" s="101">
        <v>78.3</v>
      </c>
      <c r="T124" s="134">
        <v>3090</v>
      </c>
      <c r="U124" s="135">
        <v>80.3</v>
      </c>
      <c r="V124" s="270">
        <v>3286</v>
      </c>
      <c r="W124" s="271">
        <v>83.2</v>
      </c>
      <c r="Y124" s="136"/>
      <c r="Z124" s="136"/>
      <c r="AB124" s="136"/>
      <c r="AC124" s="136"/>
    </row>
    <row r="125" spans="1:29" ht="11.25" customHeight="1" x14ac:dyDescent="0.2">
      <c r="A125" s="125" t="s">
        <v>227</v>
      </c>
      <c r="B125" s="142" t="s">
        <v>228</v>
      </c>
      <c r="C125" s="100">
        <v>3065</v>
      </c>
      <c r="D125" s="87">
        <v>69.8</v>
      </c>
      <c r="E125" s="100">
        <v>3144</v>
      </c>
      <c r="F125" s="87">
        <v>72.2</v>
      </c>
      <c r="G125" s="100">
        <v>3129</v>
      </c>
      <c r="H125" s="101">
        <v>75.5</v>
      </c>
      <c r="I125" s="134">
        <v>3161</v>
      </c>
      <c r="J125" s="135">
        <v>69.599999999999994</v>
      </c>
      <c r="K125" s="134">
        <v>3063</v>
      </c>
      <c r="L125" s="135">
        <v>71.099999999999994</v>
      </c>
      <c r="M125" s="96"/>
      <c r="N125" s="100">
        <v>3092</v>
      </c>
      <c r="O125" s="102">
        <v>65.5</v>
      </c>
      <c r="P125" s="100">
        <v>3157</v>
      </c>
      <c r="Q125" s="102">
        <v>66.400000000000006</v>
      </c>
      <c r="R125" s="100">
        <v>3131</v>
      </c>
      <c r="S125" s="101">
        <v>70</v>
      </c>
      <c r="T125" s="134">
        <v>3168</v>
      </c>
      <c r="U125" s="135">
        <v>76.599999999999994</v>
      </c>
      <c r="V125" s="270">
        <v>3084</v>
      </c>
      <c r="W125" s="271">
        <v>78.2</v>
      </c>
      <c r="Y125" s="136"/>
      <c r="Z125" s="136"/>
      <c r="AB125" s="136"/>
      <c r="AC125" s="136"/>
    </row>
    <row r="126" spans="1:29" ht="11.25" customHeight="1" x14ac:dyDescent="0.2">
      <c r="A126" s="125" t="s">
        <v>229</v>
      </c>
      <c r="B126" s="142" t="s">
        <v>230</v>
      </c>
      <c r="C126" s="100">
        <v>2436</v>
      </c>
      <c r="D126" s="87">
        <v>77.099999999999994</v>
      </c>
      <c r="E126" s="100">
        <v>2550</v>
      </c>
      <c r="F126" s="87">
        <v>79.400000000000006</v>
      </c>
      <c r="G126" s="100">
        <v>2454</v>
      </c>
      <c r="H126" s="101">
        <v>82</v>
      </c>
      <c r="I126" s="134">
        <v>2523</v>
      </c>
      <c r="J126" s="135">
        <v>74.8</v>
      </c>
      <c r="K126" s="134">
        <v>2575</v>
      </c>
      <c r="L126" s="135">
        <v>78.8</v>
      </c>
      <c r="M126" s="96"/>
      <c r="N126" s="100">
        <v>2527</v>
      </c>
      <c r="O126" s="102">
        <v>76.3</v>
      </c>
      <c r="P126" s="100">
        <v>2604</v>
      </c>
      <c r="Q126" s="102">
        <v>77.099999999999994</v>
      </c>
      <c r="R126" s="100">
        <v>2530</v>
      </c>
      <c r="S126" s="101">
        <v>79.7</v>
      </c>
      <c r="T126" s="134">
        <v>2572</v>
      </c>
      <c r="U126" s="135">
        <v>78.599999999999994</v>
      </c>
      <c r="V126" s="270">
        <v>2643</v>
      </c>
      <c r="W126" s="271">
        <v>79.5</v>
      </c>
      <c r="Y126" s="136"/>
      <c r="Z126" s="136"/>
      <c r="AB126" s="136"/>
      <c r="AC126" s="136"/>
    </row>
    <row r="127" spans="1:29" ht="11.25" customHeight="1" x14ac:dyDescent="0.2">
      <c r="A127" s="125" t="s">
        <v>231</v>
      </c>
      <c r="B127" s="142" t="s">
        <v>232</v>
      </c>
      <c r="C127" s="100">
        <v>3367</v>
      </c>
      <c r="D127" s="87">
        <v>76.3</v>
      </c>
      <c r="E127" s="100">
        <v>3289</v>
      </c>
      <c r="F127" s="87">
        <v>78.8</v>
      </c>
      <c r="G127" s="100">
        <v>3299</v>
      </c>
      <c r="H127" s="101">
        <v>81.099999999999994</v>
      </c>
      <c r="I127" s="134">
        <v>3209</v>
      </c>
      <c r="J127" s="135">
        <v>77.7</v>
      </c>
      <c r="K127" s="134">
        <v>3291</v>
      </c>
      <c r="L127" s="135">
        <v>82.7</v>
      </c>
      <c r="M127" s="96"/>
      <c r="N127" s="100">
        <v>3371</v>
      </c>
      <c r="O127" s="102">
        <v>70.599999999999994</v>
      </c>
      <c r="P127" s="100">
        <v>3292</v>
      </c>
      <c r="Q127" s="102">
        <v>73.099999999999994</v>
      </c>
      <c r="R127" s="100">
        <v>3306</v>
      </c>
      <c r="S127" s="101">
        <v>73.599999999999994</v>
      </c>
      <c r="T127" s="134">
        <v>3214</v>
      </c>
      <c r="U127" s="135">
        <v>78.2</v>
      </c>
      <c r="V127" s="270">
        <v>3303</v>
      </c>
      <c r="W127" s="271">
        <v>82.3</v>
      </c>
      <c r="Y127" s="136"/>
      <c r="Z127" s="136"/>
      <c r="AB127" s="136"/>
      <c r="AC127" s="136"/>
    </row>
    <row r="128" spans="1:29" ht="11.25" customHeight="1" x14ac:dyDescent="0.2">
      <c r="A128" s="125" t="s">
        <v>233</v>
      </c>
      <c r="B128" s="142" t="s">
        <v>234</v>
      </c>
      <c r="C128" s="100">
        <v>3408</v>
      </c>
      <c r="D128" s="87">
        <v>67.8</v>
      </c>
      <c r="E128" s="100">
        <v>3431</v>
      </c>
      <c r="F128" s="87">
        <v>71.900000000000006</v>
      </c>
      <c r="G128" s="100">
        <v>3446</v>
      </c>
      <c r="H128" s="101">
        <v>74.900000000000006</v>
      </c>
      <c r="I128" s="134">
        <v>3350</v>
      </c>
      <c r="J128" s="135">
        <v>74.2</v>
      </c>
      <c r="K128" s="134">
        <v>3482</v>
      </c>
      <c r="L128" s="135">
        <v>77.3</v>
      </c>
      <c r="M128" s="96"/>
      <c r="N128" s="100">
        <v>3422</v>
      </c>
      <c r="O128" s="102">
        <v>64.2</v>
      </c>
      <c r="P128" s="100">
        <v>3464</v>
      </c>
      <c r="Q128" s="102">
        <v>67.8</v>
      </c>
      <c r="R128" s="100">
        <v>3476</v>
      </c>
      <c r="S128" s="101">
        <v>72.8</v>
      </c>
      <c r="T128" s="134">
        <v>3389</v>
      </c>
      <c r="U128" s="135">
        <v>74.5</v>
      </c>
      <c r="V128" s="270">
        <v>3508</v>
      </c>
      <c r="W128" s="271">
        <v>76.599999999999994</v>
      </c>
      <c r="Y128" s="136"/>
      <c r="Z128" s="136"/>
      <c r="AB128" s="136"/>
      <c r="AC128" s="136"/>
    </row>
    <row r="129" spans="1:29" ht="11.25" customHeight="1" x14ac:dyDescent="0.2">
      <c r="A129" s="125" t="s">
        <v>235</v>
      </c>
      <c r="B129" s="142" t="s">
        <v>236</v>
      </c>
      <c r="C129" s="100">
        <v>2492</v>
      </c>
      <c r="D129" s="87">
        <v>75.900000000000006</v>
      </c>
      <c r="E129" s="100">
        <v>2590</v>
      </c>
      <c r="F129" s="87">
        <v>80.3</v>
      </c>
      <c r="G129" s="100">
        <v>2444</v>
      </c>
      <c r="H129" s="101">
        <v>79.099999999999994</v>
      </c>
      <c r="I129" s="134">
        <v>2534</v>
      </c>
      <c r="J129" s="135">
        <v>77.599999999999994</v>
      </c>
      <c r="K129" s="134">
        <v>2600</v>
      </c>
      <c r="L129" s="135">
        <v>78.900000000000006</v>
      </c>
      <c r="M129" s="96"/>
      <c r="N129" s="100">
        <v>2529</v>
      </c>
      <c r="O129" s="102">
        <v>68.8</v>
      </c>
      <c r="P129" s="100">
        <v>2628</v>
      </c>
      <c r="Q129" s="102">
        <v>72.3</v>
      </c>
      <c r="R129" s="100">
        <v>2482</v>
      </c>
      <c r="S129" s="101">
        <v>75.099999999999994</v>
      </c>
      <c r="T129" s="134">
        <v>2582</v>
      </c>
      <c r="U129" s="135">
        <v>75.3</v>
      </c>
      <c r="V129" s="270">
        <v>2650</v>
      </c>
      <c r="W129" s="271">
        <v>76.5</v>
      </c>
      <c r="Y129" s="136"/>
      <c r="Z129" s="136"/>
      <c r="AB129" s="136"/>
      <c r="AC129" s="136"/>
    </row>
    <row r="130" spans="1:29" ht="11.25" customHeight="1" x14ac:dyDescent="0.2">
      <c r="A130" s="125" t="s">
        <v>237</v>
      </c>
      <c r="B130" s="142" t="s">
        <v>238</v>
      </c>
      <c r="C130" s="100">
        <v>3394</v>
      </c>
      <c r="D130" s="87">
        <v>69.2</v>
      </c>
      <c r="E130" s="100">
        <v>3407</v>
      </c>
      <c r="F130" s="87">
        <v>76</v>
      </c>
      <c r="G130" s="100">
        <v>3296</v>
      </c>
      <c r="H130" s="101">
        <v>75.900000000000006</v>
      </c>
      <c r="I130" s="134">
        <v>3480</v>
      </c>
      <c r="J130" s="135">
        <v>71.599999999999994</v>
      </c>
      <c r="K130" s="134">
        <v>3559</v>
      </c>
      <c r="L130" s="135">
        <v>76.400000000000006</v>
      </c>
      <c r="M130" s="96"/>
      <c r="N130" s="100">
        <v>3428</v>
      </c>
      <c r="O130" s="102">
        <v>63.9</v>
      </c>
      <c r="P130" s="100">
        <v>3447</v>
      </c>
      <c r="Q130" s="102">
        <v>67.2</v>
      </c>
      <c r="R130" s="100">
        <v>3295</v>
      </c>
      <c r="S130" s="101">
        <v>71.599999999999994</v>
      </c>
      <c r="T130" s="134">
        <v>3501</v>
      </c>
      <c r="U130" s="135">
        <v>68.400000000000006</v>
      </c>
      <c r="V130" s="270">
        <v>3586</v>
      </c>
      <c r="W130" s="271">
        <v>75.900000000000006</v>
      </c>
      <c r="Y130" s="136"/>
      <c r="Z130" s="136"/>
      <c r="AB130" s="136"/>
      <c r="AC130" s="136"/>
    </row>
    <row r="131" spans="1:29" ht="11.25" customHeight="1" x14ac:dyDescent="0.2">
      <c r="A131" s="125" t="s">
        <v>239</v>
      </c>
      <c r="B131" s="142" t="s">
        <v>240</v>
      </c>
      <c r="C131" s="100">
        <v>2183</v>
      </c>
      <c r="D131" s="87">
        <v>64.5</v>
      </c>
      <c r="E131" s="100">
        <v>2109</v>
      </c>
      <c r="F131" s="87">
        <v>73</v>
      </c>
      <c r="G131" s="100">
        <v>2042</v>
      </c>
      <c r="H131" s="101">
        <v>74.8</v>
      </c>
      <c r="I131" s="134">
        <v>1974</v>
      </c>
      <c r="J131" s="135">
        <v>76.7</v>
      </c>
      <c r="K131" s="134">
        <v>1961</v>
      </c>
      <c r="L131" s="135">
        <v>80.599999999999994</v>
      </c>
      <c r="M131" s="96"/>
      <c r="N131" s="100">
        <v>2219</v>
      </c>
      <c r="O131" s="102">
        <v>54.9</v>
      </c>
      <c r="P131" s="100">
        <v>2149</v>
      </c>
      <c r="Q131" s="102">
        <v>60.4</v>
      </c>
      <c r="R131" s="100">
        <v>2073</v>
      </c>
      <c r="S131" s="101">
        <v>64.2</v>
      </c>
      <c r="T131" s="134">
        <v>2015</v>
      </c>
      <c r="U131" s="135">
        <v>76.900000000000006</v>
      </c>
      <c r="V131" s="270">
        <v>1998</v>
      </c>
      <c r="W131" s="271">
        <v>80.2</v>
      </c>
      <c r="Y131" s="136"/>
      <c r="Z131" s="136"/>
      <c r="AB131" s="136"/>
      <c r="AC131" s="136"/>
    </row>
    <row r="132" spans="1:29" ht="11.25" customHeight="1" x14ac:dyDescent="0.2">
      <c r="A132" s="125" t="s">
        <v>241</v>
      </c>
      <c r="B132" s="142" t="s">
        <v>242</v>
      </c>
      <c r="C132" s="100">
        <v>1900</v>
      </c>
      <c r="D132" s="87">
        <v>78.599999999999994</v>
      </c>
      <c r="E132" s="100">
        <v>1965</v>
      </c>
      <c r="F132" s="87">
        <v>80.099999999999994</v>
      </c>
      <c r="G132" s="100">
        <v>1915</v>
      </c>
      <c r="H132" s="101">
        <v>80.900000000000006</v>
      </c>
      <c r="I132" s="134">
        <v>1907</v>
      </c>
      <c r="J132" s="135">
        <v>82.3</v>
      </c>
      <c r="K132" s="134">
        <v>1956</v>
      </c>
      <c r="L132" s="135">
        <v>79.7</v>
      </c>
      <c r="M132" s="96"/>
      <c r="N132" s="100">
        <v>1949</v>
      </c>
      <c r="O132" s="102">
        <v>76.3</v>
      </c>
      <c r="P132" s="100">
        <v>2009</v>
      </c>
      <c r="Q132" s="102">
        <v>77.900000000000006</v>
      </c>
      <c r="R132" s="100">
        <v>1955</v>
      </c>
      <c r="S132" s="101">
        <v>80.099999999999994</v>
      </c>
      <c r="T132" s="134">
        <v>1959</v>
      </c>
      <c r="U132" s="135">
        <v>80.400000000000006</v>
      </c>
      <c r="V132" s="270">
        <v>1999</v>
      </c>
      <c r="W132" s="271">
        <v>83.3</v>
      </c>
      <c r="Y132" s="136"/>
      <c r="Z132" s="136"/>
      <c r="AB132" s="136"/>
      <c r="AC132" s="136"/>
    </row>
    <row r="133" spans="1:29" ht="11.25" customHeight="1" x14ac:dyDescent="0.2">
      <c r="A133" s="125" t="s">
        <v>243</v>
      </c>
      <c r="B133" s="142" t="s">
        <v>244</v>
      </c>
      <c r="C133" s="100">
        <v>2945</v>
      </c>
      <c r="D133" s="87">
        <v>69.2</v>
      </c>
      <c r="E133" s="100">
        <v>3004</v>
      </c>
      <c r="F133" s="87">
        <v>70.900000000000006</v>
      </c>
      <c r="G133" s="100">
        <v>2969</v>
      </c>
      <c r="H133" s="101">
        <v>75.599999999999994</v>
      </c>
      <c r="I133" s="134">
        <v>2933</v>
      </c>
      <c r="J133" s="135">
        <v>64.900000000000006</v>
      </c>
      <c r="K133" s="134">
        <v>2960</v>
      </c>
      <c r="L133" s="135">
        <v>72.5</v>
      </c>
      <c r="M133" s="96"/>
      <c r="N133" s="100">
        <v>2949</v>
      </c>
      <c r="O133" s="102">
        <v>66.900000000000006</v>
      </c>
      <c r="P133" s="100">
        <v>3013</v>
      </c>
      <c r="Q133" s="102">
        <v>69.5</v>
      </c>
      <c r="R133" s="100">
        <v>2970</v>
      </c>
      <c r="S133" s="101">
        <v>72</v>
      </c>
      <c r="T133" s="134">
        <v>2948</v>
      </c>
      <c r="U133" s="135">
        <v>73.5</v>
      </c>
      <c r="V133" s="270">
        <v>2975</v>
      </c>
      <c r="W133" s="271">
        <v>74.2</v>
      </c>
      <c r="Y133" s="136"/>
      <c r="Z133" s="136"/>
      <c r="AB133" s="136"/>
      <c r="AC133" s="136"/>
    </row>
    <row r="134" spans="1:29" ht="11.25" customHeight="1" x14ac:dyDescent="0.2">
      <c r="A134" s="125" t="s">
        <v>245</v>
      </c>
      <c r="B134" s="142" t="s">
        <v>246</v>
      </c>
      <c r="C134" s="100">
        <v>2692</v>
      </c>
      <c r="D134" s="87">
        <v>66.400000000000006</v>
      </c>
      <c r="E134" s="100">
        <v>2814</v>
      </c>
      <c r="F134" s="87">
        <v>73.3</v>
      </c>
      <c r="G134" s="100">
        <v>2774</v>
      </c>
      <c r="H134" s="101">
        <v>75.2</v>
      </c>
      <c r="I134" s="134">
        <v>2752</v>
      </c>
      <c r="J134" s="135">
        <v>71</v>
      </c>
      <c r="K134" s="134">
        <v>2838</v>
      </c>
      <c r="L134" s="135">
        <v>74</v>
      </c>
      <c r="M134" s="96"/>
      <c r="N134" s="100">
        <v>2763</v>
      </c>
      <c r="O134" s="102">
        <v>61.5</v>
      </c>
      <c r="P134" s="100">
        <v>2867</v>
      </c>
      <c r="Q134" s="102">
        <v>65.099999999999994</v>
      </c>
      <c r="R134" s="100">
        <v>2795</v>
      </c>
      <c r="S134" s="101">
        <v>68.7</v>
      </c>
      <c r="T134" s="134">
        <v>2770</v>
      </c>
      <c r="U134" s="135">
        <v>75</v>
      </c>
      <c r="V134" s="270">
        <v>2869</v>
      </c>
      <c r="W134" s="271">
        <v>74.5</v>
      </c>
      <c r="Y134" s="136"/>
      <c r="Z134" s="136"/>
      <c r="AB134" s="136"/>
      <c r="AC134" s="136"/>
    </row>
    <row r="135" spans="1:29" ht="11.25" customHeight="1" x14ac:dyDescent="0.2">
      <c r="A135" s="125" t="s">
        <v>247</v>
      </c>
      <c r="B135" s="142" t="s">
        <v>248</v>
      </c>
      <c r="C135" s="100">
        <v>2316</v>
      </c>
      <c r="D135" s="87">
        <v>73.599999999999994</v>
      </c>
      <c r="E135" s="100">
        <v>2383</v>
      </c>
      <c r="F135" s="87">
        <v>78.7</v>
      </c>
      <c r="G135" s="100">
        <v>2353</v>
      </c>
      <c r="H135" s="101">
        <v>81.3</v>
      </c>
      <c r="I135" s="134">
        <v>2292</v>
      </c>
      <c r="J135" s="135">
        <v>75.599999999999994</v>
      </c>
      <c r="K135" s="134">
        <v>2492</v>
      </c>
      <c r="L135" s="135">
        <v>79</v>
      </c>
      <c r="M135" s="96"/>
      <c r="N135" s="100">
        <v>2359</v>
      </c>
      <c r="O135" s="102">
        <v>68.5</v>
      </c>
      <c r="P135" s="100">
        <v>2417</v>
      </c>
      <c r="Q135" s="102">
        <v>69.599999999999994</v>
      </c>
      <c r="R135" s="100">
        <v>2400</v>
      </c>
      <c r="S135" s="101">
        <v>72.7</v>
      </c>
      <c r="T135" s="134">
        <v>2341</v>
      </c>
      <c r="U135" s="135">
        <v>76.3</v>
      </c>
      <c r="V135" s="270">
        <v>2522</v>
      </c>
      <c r="W135" s="271">
        <v>80.3</v>
      </c>
      <c r="Y135" s="136"/>
      <c r="Z135" s="136"/>
      <c r="AB135" s="136"/>
      <c r="AC135" s="136"/>
    </row>
    <row r="136" spans="1:29" ht="11.25" customHeight="1" x14ac:dyDescent="0.2">
      <c r="A136" s="125" t="s">
        <v>249</v>
      </c>
      <c r="B136" s="142" t="s">
        <v>250</v>
      </c>
      <c r="C136" s="100">
        <v>1395</v>
      </c>
      <c r="D136" s="87">
        <v>81.099999999999994</v>
      </c>
      <c r="E136" s="100">
        <v>1366</v>
      </c>
      <c r="F136" s="87">
        <v>82.2</v>
      </c>
      <c r="G136" s="100">
        <v>1416</v>
      </c>
      <c r="H136" s="101">
        <v>84.1</v>
      </c>
      <c r="I136" s="134">
        <v>1417</v>
      </c>
      <c r="J136" s="135">
        <v>80</v>
      </c>
      <c r="K136" s="134">
        <v>1488</v>
      </c>
      <c r="L136" s="135">
        <v>81.900000000000006</v>
      </c>
      <c r="M136" s="96"/>
      <c r="N136" s="100">
        <v>1410</v>
      </c>
      <c r="O136" s="102">
        <v>75.099999999999994</v>
      </c>
      <c r="P136" s="100">
        <v>1381</v>
      </c>
      <c r="Q136" s="102">
        <v>76.7</v>
      </c>
      <c r="R136" s="100">
        <v>1436</v>
      </c>
      <c r="S136" s="101">
        <v>79.2</v>
      </c>
      <c r="T136" s="134">
        <v>1440</v>
      </c>
      <c r="U136" s="135">
        <v>82.8</v>
      </c>
      <c r="V136" s="270">
        <v>1507</v>
      </c>
      <c r="W136" s="271">
        <v>80.599999999999994</v>
      </c>
      <c r="Y136" s="136"/>
      <c r="Z136" s="136"/>
      <c r="AB136" s="136"/>
      <c r="AC136" s="136"/>
    </row>
    <row r="137" spans="1:29" ht="11.25" customHeight="1" x14ac:dyDescent="0.2">
      <c r="A137" s="125" t="s">
        <v>251</v>
      </c>
      <c r="B137" s="142" t="s">
        <v>252</v>
      </c>
      <c r="C137" s="100">
        <v>1391</v>
      </c>
      <c r="D137" s="87">
        <v>70.7</v>
      </c>
      <c r="E137" s="100">
        <v>1412</v>
      </c>
      <c r="F137" s="87">
        <v>69.3</v>
      </c>
      <c r="G137" s="100">
        <v>1349</v>
      </c>
      <c r="H137" s="101">
        <v>75.900000000000006</v>
      </c>
      <c r="I137" s="134">
        <v>1396</v>
      </c>
      <c r="J137" s="135">
        <v>72.599999999999994</v>
      </c>
      <c r="K137" s="134">
        <v>1447</v>
      </c>
      <c r="L137" s="135">
        <v>77.099999999999994</v>
      </c>
      <c r="M137" s="96"/>
      <c r="N137" s="100">
        <v>1418</v>
      </c>
      <c r="O137" s="102">
        <v>62.3</v>
      </c>
      <c r="P137" s="100">
        <v>1441</v>
      </c>
      <c r="Q137" s="102">
        <v>65.599999999999994</v>
      </c>
      <c r="R137" s="100">
        <v>1383</v>
      </c>
      <c r="S137" s="101">
        <v>75.099999999999994</v>
      </c>
      <c r="T137" s="134">
        <v>1425</v>
      </c>
      <c r="U137" s="135">
        <v>80.099999999999994</v>
      </c>
      <c r="V137" s="270">
        <v>1475</v>
      </c>
      <c r="W137" s="271">
        <v>79.599999999999994</v>
      </c>
      <c r="Y137" s="136"/>
      <c r="Z137" s="136"/>
      <c r="AB137" s="136"/>
      <c r="AC137" s="136"/>
    </row>
    <row r="138" spans="1:29" ht="11.25" customHeight="1" x14ac:dyDescent="0.2">
      <c r="A138" s="125" t="s">
        <v>253</v>
      </c>
      <c r="B138" s="142" t="s">
        <v>254</v>
      </c>
      <c r="C138" s="100">
        <v>3008</v>
      </c>
      <c r="D138" s="87">
        <v>80.400000000000006</v>
      </c>
      <c r="E138" s="100">
        <v>2999</v>
      </c>
      <c r="F138" s="87">
        <v>84.6</v>
      </c>
      <c r="G138" s="100">
        <v>3080</v>
      </c>
      <c r="H138" s="101">
        <v>83.7</v>
      </c>
      <c r="I138" s="134">
        <v>3122</v>
      </c>
      <c r="J138" s="135">
        <v>80.3</v>
      </c>
      <c r="K138" s="134">
        <v>3243</v>
      </c>
      <c r="L138" s="135">
        <v>81.5</v>
      </c>
      <c r="M138" s="96"/>
      <c r="N138" s="100">
        <v>3074</v>
      </c>
      <c r="O138" s="102">
        <v>79.099999999999994</v>
      </c>
      <c r="P138" s="100">
        <v>3029</v>
      </c>
      <c r="Q138" s="102">
        <v>81.900000000000006</v>
      </c>
      <c r="R138" s="100">
        <v>3099</v>
      </c>
      <c r="S138" s="101">
        <v>79</v>
      </c>
      <c r="T138" s="134">
        <v>3148</v>
      </c>
      <c r="U138" s="135">
        <v>84.8</v>
      </c>
      <c r="V138" s="270">
        <v>3262</v>
      </c>
      <c r="W138" s="271">
        <v>83.1</v>
      </c>
      <c r="Y138" s="136"/>
      <c r="Z138" s="136"/>
      <c r="AB138" s="136"/>
      <c r="AC138" s="136"/>
    </row>
    <row r="139" spans="1:29" ht="11.25" customHeight="1" x14ac:dyDescent="0.2">
      <c r="A139" s="125" t="s">
        <v>255</v>
      </c>
      <c r="B139" s="142" t="s">
        <v>256</v>
      </c>
      <c r="C139" s="100">
        <v>1336</v>
      </c>
      <c r="D139" s="87">
        <v>70.5</v>
      </c>
      <c r="E139" s="100">
        <v>1265</v>
      </c>
      <c r="F139" s="87">
        <v>73.7</v>
      </c>
      <c r="G139" s="100">
        <v>1288</v>
      </c>
      <c r="H139" s="101">
        <v>77.5</v>
      </c>
      <c r="I139" s="134">
        <v>1207</v>
      </c>
      <c r="J139" s="135">
        <v>69.3</v>
      </c>
      <c r="K139" s="134">
        <v>1247</v>
      </c>
      <c r="L139" s="135">
        <v>75.900000000000006</v>
      </c>
      <c r="M139" s="96"/>
      <c r="N139" s="100">
        <v>1351</v>
      </c>
      <c r="O139" s="102">
        <v>63.4</v>
      </c>
      <c r="P139" s="100">
        <v>1270</v>
      </c>
      <c r="Q139" s="102">
        <v>66.7</v>
      </c>
      <c r="R139" s="100">
        <v>1301</v>
      </c>
      <c r="S139" s="101">
        <v>69.8</v>
      </c>
      <c r="T139" s="134">
        <v>1221</v>
      </c>
      <c r="U139" s="135">
        <v>73.2</v>
      </c>
      <c r="V139" s="270">
        <v>1254</v>
      </c>
      <c r="W139" s="271">
        <v>80.3</v>
      </c>
      <c r="Y139" s="136"/>
      <c r="Z139" s="136"/>
      <c r="AB139" s="136"/>
      <c r="AC139" s="136"/>
    </row>
    <row r="140" spans="1:29" ht="11.25" customHeight="1" x14ac:dyDescent="0.2">
      <c r="A140" s="125" t="s">
        <v>257</v>
      </c>
      <c r="B140" s="142" t="s">
        <v>258</v>
      </c>
      <c r="C140" s="100">
        <v>2496</v>
      </c>
      <c r="D140" s="87">
        <v>76.8</v>
      </c>
      <c r="E140" s="100">
        <v>2553</v>
      </c>
      <c r="F140" s="87">
        <v>80.599999999999994</v>
      </c>
      <c r="G140" s="100">
        <v>2515</v>
      </c>
      <c r="H140" s="101">
        <v>83.7</v>
      </c>
      <c r="I140" s="134">
        <v>2545</v>
      </c>
      <c r="J140" s="135">
        <v>79.7</v>
      </c>
      <c r="K140" s="134">
        <v>2597</v>
      </c>
      <c r="L140" s="135">
        <v>84.9</v>
      </c>
      <c r="M140" s="96"/>
      <c r="N140" s="100">
        <v>2508</v>
      </c>
      <c r="O140" s="102">
        <v>78.599999999999994</v>
      </c>
      <c r="P140" s="100">
        <v>2562</v>
      </c>
      <c r="Q140" s="102">
        <v>79.2</v>
      </c>
      <c r="R140" s="100">
        <v>2534</v>
      </c>
      <c r="S140" s="101">
        <v>80.7</v>
      </c>
      <c r="T140" s="134">
        <v>2551</v>
      </c>
      <c r="U140" s="135">
        <v>82.6</v>
      </c>
      <c r="V140" s="270">
        <v>2608</v>
      </c>
      <c r="W140" s="271">
        <v>85.4</v>
      </c>
      <c r="Y140" s="136"/>
      <c r="Z140" s="136"/>
      <c r="AB140" s="136"/>
      <c r="AC140" s="136"/>
    </row>
    <row r="141" spans="1:29" ht="11.25" customHeight="1" x14ac:dyDescent="0.2">
      <c r="A141" s="125" t="s">
        <v>259</v>
      </c>
      <c r="B141" s="142" t="s">
        <v>260</v>
      </c>
      <c r="C141" s="100">
        <v>2328</v>
      </c>
      <c r="D141" s="87">
        <v>68.099999999999994</v>
      </c>
      <c r="E141" s="100">
        <v>2359</v>
      </c>
      <c r="F141" s="87">
        <v>75.599999999999994</v>
      </c>
      <c r="G141" s="100">
        <v>2240</v>
      </c>
      <c r="H141" s="101">
        <v>76</v>
      </c>
      <c r="I141" s="134">
        <v>2245</v>
      </c>
      <c r="J141" s="135">
        <v>70.599999999999994</v>
      </c>
      <c r="K141" s="134">
        <v>2333</v>
      </c>
      <c r="L141" s="135">
        <v>73</v>
      </c>
      <c r="M141" s="96"/>
      <c r="N141" s="100">
        <v>2359</v>
      </c>
      <c r="O141" s="102">
        <v>65.8</v>
      </c>
      <c r="P141" s="100">
        <v>2384</v>
      </c>
      <c r="Q141" s="102">
        <v>68.8</v>
      </c>
      <c r="R141" s="100">
        <v>2263</v>
      </c>
      <c r="S141" s="101">
        <v>69.2</v>
      </c>
      <c r="T141" s="134">
        <v>2282</v>
      </c>
      <c r="U141" s="135">
        <v>69.099999999999994</v>
      </c>
      <c r="V141" s="270">
        <v>2377</v>
      </c>
      <c r="W141" s="271">
        <v>75.599999999999994</v>
      </c>
      <c r="Y141" s="136"/>
      <c r="Z141" s="136"/>
      <c r="AB141" s="136"/>
      <c r="AC141" s="136"/>
    </row>
    <row r="142" spans="1:29" ht="11.25" customHeight="1" x14ac:dyDescent="0.2">
      <c r="A142" s="3"/>
      <c r="B142" s="142"/>
      <c r="C142" s="100"/>
      <c r="D142" s="102"/>
      <c r="E142" s="100"/>
      <c r="F142" s="102"/>
      <c r="G142" s="100"/>
      <c r="H142" s="101"/>
      <c r="M142" s="96"/>
      <c r="N142" s="100"/>
      <c r="P142" s="100"/>
      <c r="Q142" s="102"/>
      <c r="R142" s="100"/>
      <c r="S142" s="101"/>
      <c r="V142" s="272"/>
      <c r="W142" s="272"/>
      <c r="Y142" s="136"/>
      <c r="Z142" s="136"/>
      <c r="AB142" s="136"/>
      <c r="AC142" s="136"/>
    </row>
    <row r="143" spans="1:29" s="98" customFormat="1" ht="11.25" customHeight="1" x14ac:dyDescent="0.2">
      <c r="A143" s="16" t="s">
        <v>387</v>
      </c>
      <c r="B143" s="92" t="s">
        <v>261</v>
      </c>
      <c r="C143" s="93">
        <v>85200</v>
      </c>
      <c r="D143" s="94">
        <v>68.7</v>
      </c>
      <c r="E143" s="93">
        <v>86830</v>
      </c>
      <c r="F143" s="94">
        <v>73</v>
      </c>
      <c r="G143" s="93">
        <v>83869</v>
      </c>
      <c r="H143" s="95">
        <v>73.5</v>
      </c>
      <c r="I143" s="93">
        <v>83465</v>
      </c>
      <c r="J143" s="95">
        <v>69.7</v>
      </c>
      <c r="K143" s="93">
        <v>85275</v>
      </c>
      <c r="L143" s="95">
        <v>73.7</v>
      </c>
      <c r="M143" s="96"/>
      <c r="N143" s="93">
        <v>85455</v>
      </c>
      <c r="O143" s="97">
        <v>63.6</v>
      </c>
      <c r="P143" s="93">
        <v>87099</v>
      </c>
      <c r="Q143" s="97">
        <v>67.099999999999994</v>
      </c>
      <c r="R143" s="93">
        <v>84157</v>
      </c>
      <c r="S143" s="95">
        <v>68.900000000000006</v>
      </c>
      <c r="T143" s="93">
        <v>83777</v>
      </c>
      <c r="U143" s="95">
        <v>72.099999999999994</v>
      </c>
      <c r="V143" s="268">
        <v>85709</v>
      </c>
      <c r="W143" s="269">
        <v>74.099999999999994</v>
      </c>
      <c r="Y143" s="136"/>
      <c r="Z143" s="136"/>
      <c r="AB143" s="136"/>
      <c r="AC143" s="136"/>
    </row>
    <row r="144" spans="1:29" ht="11.25" customHeight="1" x14ac:dyDescent="0.2">
      <c r="A144" s="125" t="s">
        <v>465</v>
      </c>
      <c r="B144" s="142" t="s">
        <v>262</v>
      </c>
      <c r="C144" s="100">
        <v>1054</v>
      </c>
      <c r="D144" s="87">
        <v>61.1</v>
      </c>
      <c r="E144" s="100">
        <v>1044</v>
      </c>
      <c r="F144" s="87">
        <v>72.099999999999994</v>
      </c>
      <c r="G144" s="100">
        <v>1035</v>
      </c>
      <c r="H144" s="101">
        <v>74.2</v>
      </c>
      <c r="I144" s="134">
        <v>1048</v>
      </c>
      <c r="J144" s="135">
        <v>71.900000000000006</v>
      </c>
      <c r="K144" s="134">
        <v>1032</v>
      </c>
      <c r="L144" s="135">
        <v>71.5</v>
      </c>
      <c r="M144" s="96"/>
      <c r="N144" s="100">
        <v>1065</v>
      </c>
      <c r="O144" s="102">
        <v>61.7</v>
      </c>
      <c r="P144" s="100">
        <v>1052</v>
      </c>
      <c r="Q144" s="102">
        <v>65.400000000000006</v>
      </c>
      <c r="R144" s="100">
        <v>1048</v>
      </c>
      <c r="S144" s="101">
        <v>68.599999999999994</v>
      </c>
      <c r="T144" s="134">
        <v>1054</v>
      </c>
      <c r="U144" s="135">
        <v>71.3</v>
      </c>
      <c r="V144" s="270">
        <v>1035</v>
      </c>
      <c r="W144" s="271">
        <v>73.8</v>
      </c>
      <c r="Y144" s="136"/>
      <c r="Z144" s="136"/>
      <c r="AB144" s="136"/>
      <c r="AC144" s="136"/>
    </row>
    <row r="145" spans="1:29" ht="11.25" customHeight="1" x14ac:dyDescent="0.2">
      <c r="A145" s="125" t="s">
        <v>263</v>
      </c>
      <c r="B145" s="142" t="s">
        <v>264</v>
      </c>
      <c r="C145" s="100">
        <v>2130</v>
      </c>
      <c r="D145" s="87">
        <v>63.6</v>
      </c>
      <c r="E145" s="100">
        <v>2216</v>
      </c>
      <c r="F145" s="87">
        <v>68.5</v>
      </c>
      <c r="G145" s="100">
        <v>2158</v>
      </c>
      <c r="H145" s="101">
        <v>65.900000000000006</v>
      </c>
      <c r="I145" s="134">
        <v>2054</v>
      </c>
      <c r="J145" s="135">
        <v>72.599999999999994</v>
      </c>
      <c r="K145" s="134">
        <v>2145</v>
      </c>
      <c r="L145" s="135">
        <v>75.2</v>
      </c>
      <c r="M145" s="96"/>
      <c r="N145" s="100">
        <v>2132</v>
      </c>
      <c r="O145" s="102">
        <v>53.3</v>
      </c>
      <c r="P145" s="100">
        <v>2230</v>
      </c>
      <c r="Q145" s="102">
        <v>57.8</v>
      </c>
      <c r="R145" s="100">
        <v>2171</v>
      </c>
      <c r="S145" s="101">
        <v>61</v>
      </c>
      <c r="T145" s="134">
        <v>2048</v>
      </c>
      <c r="U145" s="135">
        <v>60.6</v>
      </c>
      <c r="V145" s="270">
        <v>2151</v>
      </c>
      <c r="W145" s="271">
        <v>68.599999999999994</v>
      </c>
      <c r="Y145" s="136"/>
      <c r="Z145" s="136"/>
      <c r="AB145" s="136"/>
      <c r="AC145" s="136"/>
    </row>
    <row r="146" spans="1:29" ht="11.25" customHeight="1" x14ac:dyDescent="0.2">
      <c r="A146" s="125" t="s">
        <v>265</v>
      </c>
      <c r="B146" s="142" t="s">
        <v>266</v>
      </c>
      <c r="C146" s="100">
        <v>5357</v>
      </c>
      <c r="D146" s="87">
        <v>77.099999999999994</v>
      </c>
      <c r="E146" s="100">
        <v>5509</v>
      </c>
      <c r="F146" s="87">
        <v>77.8</v>
      </c>
      <c r="G146" s="100">
        <v>5259</v>
      </c>
      <c r="H146" s="101">
        <v>79</v>
      </c>
      <c r="I146" s="134">
        <v>5248</v>
      </c>
      <c r="J146" s="135">
        <v>76</v>
      </c>
      <c r="K146" s="134">
        <v>5317</v>
      </c>
      <c r="L146" s="135">
        <v>79.7</v>
      </c>
      <c r="M146" s="96"/>
      <c r="N146" s="100">
        <v>5367</v>
      </c>
      <c r="O146" s="102">
        <v>75.7</v>
      </c>
      <c r="P146" s="100">
        <v>5523</v>
      </c>
      <c r="Q146" s="102">
        <v>76.2</v>
      </c>
      <c r="R146" s="100">
        <v>5288</v>
      </c>
      <c r="S146" s="101">
        <v>78.599999999999994</v>
      </c>
      <c r="T146" s="134">
        <v>5276</v>
      </c>
      <c r="U146" s="135">
        <v>81</v>
      </c>
      <c r="V146" s="270">
        <v>5341</v>
      </c>
      <c r="W146" s="271">
        <v>82.6</v>
      </c>
      <c r="Y146" s="136"/>
      <c r="Z146" s="136"/>
      <c r="AB146" s="136"/>
      <c r="AC146" s="136"/>
    </row>
    <row r="147" spans="1:29" ht="11.25" customHeight="1" x14ac:dyDescent="0.2">
      <c r="A147" s="125" t="s">
        <v>267</v>
      </c>
      <c r="B147" s="142" t="s">
        <v>268</v>
      </c>
      <c r="C147" s="100">
        <v>4963</v>
      </c>
      <c r="D147" s="87">
        <v>64.2</v>
      </c>
      <c r="E147" s="100">
        <v>5169</v>
      </c>
      <c r="F147" s="87">
        <v>69.2</v>
      </c>
      <c r="G147" s="100">
        <v>4952</v>
      </c>
      <c r="H147" s="101">
        <v>71.2</v>
      </c>
      <c r="I147" s="134">
        <v>4831</v>
      </c>
      <c r="J147" s="135">
        <v>66.900000000000006</v>
      </c>
      <c r="K147" s="134">
        <v>5106</v>
      </c>
      <c r="L147" s="135">
        <v>73.5</v>
      </c>
      <c r="M147" s="96"/>
      <c r="N147" s="100">
        <v>4973</v>
      </c>
      <c r="O147" s="102">
        <v>62</v>
      </c>
      <c r="P147" s="100">
        <v>5186</v>
      </c>
      <c r="Q147" s="102">
        <v>66</v>
      </c>
      <c r="R147" s="100">
        <v>4963</v>
      </c>
      <c r="S147" s="101">
        <v>67.400000000000006</v>
      </c>
      <c r="T147" s="134">
        <v>4849</v>
      </c>
      <c r="U147" s="135">
        <v>71.099999999999994</v>
      </c>
      <c r="V147" s="270">
        <v>5129</v>
      </c>
      <c r="W147" s="271">
        <v>71.3</v>
      </c>
      <c r="Y147" s="136"/>
      <c r="Z147" s="136"/>
      <c r="AB147" s="136"/>
      <c r="AC147" s="136"/>
    </row>
    <row r="148" spans="1:29" ht="11.25" customHeight="1" x14ac:dyDescent="0.2">
      <c r="A148" s="125" t="s">
        <v>269</v>
      </c>
      <c r="B148" s="142" t="s">
        <v>270</v>
      </c>
      <c r="C148" s="100">
        <v>13498</v>
      </c>
      <c r="D148" s="87">
        <v>71</v>
      </c>
      <c r="E148" s="100">
        <v>13579</v>
      </c>
      <c r="F148" s="87">
        <v>73.7</v>
      </c>
      <c r="G148" s="100">
        <v>13198</v>
      </c>
      <c r="H148" s="101">
        <v>74.400000000000006</v>
      </c>
      <c r="I148" s="134">
        <v>13208</v>
      </c>
      <c r="J148" s="135">
        <v>67.400000000000006</v>
      </c>
      <c r="K148" s="134">
        <v>13354</v>
      </c>
      <c r="L148" s="135">
        <v>70.5</v>
      </c>
      <c r="M148" s="96"/>
      <c r="N148" s="100">
        <v>13537</v>
      </c>
      <c r="O148" s="102">
        <v>65.2</v>
      </c>
      <c r="P148" s="100">
        <v>13639</v>
      </c>
      <c r="Q148" s="102">
        <v>68.2</v>
      </c>
      <c r="R148" s="100">
        <v>13237</v>
      </c>
      <c r="S148" s="101">
        <v>69.900000000000006</v>
      </c>
      <c r="T148" s="134">
        <v>13268</v>
      </c>
      <c r="U148" s="135">
        <v>71.7</v>
      </c>
      <c r="V148" s="270">
        <v>13415</v>
      </c>
      <c r="W148" s="271">
        <v>73.2</v>
      </c>
      <c r="Y148" s="136"/>
      <c r="Z148" s="136"/>
      <c r="AB148" s="136"/>
      <c r="AC148" s="136"/>
    </row>
    <row r="149" spans="1:29" ht="11.25" customHeight="1" x14ac:dyDescent="0.2">
      <c r="A149" s="125" t="s">
        <v>271</v>
      </c>
      <c r="B149" s="142" t="s">
        <v>272</v>
      </c>
      <c r="C149" s="100">
        <v>1467</v>
      </c>
      <c r="D149" s="87">
        <v>59.5</v>
      </c>
      <c r="E149" s="100">
        <v>1488</v>
      </c>
      <c r="F149" s="87">
        <v>65</v>
      </c>
      <c r="G149" s="100">
        <v>1416</v>
      </c>
      <c r="H149" s="101">
        <v>64.2</v>
      </c>
      <c r="I149" s="134">
        <v>1503</v>
      </c>
      <c r="J149" s="135">
        <v>53.3</v>
      </c>
      <c r="K149" s="134">
        <v>1416</v>
      </c>
      <c r="L149" s="135">
        <v>62.1</v>
      </c>
      <c r="M149" s="96"/>
      <c r="N149" s="100">
        <v>1464</v>
      </c>
      <c r="O149" s="102">
        <v>51.3</v>
      </c>
      <c r="P149" s="100">
        <v>1490</v>
      </c>
      <c r="Q149" s="102">
        <v>58.7</v>
      </c>
      <c r="R149" s="100">
        <v>1408</v>
      </c>
      <c r="S149" s="101">
        <v>59.2</v>
      </c>
      <c r="T149" s="134">
        <v>1504</v>
      </c>
      <c r="U149" s="135">
        <v>60.9</v>
      </c>
      <c r="V149" s="270">
        <v>1410</v>
      </c>
      <c r="W149" s="271">
        <v>65.3</v>
      </c>
      <c r="Y149" s="136"/>
      <c r="Z149" s="136"/>
      <c r="AB149" s="136"/>
      <c r="AC149" s="136"/>
    </row>
    <row r="150" spans="1:29" ht="11.25" customHeight="1" x14ac:dyDescent="0.2">
      <c r="A150" s="125" t="s">
        <v>273</v>
      </c>
      <c r="B150" s="142" t="s">
        <v>274</v>
      </c>
      <c r="C150" s="100">
        <v>15975</v>
      </c>
      <c r="D150" s="87">
        <v>65.8</v>
      </c>
      <c r="E150" s="100">
        <v>16131</v>
      </c>
      <c r="F150" s="87">
        <v>71.599999999999994</v>
      </c>
      <c r="G150" s="100">
        <v>15398</v>
      </c>
      <c r="H150" s="101">
        <v>72.599999999999994</v>
      </c>
      <c r="I150" s="134">
        <v>15559</v>
      </c>
      <c r="J150" s="135">
        <v>70.2</v>
      </c>
      <c r="K150" s="134">
        <v>15869</v>
      </c>
      <c r="L150" s="135">
        <v>74.400000000000006</v>
      </c>
      <c r="M150" s="96"/>
      <c r="N150" s="100">
        <v>15979</v>
      </c>
      <c r="O150" s="102">
        <v>62.3</v>
      </c>
      <c r="P150" s="100">
        <v>16197</v>
      </c>
      <c r="Q150" s="102">
        <v>65.3</v>
      </c>
      <c r="R150" s="100">
        <v>15450</v>
      </c>
      <c r="S150" s="101">
        <v>68.5</v>
      </c>
      <c r="T150" s="134">
        <v>15609</v>
      </c>
      <c r="U150" s="135">
        <v>72</v>
      </c>
      <c r="V150" s="270">
        <v>15974</v>
      </c>
      <c r="W150" s="271">
        <v>73.099999999999994</v>
      </c>
      <c r="Y150" s="136"/>
      <c r="Z150" s="136"/>
      <c r="AB150" s="136"/>
      <c r="AC150" s="136"/>
    </row>
    <row r="151" spans="1:29" ht="11.25" customHeight="1" x14ac:dyDescent="0.2">
      <c r="A151" s="125" t="s">
        <v>275</v>
      </c>
      <c r="B151" s="142" t="s">
        <v>276</v>
      </c>
      <c r="C151" s="100">
        <v>3268</v>
      </c>
      <c r="D151" s="87">
        <v>70.2</v>
      </c>
      <c r="E151" s="100">
        <v>3310</v>
      </c>
      <c r="F151" s="87">
        <v>69.099999999999994</v>
      </c>
      <c r="G151" s="100">
        <v>3105</v>
      </c>
      <c r="H151" s="101">
        <v>68.5</v>
      </c>
      <c r="I151" s="134">
        <v>3035</v>
      </c>
      <c r="J151" s="135">
        <v>73.8</v>
      </c>
      <c r="K151" s="134">
        <v>3105</v>
      </c>
      <c r="L151" s="135">
        <v>73</v>
      </c>
      <c r="M151" s="96"/>
      <c r="N151" s="100">
        <v>3265</v>
      </c>
      <c r="O151" s="102">
        <v>60.5</v>
      </c>
      <c r="P151" s="100">
        <v>3303</v>
      </c>
      <c r="Q151" s="102">
        <v>63.6</v>
      </c>
      <c r="R151" s="100">
        <v>3119</v>
      </c>
      <c r="S151" s="101">
        <v>64.900000000000006</v>
      </c>
      <c r="T151" s="134">
        <v>3043</v>
      </c>
      <c r="U151" s="135">
        <v>71.5</v>
      </c>
      <c r="V151" s="270">
        <v>3117</v>
      </c>
      <c r="W151" s="271">
        <v>70.400000000000006</v>
      </c>
      <c r="Y151" s="136"/>
      <c r="Z151" s="136"/>
      <c r="AB151" s="136"/>
      <c r="AC151" s="136"/>
    </row>
    <row r="152" spans="1:29" ht="11.25" customHeight="1" x14ac:dyDescent="0.2">
      <c r="A152" s="125" t="s">
        <v>277</v>
      </c>
      <c r="B152" s="142" t="s">
        <v>278</v>
      </c>
      <c r="C152" s="100">
        <v>2447</v>
      </c>
      <c r="D152" s="87">
        <v>68.2</v>
      </c>
      <c r="E152" s="100">
        <v>2582</v>
      </c>
      <c r="F152" s="87">
        <v>72.3</v>
      </c>
      <c r="G152" s="100">
        <v>2470</v>
      </c>
      <c r="H152" s="101">
        <v>71</v>
      </c>
      <c r="I152" s="134">
        <v>2554</v>
      </c>
      <c r="J152" s="135">
        <v>77.099999999999994</v>
      </c>
      <c r="K152" s="134">
        <v>2600</v>
      </c>
      <c r="L152" s="135">
        <v>74.599999999999994</v>
      </c>
      <c r="M152" s="96"/>
      <c r="N152" s="100">
        <v>2466</v>
      </c>
      <c r="O152" s="102">
        <v>59.2</v>
      </c>
      <c r="P152" s="100">
        <v>2591</v>
      </c>
      <c r="Q152" s="102">
        <v>62.3</v>
      </c>
      <c r="R152" s="100">
        <v>2501</v>
      </c>
      <c r="S152" s="101">
        <v>63.1</v>
      </c>
      <c r="T152" s="134">
        <v>2563</v>
      </c>
      <c r="U152" s="135">
        <v>69.3</v>
      </c>
      <c r="V152" s="270">
        <v>2628</v>
      </c>
      <c r="W152" s="271">
        <v>73.2</v>
      </c>
      <c r="Y152" s="136"/>
      <c r="Z152" s="136"/>
      <c r="AB152" s="136"/>
      <c r="AC152" s="136"/>
    </row>
    <row r="153" spans="1:29" ht="11.25" customHeight="1" x14ac:dyDescent="0.2">
      <c r="A153" s="125" t="s">
        <v>279</v>
      </c>
      <c r="B153" s="142" t="s">
        <v>280</v>
      </c>
      <c r="C153" s="100">
        <v>5953</v>
      </c>
      <c r="D153" s="87">
        <v>67.900000000000006</v>
      </c>
      <c r="E153" s="100">
        <v>6106</v>
      </c>
      <c r="F153" s="87">
        <v>71.7</v>
      </c>
      <c r="G153" s="100">
        <v>5862</v>
      </c>
      <c r="H153" s="101">
        <v>70.7</v>
      </c>
      <c r="I153" s="134">
        <v>5758</v>
      </c>
      <c r="J153" s="135">
        <v>66.099999999999994</v>
      </c>
      <c r="K153" s="134">
        <v>6012</v>
      </c>
      <c r="L153" s="135">
        <v>71.2</v>
      </c>
      <c r="M153" s="96"/>
      <c r="N153" s="100">
        <v>5998</v>
      </c>
      <c r="O153" s="102">
        <v>63.6</v>
      </c>
      <c r="P153" s="100">
        <v>6114</v>
      </c>
      <c r="Q153" s="102">
        <v>68.5</v>
      </c>
      <c r="R153" s="100">
        <v>5879</v>
      </c>
      <c r="S153" s="101">
        <v>68.2</v>
      </c>
      <c r="T153" s="134">
        <v>5785</v>
      </c>
      <c r="U153" s="135">
        <v>71.8</v>
      </c>
      <c r="V153" s="270">
        <v>6030</v>
      </c>
      <c r="W153" s="271">
        <v>71.900000000000006</v>
      </c>
      <c r="Y153" s="136"/>
      <c r="Z153" s="136"/>
      <c r="AB153" s="136"/>
      <c r="AC153" s="136"/>
    </row>
    <row r="154" spans="1:29" ht="11.25" customHeight="1" x14ac:dyDescent="0.2">
      <c r="A154" s="125" t="s">
        <v>281</v>
      </c>
      <c r="B154" s="142" t="s">
        <v>282</v>
      </c>
      <c r="C154" s="100">
        <v>1861</v>
      </c>
      <c r="D154" s="87">
        <v>57.9</v>
      </c>
      <c r="E154" s="100">
        <v>1793</v>
      </c>
      <c r="F154" s="87">
        <v>64.599999999999994</v>
      </c>
      <c r="G154" s="100">
        <v>1796</v>
      </c>
      <c r="H154" s="101">
        <v>66.3</v>
      </c>
      <c r="I154" s="134">
        <v>1703</v>
      </c>
      <c r="J154" s="135">
        <v>64.900000000000006</v>
      </c>
      <c r="K154" s="134">
        <v>1717</v>
      </c>
      <c r="L154" s="135">
        <v>60.6</v>
      </c>
      <c r="M154" s="96"/>
      <c r="N154" s="100">
        <v>1861</v>
      </c>
      <c r="O154" s="102">
        <v>45.6</v>
      </c>
      <c r="P154" s="100">
        <v>1787</v>
      </c>
      <c r="Q154" s="102">
        <v>53.6</v>
      </c>
      <c r="R154" s="100">
        <v>1808</v>
      </c>
      <c r="S154" s="101">
        <v>52.7</v>
      </c>
      <c r="T154" s="134">
        <v>1708</v>
      </c>
      <c r="U154" s="135">
        <v>63.3</v>
      </c>
      <c r="V154" s="270">
        <v>1726</v>
      </c>
      <c r="W154" s="271">
        <v>63.4</v>
      </c>
      <c r="Y154" s="136"/>
      <c r="Z154" s="136"/>
      <c r="AB154" s="136"/>
      <c r="AC154" s="136"/>
    </row>
    <row r="155" spans="1:29" ht="11.25" customHeight="1" x14ac:dyDescent="0.2">
      <c r="A155" s="125" t="s">
        <v>283</v>
      </c>
      <c r="B155" s="142" t="s">
        <v>284</v>
      </c>
      <c r="C155" s="100">
        <v>869</v>
      </c>
      <c r="D155" s="87">
        <v>67.400000000000006</v>
      </c>
      <c r="E155" s="100">
        <v>903</v>
      </c>
      <c r="F155" s="87">
        <v>72.400000000000006</v>
      </c>
      <c r="G155" s="100">
        <v>907</v>
      </c>
      <c r="H155" s="101">
        <v>67.7</v>
      </c>
      <c r="I155" s="134">
        <v>935</v>
      </c>
      <c r="J155" s="135">
        <v>70.900000000000006</v>
      </c>
      <c r="K155" s="134">
        <v>1010</v>
      </c>
      <c r="L155" s="135">
        <v>73.8</v>
      </c>
      <c r="M155" s="96"/>
      <c r="N155" s="100">
        <v>888</v>
      </c>
      <c r="O155" s="102">
        <v>64.3</v>
      </c>
      <c r="P155" s="100">
        <v>911</v>
      </c>
      <c r="Q155" s="102">
        <v>65.2</v>
      </c>
      <c r="R155" s="100">
        <v>907</v>
      </c>
      <c r="S155" s="101">
        <v>67.599999999999994</v>
      </c>
      <c r="T155" s="134">
        <v>955</v>
      </c>
      <c r="U155" s="135">
        <v>73.5</v>
      </c>
      <c r="V155" s="270">
        <v>1021</v>
      </c>
      <c r="W155" s="271">
        <v>75.5</v>
      </c>
      <c r="Y155" s="136"/>
      <c r="Z155" s="136"/>
      <c r="AB155" s="136"/>
      <c r="AC155" s="136"/>
    </row>
    <row r="156" spans="1:29" ht="11.25" customHeight="1" x14ac:dyDescent="0.2">
      <c r="A156" s="125" t="s">
        <v>285</v>
      </c>
      <c r="B156" s="142" t="s">
        <v>286</v>
      </c>
      <c r="C156" s="100">
        <v>1347</v>
      </c>
      <c r="D156" s="87">
        <v>77.5</v>
      </c>
      <c r="E156" s="100">
        <v>1444</v>
      </c>
      <c r="F156" s="87">
        <v>81.5</v>
      </c>
      <c r="G156" s="100">
        <v>1433</v>
      </c>
      <c r="H156" s="101">
        <v>80.7</v>
      </c>
      <c r="I156" s="134">
        <v>1466</v>
      </c>
      <c r="J156" s="135">
        <v>76.599999999999994</v>
      </c>
      <c r="K156" s="134">
        <v>1572</v>
      </c>
      <c r="L156" s="135">
        <v>85.2</v>
      </c>
      <c r="M156" s="96"/>
      <c r="N156" s="100">
        <v>1369</v>
      </c>
      <c r="O156" s="102">
        <v>73.400000000000006</v>
      </c>
      <c r="P156" s="100">
        <v>1457</v>
      </c>
      <c r="Q156" s="102">
        <v>76.400000000000006</v>
      </c>
      <c r="R156" s="100">
        <v>1444</v>
      </c>
      <c r="S156" s="101">
        <v>80.7</v>
      </c>
      <c r="T156" s="134">
        <v>1477</v>
      </c>
      <c r="U156" s="135">
        <v>80</v>
      </c>
      <c r="V156" s="270">
        <v>1579</v>
      </c>
      <c r="W156" s="271">
        <v>84.8</v>
      </c>
      <c r="Y156" s="136"/>
      <c r="Z156" s="136"/>
      <c r="AB156" s="136"/>
      <c r="AC156" s="136"/>
    </row>
    <row r="157" spans="1:29" ht="11.25" customHeight="1" x14ac:dyDescent="0.2">
      <c r="A157" s="125" t="s">
        <v>287</v>
      </c>
      <c r="B157" s="142" t="s">
        <v>288</v>
      </c>
      <c r="C157" s="100">
        <v>2130</v>
      </c>
      <c r="D157" s="87">
        <v>63.1</v>
      </c>
      <c r="E157" s="100">
        <v>1981</v>
      </c>
      <c r="F157" s="87">
        <v>63.9</v>
      </c>
      <c r="G157" s="100">
        <v>1901</v>
      </c>
      <c r="H157" s="101">
        <v>68.5</v>
      </c>
      <c r="I157" s="134">
        <v>1786</v>
      </c>
      <c r="J157" s="135">
        <v>68.8</v>
      </c>
      <c r="K157" s="134">
        <v>1938</v>
      </c>
      <c r="L157" s="135">
        <v>73.5</v>
      </c>
      <c r="M157" s="96"/>
      <c r="N157" s="100">
        <v>2138</v>
      </c>
      <c r="O157" s="102">
        <v>51.7</v>
      </c>
      <c r="P157" s="100">
        <v>1993</v>
      </c>
      <c r="Q157" s="102">
        <v>56.9</v>
      </c>
      <c r="R157" s="100">
        <v>1918</v>
      </c>
      <c r="S157" s="101">
        <v>59.5</v>
      </c>
      <c r="T157" s="134">
        <v>1805</v>
      </c>
      <c r="U157" s="135">
        <v>67.3</v>
      </c>
      <c r="V157" s="270">
        <v>1960</v>
      </c>
      <c r="W157" s="271">
        <v>71.099999999999994</v>
      </c>
      <c r="Y157" s="136"/>
      <c r="Z157" s="136"/>
      <c r="AB157" s="136"/>
      <c r="AC157" s="136"/>
    </row>
    <row r="158" spans="1:29" ht="11.25" customHeight="1" x14ac:dyDescent="0.2">
      <c r="A158" s="125" t="s">
        <v>289</v>
      </c>
      <c r="B158" s="142" t="s">
        <v>290</v>
      </c>
      <c r="C158" s="100">
        <v>10011</v>
      </c>
      <c r="D158" s="87">
        <v>71.400000000000006</v>
      </c>
      <c r="E158" s="100">
        <v>10259</v>
      </c>
      <c r="F158" s="87">
        <v>76.2</v>
      </c>
      <c r="G158" s="100">
        <v>10207</v>
      </c>
      <c r="H158" s="101">
        <v>76.8</v>
      </c>
      <c r="I158" s="134">
        <v>10083</v>
      </c>
      <c r="J158" s="135">
        <v>72.400000000000006</v>
      </c>
      <c r="K158" s="134">
        <v>10140</v>
      </c>
      <c r="L158" s="135">
        <v>78.099999999999994</v>
      </c>
      <c r="M158" s="96"/>
      <c r="N158" s="100">
        <v>10054</v>
      </c>
      <c r="O158" s="102">
        <v>67.7</v>
      </c>
      <c r="P158" s="100">
        <v>10279</v>
      </c>
      <c r="Q158" s="102">
        <v>70.7</v>
      </c>
      <c r="R158" s="100">
        <v>10220</v>
      </c>
      <c r="S158" s="101">
        <v>72.2</v>
      </c>
      <c r="T158" s="134">
        <v>10119</v>
      </c>
      <c r="U158" s="135">
        <v>75.5</v>
      </c>
      <c r="V158" s="270">
        <v>10183</v>
      </c>
      <c r="W158" s="271">
        <v>78.5</v>
      </c>
      <c r="Y158" s="136"/>
      <c r="Z158" s="136"/>
      <c r="AB158" s="136"/>
      <c r="AC158" s="136"/>
    </row>
    <row r="159" spans="1:29" ht="11.25" customHeight="1" x14ac:dyDescent="0.2">
      <c r="A159" s="125" t="s">
        <v>291</v>
      </c>
      <c r="B159" s="142" t="s">
        <v>292</v>
      </c>
      <c r="C159" s="100">
        <v>1918</v>
      </c>
      <c r="D159" s="87">
        <v>68.599999999999994</v>
      </c>
      <c r="E159" s="100">
        <v>1927</v>
      </c>
      <c r="F159" s="87">
        <v>77.400000000000006</v>
      </c>
      <c r="G159" s="100">
        <v>1894</v>
      </c>
      <c r="H159" s="101">
        <v>77.599999999999994</v>
      </c>
      <c r="I159" s="134">
        <v>1834</v>
      </c>
      <c r="J159" s="135">
        <v>63.2</v>
      </c>
      <c r="K159" s="134">
        <v>1896</v>
      </c>
      <c r="L159" s="135">
        <v>71.8</v>
      </c>
      <c r="M159" s="96"/>
      <c r="N159" s="100">
        <v>1922</v>
      </c>
      <c r="O159" s="102">
        <v>67.7</v>
      </c>
      <c r="P159" s="100">
        <v>1923</v>
      </c>
      <c r="Q159" s="102">
        <v>69.3</v>
      </c>
      <c r="R159" s="100">
        <v>1893</v>
      </c>
      <c r="S159" s="101">
        <v>69.7</v>
      </c>
      <c r="T159" s="134">
        <v>1837</v>
      </c>
      <c r="U159" s="135">
        <v>72.099999999999994</v>
      </c>
      <c r="V159" s="270">
        <v>1910</v>
      </c>
      <c r="W159" s="271">
        <v>75</v>
      </c>
      <c r="Y159" s="136"/>
      <c r="Z159" s="136"/>
      <c r="AB159" s="136"/>
      <c r="AC159" s="136"/>
    </row>
    <row r="160" spans="1:29" ht="11.25" customHeight="1" x14ac:dyDescent="0.2">
      <c r="A160" s="125" t="s">
        <v>293</v>
      </c>
      <c r="B160" s="142" t="s">
        <v>294</v>
      </c>
      <c r="C160" s="100">
        <v>7854</v>
      </c>
      <c r="D160" s="87">
        <v>69.599999999999994</v>
      </c>
      <c r="E160" s="100">
        <v>8159</v>
      </c>
      <c r="F160" s="87">
        <v>74.7</v>
      </c>
      <c r="G160" s="100">
        <v>7822</v>
      </c>
      <c r="H160" s="101">
        <v>75.8</v>
      </c>
      <c r="I160" s="134">
        <v>7842</v>
      </c>
      <c r="J160" s="135">
        <v>68</v>
      </c>
      <c r="K160" s="134">
        <v>7930</v>
      </c>
      <c r="L160" s="135">
        <v>72</v>
      </c>
      <c r="M160" s="96"/>
      <c r="N160" s="100">
        <v>7865</v>
      </c>
      <c r="O160" s="102">
        <v>60.3</v>
      </c>
      <c r="P160" s="100">
        <v>8165</v>
      </c>
      <c r="Q160" s="102">
        <v>65</v>
      </c>
      <c r="R160" s="100">
        <v>7825</v>
      </c>
      <c r="S160" s="101">
        <v>67.599999999999994</v>
      </c>
      <c r="T160" s="134">
        <v>7846</v>
      </c>
      <c r="U160" s="135">
        <v>68.5</v>
      </c>
      <c r="V160" s="270">
        <v>7955</v>
      </c>
      <c r="W160" s="271">
        <v>72.5</v>
      </c>
      <c r="Y160" s="136"/>
      <c r="Z160" s="136"/>
      <c r="AB160" s="136"/>
      <c r="AC160" s="136"/>
    </row>
    <row r="161" spans="1:29" ht="11.25" customHeight="1" x14ac:dyDescent="0.2">
      <c r="A161" s="125" t="s">
        <v>295</v>
      </c>
      <c r="B161" s="142" t="s">
        <v>296</v>
      </c>
      <c r="C161" s="100">
        <v>1459</v>
      </c>
      <c r="D161" s="87">
        <v>71.900000000000006</v>
      </c>
      <c r="E161" s="100">
        <v>1478</v>
      </c>
      <c r="F161" s="87">
        <v>75.3</v>
      </c>
      <c r="G161" s="100">
        <v>1432</v>
      </c>
      <c r="H161" s="101">
        <v>75.7</v>
      </c>
      <c r="I161" s="134">
        <v>1450</v>
      </c>
      <c r="J161" s="135">
        <v>70.8</v>
      </c>
      <c r="K161" s="134">
        <v>1508</v>
      </c>
      <c r="L161" s="135">
        <v>77.7</v>
      </c>
      <c r="M161" s="96"/>
      <c r="N161" s="100">
        <v>1466</v>
      </c>
      <c r="O161" s="102">
        <v>71.400000000000006</v>
      </c>
      <c r="P161" s="100">
        <v>1483</v>
      </c>
      <c r="Q161" s="102">
        <v>75</v>
      </c>
      <c r="R161" s="100">
        <v>1443</v>
      </c>
      <c r="S161" s="101">
        <v>75.900000000000006</v>
      </c>
      <c r="T161" s="134">
        <v>1456</v>
      </c>
      <c r="U161" s="135">
        <v>78.099999999999994</v>
      </c>
      <c r="V161" s="270">
        <v>1521</v>
      </c>
      <c r="W161" s="271">
        <v>79.900000000000006</v>
      </c>
      <c r="Y161" s="136"/>
      <c r="Z161" s="136"/>
      <c r="AB161" s="136"/>
      <c r="AC161" s="136"/>
    </row>
    <row r="162" spans="1:29" ht="11.25" customHeight="1" x14ac:dyDescent="0.2">
      <c r="A162" s="125" t="s">
        <v>297</v>
      </c>
      <c r="B162" s="142" t="s">
        <v>298</v>
      </c>
      <c r="C162" s="100">
        <v>1639</v>
      </c>
      <c r="D162" s="87">
        <v>76.099999999999994</v>
      </c>
      <c r="E162" s="100">
        <v>1752</v>
      </c>
      <c r="F162" s="87">
        <v>80.8</v>
      </c>
      <c r="G162" s="100">
        <v>1624</v>
      </c>
      <c r="H162" s="101">
        <v>78.900000000000006</v>
      </c>
      <c r="I162" s="134">
        <v>1568</v>
      </c>
      <c r="J162" s="135">
        <v>71.599999999999994</v>
      </c>
      <c r="K162" s="134">
        <v>1608</v>
      </c>
      <c r="L162" s="135">
        <v>77.3</v>
      </c>
      <c r="M162" s="96"/>
      <c r="N162" s="100">
        <v>1646</v>
      </c>
      <c r="O162" s="102">
        <v>72.8</v>
      </c>
      <c r="P162" s="100">
        <v>1776</v>
      </c>
      <c r="Q162" s="102">
        <v>75.5</v>
      </c>
      <c r="R162" s="100">
        <v>1635</v>
      </c>
      <c r="S162" s="101">
        <v>75.400000000000006</v>
      </c>
      <c r="T162" s="134">
        <v>1575</v>
      </c>
      <c r="U162" s="135">
        <v>77.5</v>
      </c>
      <c r="V162" s="270">
        <v>1624</v>
      </c>
      <c r="W162" s="271">
        <v>82.5</v>
      </c>
      <c r="Y162" s="136"/>
      <c r="Z162" s="136"/>
      <c r="AB162" s="136"/>
      <c r="AC162" s="136"/>
    </row>
    <row r="163" spans="1:29" ht="11.25" customHeight="1" x14ac:dyDescent="0.2">
      <c r="A163" s="3"/>
      <c r="B163" s="142"/>
      <c r="C163" s="100"/>
      <c r="D163" s="102"/>
      <c r="E163" s="100"/>
      <c r="F163" s="102"/>
      <c r="G163" s="100"/>
      <c r="H163" s="101"/>
      <c r="M163" s="96"/>
      <c r="N163" s="100"/>
      <c r="O163" s="102"/>
      <c r="P163" s="100"/>
      <c r="Q163" s="102"/>
      <c r="R163" s="100"/>
      <c r="S163" s="101"/>
      <c r="V163" s="272"/>
      <c r="W163" s="272"/>
      <c r="Y163" s="136"/>
      <c r="Z163" s="136"/>
      <c r="AB163" s="136"/>
      <c r="AC163" s="136"/>
    </row>
    <row r="164" spans="1:29" s="98" customFormat="1" ht="11.25" customHeight="1" x14ac:dyDescent="0.2">
      <c r="A164" s="16" t="s">
        <v>388</v>
      </c>
      <c r="B164" s="92" t="s">
        <v>299</v>
      </c>
      <c r="C164" s="93">
        <v>54609</v>
      </c>
      <c r="D164" s="94">
        <v>67.900000000000006</v>
      </c>
      <c r="E164" s="93">
        <v>54841</v>
      </c>
      <c r="F164" s="94">
        <v>71.599999999999994</v>
      </c>
      <c r="G164" s="93">
        <v>53089</v>
      </c>
      <c r="H164" s="95">
        <v>73.5</v>
      </c>
      <c r="I164" s="93">
        <v>52448</v>
      </c>
      <c r="J164" s="95">
        <v>68</v>
      </c>
      <c r="K164" s="93">
        <v>53957</v>
      </c>
      <c r="L164" s="95">
        <v>70.599999999999994</v>
      </c>
      <c r="M164" s="96"/>
      <c r="N164" s="93">
        <v>54619</v>
      </c>
      <c r="O164" s="97">
        <v>60.9</v>
      </c>
      <c r="P164" s="93">
        <v>54831</v>
      </c>
      <c r="Q164" s="97">
        <v>63.9</v>
      </c>
      <c r="R164" s="93">
        <v>53090</v>
      </c>
      <c r="S164" s="95">
        <v>65.599999999999994</v>
      </c>
      <c r="T164" s="93">
        <v>52425</v>
      </c>
      <c r="U164" s="95">
        <v>68.7</v>
      </c>
      <c r="V164" s="268">
        <v>54055</v>
      </c>
      <c r="W164" s="269">
        <v>71.5</v>
      </c>
      <c r="Y164" s="136"/>
      <c r="Z164" s="136"/>
      <c r="AB164" s="136"/>
      <c r="AC164" s="136"/>
    </row>
    <row r="165" spans="1:29" ht="11.25" customHeight="1" x14ac:dyDescent="0.2">
      <c r="A165" s="125" t="s">
        <v>302</v>
      </c>
      <c r="B165" s="142" t="s">
        <v>303</v>
      </c>
      <c r="C165" s="100">
        <v>2112</v>
      </c>
      <c r="D165" s="87">
        <v>74.2</v>
      </c>
      <c r="E165" s="100">
        <v>2180</v>
      </c>
      <c r="F165" s="87">
        <v>76.7</v>
      </c>
      <c r="G165" s="100">
        <v>2034</v>
      </c>
      <c r="H165" s="101">
        <v>79.5</v>
      </c>
      <c r="I165" s="134">
        <v>2016</v>
      </c>
      <c r="J165" s="135">
        <v>67.900000000000006</v>
      </c>
      <c r="K165" s="134">
        <v>2117</v>
      </c>
      <c r="L165" s="135">
        <v>72</v>
      </c>
      <c r="M165" s="96"/>
      <c r="N165" s="100">
        <v>2106</v>
      </c>
      <c r="O165" s="102">
        <v>66.2</v>
      </c>
      <c r="P165" s="100">
        <v>2176</v>
      </c>
      <c r="Q165" s="102">
        <v>67.2</v>
      </c>
      <c r="R165" s="100">
        <v>2041</v>
      </c>
      <c r="S165" s="101">
        <v>69.7</v>
      </c>
      <c r="T165" s="134">
        <v>1993</v>
      </c>
      <c r="U165" s="135">
        <v>69</v>
      </c>
      <c r="V165" s="270">
        <v>2125</v>
      </c>
      <c r="W165" s="271">
        <v>73.5</v>
      </c>
      <c r="Y165" s="136"/>
      <c r="Z165" s="136"/>
      <c r="AB165" s="136"/>
      <c r="AC165" s="136"/>
    </row>
    <row r="166" spans="1:29" ht="11.25" customHeight="1" x14ac:dyDescent="0.2">
      <c r="A166" s="125" t="s">
        <v>304</v>
      </c>
      <c r="B166" s="142" t="s">
        <v>305</v>
      </c>
      <c r="C166" s="100">
        <v>1695</v>
      </c>
      <c r="D166" s="87">
        <v>68.3</v>
      </c>
      <c r="E166" s="100">
        <v>1647</v>
      </c>
      <c r="F166" s="87">
        <v>73.099999999999994</v>
      </c>
      <c r="G166" s="100">
        <v>1600</v>
      </c>
      <c r="H166" s="101">
        <v>70.400000000000006</v>
      </c>
      <c r="I166" s="134">
        <v>1582</v>
      </c>
      <c r="J166" s="135">
        <v>72.7</v>
      </c>
      <c r="K166" s="134">
        <v>1612</v>
      </c>
      <c r="L166" s="135">
        <v>80.2</v>
      </c>
      <c r="M166" s="96"/>
      <c r="N166" s="100">
        <v>1703</v>
      </c>
      <c r="O166" s="102">
        <v>60</v>
      </c>
      <c r="P166" s="100">
        <v>1643</v>
      </c>
      <c r="Q166" s="102">
        <v>66.599999999999994</v>
      </c>
      <c r="R166" s="100">
        <v>1604</v>
      </c>
      <c r="S166" s="101">
        <v>66.900000000000006</v>
      </c>
      <c r="T166" s="134">
        <v>1590</v>
      </c>
      <c r="U166" s="135">
        <v>70.2</v>
      </c>
      <c r="V166" s="270">
        <v>1622</v>
      </c>
      <c r="W166" s="271">
        <v>76.099999999999994</v>
      </c>
      <c r="Y166" s="136"/>
      <c r="Z166" s="136"/>
      <c r="AB166" s="136"/>
      <c r="AC166" s="136"/>
    </row>
    <row r="167" spans="1:29" ht="11.25" customHeight="1" x14ac:dyDescent="0.2">
      <c r="A167" s="125" t="s">
        <v>306</v>
      </c>
      <c r="B167" s="142" t="s">
        <v>307</v>
      </c>
      <c r="C167" s="100">
        <v>2922</v>
      </c>
      <c r="D167" s="87">
        <v>63.8</v>
      </c>
      <c r="E167" s="100">
        <v>2799</v>
      </c>
      <c r="F167" s="87">
        <v>70.3</v>
      </c>
      <c r="G167" s="100">
        <v>2783</v>
      </c>
      <c r="H167" s="101">
        <v>71.599999999999994</v>
      </c>
      <c r="I167" s="134">
        <v>2738</v>
      </c>
      <c r="J167" s="135">
        <v>70</v>
      </c>
      <c r="K167" s="134">
        <v>3041</v>
      </c>
      <c r="L167" s="135">
        <v>66.3</v>
      </c>
      <c r="M167" s="96"/>
      <c r="N167" s="100">
        <v>2904</v>
      </c>
      <c r="O167" s="102">
        <v>48.6</v>
      </c>
      <c r="P167" s="100">
        <v>2796</v>
      </c>
      <c r="Q167" s="102">
        <v>55.1</v>
      </c>
      <c r="R167" s="100">
        <v>2796</v>
      </c>
      <c r="S167" s="101">
        <v>57.9</v>
      </c>
      <c r="T167" s="134">
        <v>2743</v>
      </c>
      <c r="U167" s="135">
        <v>63.1</v>
      </c>
      <c r="V167" s="270">
        <v>3051</v>
      </c>
      <c r="W167" s="271">
        <v>64.5</v>
      </c>
      <c r="Y167" s="136"/>
      <c r="Z167" s="136"/>
      <c r="AB167" s="136"/>
      <c r="AC167" s="136"/>
    </row>
    <row r="168" spans="1:29" ht="11.25" customHeight="1" x14ac:dyDescent="0.2">
      <c r="A168" s="125" t="s">
        <v>308</v>
      </c>
      <c r="B168" s="142" t="s">
        <v>309</v>
      </c>
      <c r="C168" s="100">
        <v>5835</v>
      </c>
      <c r="D168" s="87">
        <v>65.3</v>
      </c>
      <c r="E168" s="100">
        <v>5758</v>
      </c>
      <c r="F168" s="87">
        <v>69.8</v>
      </c>
      <c r="G168" s="100">
        <v>5556</v>
      </c>
      <c r="H168" s="101">
        <v>70.099999999999994</v>
      </c>
      <c r="I168" s="134">
        <v>5494</v>
      </c>
      <c r="J168" s="135">
        <v>66.400000000000006</v>
      </c>
      <c r="K168" s="134">
        <v>5678</v>
      </c>
      <c r="L168" s="135">
        <v>72.599999999999994</v>
      </c>
      <c r="M168" s="96"/>
      <c r="N168" s="100">
        <v>5841</v>
      </c>
      <c r="O168" s="102">
        <v>56.8</v>
      </c>
      <c r="P168" s="100">
        <v>5761</v>
      </c>
      <c r="Q168" s="102">
        <v>60.8</v>
      </c>
      <c r="R168" s="100">
        <v>5566</v>
      </c>
      <c r="S168" s="101">
        <v>63.8</v>
      </c>
      <c r="T168" s="134">
        <v>5484</v>
      </c>
      <c r="U168" s="135">
        <v>66.5</v>
      </c>
      <c r="V168" s="270">
        <v>5695</v>
      </c>
      <c r="W168" s="271">
        <v>70.7</v>
      </c>
      <c r="Y168" s="136"/>
      <c r="Z168" s="136"/>
      <c r="AB168" s="136"/>
      <c r="AC168" s="136"/>
    </row>
    <row r="169" spans="1:29" ht="11.25" customHeight="1" x14ac:dyDescent="0.2">
      <c r="A169" s="125" t="s">
        <v>310</v>
      </c>
      <c r="B169" s="142" t="s">
        <v>311</v>
      </c>
      <c r="C169" s="100">
        <v>7485</v>
      </c>
      <c r="D169" s="87">
        <v>68</v>
      </c>
      <c r="E169" s="100">
        <v>7463</v>
      </c>
      <c r="F169" s="87">
        <v>70.599999999999994</v>
      </c>
      <c r="G169" s="100">
        <v>7222</v>
      </c>
      <c r="H169" s="101">
        <v>72.7</v>
      </c>
      <c r="I169" s="134">
        <v>7397</v>
      </c>
      <c r="J169" s="135">
        <v>68</v>
      </c>
      <c r="K169" s="134">
        <v>7425</v>
      </c>
      <c r="L169" s="135">
        <v>70.099999999999994</v>
      </c>
      <c r="M169" s="96"/>
      <c r="N169" s="100">
        <v>7494</v>
      </c>
      <c r="O169" s="102">
        <v>61.9</v>
      </c>
      <c r="P169" s="100">
        <v>7446</v>
      </c>
      <c r="Q169" s="102">
        <v>64.400000000000006</v>
      </c>
      <c r="R169" s="100">
        <v>7212</v>
      </c>
      <c r="S169" s="101">
        <v>66.5</v>
      </c>
      <c r="T169" s="134">
        <v>7403</v>
      </c>
      <c r="U169" s="135">
        <v>72.900000000000006</v>
      </c>
      <c r="V169" s="270">
        <v>7446</v>
      </c>
      <c r="W169" s="271">
        <v>72.900000000000006</v>
      </c>
      <c r="Y169" s="136"/>
      <c r="Z169" s="136"/>
      <c r="AB169" s="136"/>
      <c r="AC169" s="136"/>
    </row>
    <row r="170" spans="1:29" ht="11.25" customHeight="1" x14ac:dyDescent="0.2">
      <c r="A170" s="125" t="s">
        <v>312</v>
      </c>
      <c r="B170" s="142" t="s">
        <v>313</v>
      </c>
      <c r="C170" s="100">
        <v>4223</v>
      </c>
      <c r="D170" s="87">
        <v>72</v>
      </c>
      <c r="E170" s="100">
        <v>4255</v>
      </c>
      <c r="F170" s="87">
        <v>75.8</v>
      </c>
      <c r="G170" s="100">
        <v>4083</v>
      </c>
      <c r="H170" s="101">
        <v>77.099999999999994</v>
      </c>
      <c r="I170" s="134">
        <v>4150</v>
      </c>
      <c r="J170" s="135">
        <v>64</v>
      </c>
      <c r="K170" s="134">
        <v>4222</v>
      </c>
      <c r="L170" s="135">
        <v>69.900000000000006</v>
      </c>
      <c r="M170" s="96"/>
      <c r="N170" s="100">
        <v>4220</v>
      </c>
      <c r="O170" s="102">
        <v>64.900000000000006</v>
      </c>
      <c r="P170" s="100">
        <v>4257</v>
      </c>
      <c r="Q170" s="102">
        <v>68</v>
      </c>
      <c r="R170" s="100">
        <v>4060</v>
      </c>
      <c r="S170" s="101">
        <v>68.400000000000006</v>
      </c>
      <c r="T170" s="134">
        <v>4154</v>
      </c>
      <c r="U170" s="135">
        <v>65.099999999999994</v>
      </c>
      <c r="V170" s="270">
        <v>4215</v>
      </c>
      <c r="W170" s="271">
        <v>69.900000000000006</v>
      </c>
      <c r="Y170" s="136"/>
      <c r="Z170" s="136"/>
      <c r="AB170" s="136"/>
      <c r="AC170" s="136"/>
    </row>
    <row r="171" spans="1:29" ht="11.25" customHeight="1" x14ac:dyDescent="0.2">
      <c r="A171" s="125" t="s">
        <v>314</v>
      </c>
      <c r="B171" s="142" t="s">
        <v>315</v>
      </c>
      <c r="C171" s="100">
        <v>6631</v>
      </c>
      <c r="D171" s="87">
        <v>71.2</v>
      </c>
      <c r="E171" s="100">
        <v>6716</v>
      </c>
      <c r="F171" s="87">
        <v>72.7</v>
      </c>
      <c r="G171" s="100">
        <v>6531</v>
      </c>
      <c r="H171" s="101">
        <v>75.3</v>
      </c>
      <c r="I171" s="134">
        <v>6378</v>
      </c>
      <c r="J171" s="135">
        <v>69.400000000000006</v>
      </c>
      <c r="K171" s="134">
        <v>6454</v>
      </c>
      <c r="L171" s="135">
        <v>69.8</v>
      </c>
      <c r="M171" s="96"/>
      <c r="N171" s="100">
        <v>6639</v>
      </c>
      <c r="O171" s="102">
        <v>67.8</v>
      </c>
      <c r="P171" s="100">
        <v>6711</v>
      </c>
      <c r="Q171" s="102">
        <v>69.8</v>
      </c>
      <c r="R171" s="100">
        <v>6524</v>
      </c>
      <c r="S171" s="101">
        <v>72.099999999999994</v>
      </c>
      <c r="T171" s="134">
        <v>6368</v>
      </c>
      <c r="U171" s="135">
        <v>75</v>
      </c>
      <c r="V171" s="270">
        <v>6444</v>
      </c>
      <c r="W171" s="271">
        <v>74.3</v>
      </c>
      <c r="Y171" s="136"/>
      <c r="Z171" s="136"/>
      <c r="AB171" s="136"/>
      <c r="AC171" s="136"/>
    </row>
    <row r="172" spans="1:29" ht="11.25" customHeight="1" x14ac:dyDescent="0.2">
      <c r="A172" s="125" t="s">
        <v>300</v>
      </c>
      <c r="B172" s="142" t="s">
        <v>301</v>
      </c>
      <c r="C172" s="100">
        <v>15</v>
      </c>
      <c r="D172" s="87">
        <v>80</v>
      </c>
      <c r="E172" s="100">
        <v>22</v>
      </c>
      <c r="F172" s="87">
        <v>77.3</v>
      </c>
      <c r="G172" s="100">
        <v>19</v>
      </c>
      <c r="H172" s="101">
        <v>73.7</v>
      </c>
      <c r="I172" s="134">
        <v>22</v>
      </c>
      <c r="J172" s="135">
        <v>86.4</v>
      </c>
      <c r="K172" s="134">
        <v>21</v>
      </c>
      <c r="L172" s="135">
        <v>81</v>
      </c>
      <c r="M172" s="96"/>
      <c r="N172" s="100">
        <v>14</v>
      </c>
      <c r="O172" s="102">
        <v>85.7</v>
      </c>
      <c r="P172" s="100">
        <v>22</v>
      </c>
      <c r="Q172" s="102">
        <v>100</v>
      </c>
      <c r="R172" s="100">
        <v>17</v>
      </c>
      <c r="S172" s="101">
        <v>100</v>
      </c>
      <c r="T172" s="134">
        <v>22</v>
      </c>
      <c r="U172" s="135">
        <v>100</v>
      </c>
      <c r="V172" s="270">
        <v>21</v>
      </c>
      <c r="W172" s="271">
        <v>85.7</v>
      </c>
      <c r="Y172" s="136"/>
      <c r="Z172" s="136"/>
      <c r="AB172" s="136"/>
      <c r="AC172" s="136"/>
    </row>
    <row r="173" spans="1:29" ht="11.25" customHeight="1" x14ac:dyDescent="0.2">
      <c r="A173" s="125" t="s">
        <v>316</v>
      </c>
      <c r="B173" s="142" t="s">
        <v>317</v>
      </c>
      <c r="C173" s="100">
        <v>2193</v>
      </c>
      <c r="D173" s="87">
        <v>67.900000000000006</v>
      </c>
      <c r="E173" s="100">
        <v>2204</v>
      </c>
      <c r="F173" s="87">
        <v>73.3</v>
      </c>
      <c r="G173" s="100">
        <v>2218</v>
      </c>
      <c r="H173" s="101">
        <v>74.2</v>
      </c>
      <c r="I173" s="134">
        <v>2133</v>
      </c>
      <c r="J173" s="135">
        <v>71</v>
      </c>
      <c r="K173" s="134">
        <v>2176</v>
      </c>
      <c r="L173" s="135">
        <v>71.7</v>
      </c>
      <c r="M173" s="96"/>
      <c r="N173" s="100">
        <v>2185</v>
      </c>
      <c r="O173" s="102">
        <v>57.8</v>
      </c>
      <c r="P173" s="100">
        <v>2197</v>
      </c>
      <c r="Q173" s="102">
        <v>60.8</v>
      </c>
      <c r="R173" s="100">
        <v>2218</v>
      </c>
      <c r="S173" s="101">
        <v>62.1</v>
      </c>
      <c r="T173" s="134">
        <v>2142</v>
      </c>
      <c r="U173" s="135">
        <v>67.3</v>
      </c>
      <c r="V173" s="270">
        <v>2181</v>
      </c>
      <c r="W173" s="271">
        <v>68.900000000000006</v>
      </c>
      <c r="Y173" s="136"/>
      <c r="Z173" s="136"/>
      <c r="AB173" s="136"/>
      <c r="AC173" s="136"/>
    </row>
    <row r="174" spans="1:29" ht="11.25" customHeight="1" x14ac:dyDescent="0.2">
      <c r="A174" s="125" t="s">
        <v>318</v>
      </c>
      <c r="B174" s="142" t="s">
        <v>319</v>
      </c>
      <c r="C174" s="100">
        <v>2840</v>
      </c>
      <c r="D174" s="87">
        <v>63.5</v>
      </c>
      <c r="E174" s="100">
        <v>2883</v>
      </c>
      <c r="F174" s="87">
        <v>70</v>
      </c>
      <c r="G174" s="100">
        <v>2746</v>
      </c>
      <c r="H174" s="101">
        <v>73</v>
      </c>
      <c r="I174" s="134">
        <v>2664</v>
      </c>
      <c r="J174" s="135">
        <v>71.099999999999994</v>
      </c>
      <c r="K174" s="134">
        <v>2698</v>
      </c>
      <c r="L174" s="135">
        <v>73.400000000000006</v>
      </c>
      <c r="M174" s="96"/>
      <c r="N174" s="100">
        <v>2843</v>
      </c>
      <c r="O174" s="102">
        <v>54.6</v>
      </c>
      <c r="P174" s="100">
        <v>2892</v>
      </c>
      <c r="Q174" s="102">
        <v>57</v>
      </c>
      <c r="R174" s="100">
        <v>2763</v>
      </c>
      <c r="S174" s="101">
        <v>60.9</v>
      </c>
      <c r="T174" s="134">
        <v>2687</v>
      </c>
      <c r="U174" s="135">
        <v>65.5</v>
      </c>
      <c r="V174" s="270">
        <v>2699</v>
      </c>
      <c r="W174" s="271">
        <v>70.2</v>
      </c>
      <c r="Y174" s="136"/>
      <c r="Z174" s="136"/>
      <c r="AB174" s="136"/>
      <c r="AC174" s="136"/>
    </row>
    <row r="175" spans="1:29" ht="11.25" customHeight="1" x14ac:dyDescent="0.2">
      <c r="A175" s="125" t="s">
        <v>320</v>
      </c>
      <c r="B175" s="142" t="s">
        <v>321</v>
      </c>
      <c r="C175" s="100">
        <v>1633</v>
      </c>
      <c r="D175" s="87">
        <v>67.400000000000006</v>
      </c>
      <c r="E175" s="100">
        <v>1627</v>
      </c>
      <c r="F175" s="87">
        <v>69.3</v>
      </c>
      <c r="G175" s="100">
        <v>1543</v>
      </c>
      <c r="H175" s="101">
        <v>72.8</v>
      </c>
      <c r="I175" s="134">
        <v>1552</v>
      </c>
      <c r="J175" s="135">
        <v>71.3</v>
      </c>
      <c r="K175" s="134">
        <v>1588</v>
      </c>
      <c r="L175" s="135">
        <v>72.7</v>
      </c>
      <c r="M175" s="96"/>
      <c r="N175" s="100">
        <v>1634</v>
      </c>
      <c r="O175" s="102">
        <v>66.2</v>
      </c>
      <c r="P175" s="100">
        <v>1625</v>
      </c>
      <c r="Q175" s="102">
        <v>65.5</v>
      </c>
      <c r="R175" s="100">
        <v>1536</v>
      </c>
      <c r="S175" s="101">
        <v>62</v>
      </c>
      <c r="T175" s="134">
        <v>1542</v>
      </c>
      <c r="U175" s="135">
        <v>69.8</v>
      </c>
      <c r="V175" s="270">
        <v>1592</v>
      </c>
      <c r="W175" s="271">
        <v>71.900000000000006</v>
      </c>
      <c r="Y175" s="136"/>
      <c r="Z175" s="136"/>
      <c r="AB175" s="136"/>
      <c r="AC175" s="136"/>
    </row>
    <row r="176" spans="1:29" ht="11.25" customHeight="1" x14ac:dyDescent="0.2">
      <c r="A176" s="125" t="s">
        <v>322</v>
      </c>
      <c r="B176" s="142" t="s">
        <v>323</v>
      </c>
      <c r="C176" s="100">
        <v>5515</v>
      </c>
      <c r="D176" s="87">
        <v>64.900000000000006</v>
      </c>
      <c r="E176" s="100">
        <v>5564</v>
      </c>
      <c r="F176" s="87">
        <v>70.8</v>
      </c>
      <c r="G176" s="100">
        <v>5267</v>
      </c>
      <c r="H176" s="101">
        <v>73.5</v>
      </c>
      <c r="I176" s="134">
        <v>5083</v>
      </c>
      <c r="J176" s="135">
        <v>65.3</v>
      </c>
      <c r="K176" s="134">
        <v>5342</v>
      </c>
      <c r="L176" s="135">
        <v>68.599999999999994</v>
      </c>
      <c r="M176" s="96"/>
      <c r="N176" s="100">
        <v>5523</v>
      </c>
      <c r="O176" s="102">
        <v>59.8</v>
      </c>
      <c r="P176" s="100">
        <v>5558</v>
      </c>
      <c r="Q176" s="102">
        <v>62.5</v>
      </c>
      <c r="R176" s="100">
        <v>5260</v>
      </c>
      <c r="S176" s="101">
        <v>62.5</v>
      </c>
      <c r="T176" s="134">
        <v>5086</v>
      </c>
      <c r="U176" s="135">
        <v>66.900000000000006</v>
      </c>
      <c r="V176" s="270">
        <v>5346</v>
      </c>
      <c r="W176" s="271">
        <v>71.7</v>
      </c>
      <c r="Y176" s="136"/>
      <c r="Z176" s="136"/>
      <c r="AB176" s="136"/>
      <c r="AC176" s="136"/>
    </row>
    <row r="177" spans="1:29" ht="11.25" customHeight="1" x14ac:dyDescent="0.2">
      <c r="A177" s="125" t="s">
        <v>324</v>
      </c>
      <c r="B177" s="142" t="s">
        <v>325</v>
      </c>
      <c r="C177" s="100">
        <v>3026</v>
      </c>
      <c r="D177" s="87">
        <v>63.4</v>
      </c>
      <c r="E177" s="100">
        <v>3125</v>
      </c>
      <c r="F177" s="87">
        <v>68</v>
      </c>
      <c r="G177" s="100">
        <v>3135</v>
      </c>
      <c r="H177" s="101">
        <v>70.599999999999994</v>
      </c>
      <c r="I177" s="134">
        <v>2973</v>
      </c>
      <c r="J177" s="135">
        <v>66.599999999999994</v>
      </c>
      <c r="K177" s="134">
        <v>3009</v>
      </c>
      <c r="L177" s="135">
        <v>67.900000000000006</v>
      </c>
      <c r="M177" s="96"/>
      <c r="N177" s="100">
        <v>3028</v>
      </c>
      <c r="O177" s="102">
        <v>59.1</v>
      </c>
      <c r="P177" s="100">
        <v>3132</v>
      </c>
      <c r="Q177" s="102">
        <v>65</v>
      </c>
      <c r="R177" s="100">
        <v>3139</v>
      </c>
      <c r="S177" s="101">
        <v>63.7</v>
      </c>
      <c r="T177" s="134">
        <v>2957</v>
      </c>
      <c r="U177" s="135">
        <v>67.400000000000006</v>
      </c>
      <c r="V177" s="270">
        <v>3016</v>
      </c>
      <c r="W177" s="271">
        <v>68.2</v>
      </c>
      <c r="Y177" s="136"/>
      <c r="Z177" s="136"/>
      <c r="AB177" s="136"/>
      <c r="AC177" s="136"/>
    </row>
    <row r="178" spans="1:29" ht="11.25" customHeight="1" x14ac:dyDescent="0.2">
      <c r="A178" s="125" t="s">
        <v>326</v>
      </c>
      <c r="B178" s="142" t="s">
        <v>327</v>
      </c>
      <c r="C178" s="100">
        <v>2137</v>
      </c>
      <c r="D178" s="87">
        <v>66.2</v>
      </c>
      <c r="E178" s="100">
        <v>2078</v>
      </c>
      <c r="F178" s="87">
        <v>71.2</v>
      </c>
      <c r="G178" s="100">
        <v>2017</v>
      </c>
      <c r="H178" s="101">
        <v>72.599999999999994</v>
      </c>
      <c r="I178" s="134">
        <v>2126</v>
      </c>
      <c r="J178" s="135">
        <v>69.2</v>
      </c>
      <c r="K178" s="134">
        <v>2121</v>
      </c>
      <c r="L178" s="135">
        <v>69.400000000000006</v>
      </c>
      <c r="M178" s="96"/>
      <c r="N178" s="100">
        <v>2141</v>
      </c>
      <c r="O178" s="102">
        <v>50.5</v>
      </c>
      <c r="P178" s="100">
        <v>2086</v>
      </c>
      <c r="Q178" s="102">
        <v>54</v>
      </c>
      <c r="R178" s="100">
        <v>2032</v>
      </c>
      <c r="S178" s="101">
        <v>57.3</v>
      </c>
      <c r="T178" s="134">
        <v>2127</v>
      </c>
      <c r="U178" s="135">
        <v>59</v>
      </c>
      <c r="V178" s="270">
        <v>2137</v>
      </c>
      <c r="W178" s="271">
        <v>66.900000000000006</v>
      </c>
      <c r="Y178" s="136"/>
      <c r="Z178" s="136"/>
      <c r="AB178" s="136"/>
      <c r="AC178" s="136"/>
    </row>
    <row r="179" spans="1:29" ht="11.25" customHeight="1" x14ac:dyDescent="0.2">
      <c r="A179" s="125" t="s">
        <v>328</v>
      </c>
      <c r="B179" s="142" t="s">
        <v>329</v>
      </c>
      <c r="C179" s="100">
        <v>1445</v>
      </c>
      <c r="D179" s="87">
        <v>66.400000000000006</v>
      </c>
      <c r="E179" s="100">
        <v>1461</v>
      </c>
      <c r="F179" s="87">
        <v>69.099999999999994</v>
      </c>
      <c r="G179" s="100">
        <v>1414</v>
      </c>
      <c r="H179" s="101">
        <v>75.2</v>
      </c>
      <c r="I179" s="134">
        <v>1357</v>
      </c>
      <c r="J179" s="135">
        <v>70.7</v>
      </c>
      <c r="K179" s="134">
        <v>1402</v>
      </c>
      <c r="L179" s="135">
        <v>73.7</v>
      </c>
      <c r="M179" s="96"/>
      <c r="N179" s="100">
        <v>1442</v>
      </c>
      <c r="O179" s="102">
        <v>62.6</v>
      </c>
      <c r="P179" s="100">
        <v>1464</v>
      </c>
      <c r="Q179" s="102">
        <v>64.5</v>
      </c>
      <c r="R179" s="100">
        <v>1413</v>
      </c>
      <c r="S179" s="101">
        <v>63</v>
      </c>
      <c r="T179" s="134">
        <v>1363</v>
      </c>
      <c r="U179" s="135">
        <v>68.2</v>
      </c>
      <c r="V179" s="270">
        <v>1405</v>
      </c>
      <c r="W179" s="271">
        <v>69.8</v>
      </c>
      <c r="Y179" s="136"/>
      <c r="Z179" s="136"/>
      <c r="AB179" s="136"/>
      <c r="AC179" s="136"/>
    </row>
    <row r="180" spans="1:29" ht="11.25" customHeight="1" x14ac:dyDescent="0.2">
      <c r="A180" s="125" t="s">
        <v>330</v>
      </c>
      <c r="B180" s="142" t="s">
        <v>331</v>
      </c>
      <c r="C180" s="100">
        <v>4902</v>
      </c>
      <c r="D180" s="87">
        <v>72</v>
      </c>
      <c r="E180" s="100">
        <v>5059</v>
      </c>
      <c r="F180" s="87">
        <v>72.599999999999994</v>
      </c>
      <c r="G180" s="100">
        <v>4921</v>
      </c>
      <c r="H180" s="101">
        <v>74.8</v>
      </c>
      <c r="I180" s="134">
        <v>4783</v>
      </c>
      <c r="J180" s="135">
        <v>67.5</v>
      </c>
      <c r="K180" s="134">
        <v>5051</v>
      </c>
      <c r="L180" s="135">
        <v>70.8</v>
      </c>
      <c r="M180" s="96"/>
      <c r="N180" s="100">
        <v>4902</v>
      </c>
      <c r="O180" s="102">
        <v>66.400000000000006</v>
      </c>
      <c r="P180" s="100">
        <v>5065</v>
      </c>
      <c r="Q180" s="102">
        <v>67.599999999999994</v>
      </c>
      <c r="R180" s="100">
        <v>4909</v>
      </c>
      <c r="S180" s="101">
        <v>71.2</v>
      </c>
      <c r="T180" s="134">
        <v>4764</v>
      </c>
      <c r="U180" s="135">
        <v>71.599999999999994</v>
      </c>
      <c r="V180" s="270">
        <v>5060</v>
      </c>
      <c r="W180" s="271">
        <v>75.3</v>
      </c>
      <c r="Y180" s="136"/>
      <c r="Z180" s="136"/>
      <c r="AB180" s="136"/>
      <c r="AC180" s="136"/>
    </row>
    <row r="181" spans="1:29" ht="11.25" customHeight="1" x14ac:dyDescent="0.2">
      <c r="A181" s="26"/>
      <c r="B181" s="142"/>
      <c r="C181" s="100"/>
      <c r="E181" s="100"/>
      <c r="G181" s="100"/>
      <c r="H181" s="101"/>
      <c r="K181" s="82"/>
      <c r="L181" s="82"/>
      <c r="M181" s="96"/>
      <c r="N181" s="100"/>
      <c r="O181" s="102"/>
      <c r="P181" s="100"/>
      <c r="Q181" s="102"/>
      <c r="R181" s="100"/>
      <c r="S181" s="101"/>
      <c r="V181" s="272"/>
      <c r="W181" s="272"/>
      <c r="Y181" s="136"/>
      <c r="Z181" s="136"/>
      <c r="AB181" s="136"/>
      <c r="AC181" s="136"/>
    </row>
    <row r="182" spans="1:29" ht="22.5" customHeight="1" x14ac:dyDescent="0.2">
      <c r="A182" s="17" t="s">
        <v>467</v>
      </c>
      <c r="B182" s="33"/>
      <c r="C182" s="106">
        <v>550059</v>
      </c>
      <c r="D182" s="194">
        <v>66.400000000000006</v>
      </c>
      <c r="E182" s="106">
        <v>550723</v>
      </c>
      <c r="F182" s="194">
        <v>71</v>
      </c>
      <c r="G182" s="106">
        <v>534529</v>
      </c>
      <c r="H182" s="108">
        <v>73.099999999999994</v>
      </c>
      <c r="I182" s="106">
        <v>531424</v>
      </c>
      <c r="J182" s="108">
        <v>69.3</v>
      </c>
      <c r="K182" s="106">
        <v>542852</v>
      </c>
      <c r="L182" s="108">
        <v>71.7</v>
      </c>
      <c r="M182" s="106"/>
      <c r="N182" s="106">
        <v>551818</v>
      </c>
      <c r="O182" s="195">
        <v>59.3</v>
      </c>
      <c r="P182" s="106">
        <v>552487</v>
      </c>
      <c r="Q182" s="195">
        <v>63.4</v>
      </c>
      <c r="R182" s="106">
        <v>536283</v>
      </c>
      <c r="S182" s="108">
        <v>65.900000000000006</v>
      </c>
      <c r="T182" s="106">
        <v>533218</v>
      </c>
      <c r="U182" s="108">
        <v>69.900000000000006</v>
      </c>
      <c r="V182" s="273">
        <v>545141</v>
      </c>
      <c r="W182" s="274">
        <v>72</v>
      </c>
      <c r="Y182" s="136"/>
      <c r="Z182" s="136"/>
      <c r="AB182" s="136"/>
      <c r="AC182" s="136"/>
    </row>
    <row r="183" spans="1:29" ht="11.25" customHeight="1" x14ac:dyDescent="0.2">
      <c r="A183" s="105"/>
      <c r="B183" s="33"/>
      <c r="C183" s="106"/>
      <c r="D183" s="194"/>
      <c r="E183" s="106"/>
      <c r="F183" s="194"/>
      <c r="G183" s="106"/>
      <c r="H183" s="108"/>
      <c r="I183" s="199"/>
      <c r="J183" s="199"/>
      <c r="K183" s="106"/>
      <c r="L183" s="108"/>
      <c r="M183" s="106"/>
      <c r="N183" s="106"/>
      <c r="O183" s="195"/>
      <c r="P183" s="106"/>
      <c r="Q183" s="195"/>
      <c r="R183" s="106"/>
      <c r="S183" s="108"/>
      <c r="T183" s="107"/>
      <c r="U183" s="107"/>
      <c r="V183" s="275"/>
      <c r="W183" s="275"/>
      <c r="Y183" s="136"/>
      <c r="Z183" s="136"/>
      <c r="AB183" s="136"/>
      <c r="AC183" s="136"/>
    </row>
    <row r="184" spans="1:29" s="98" customFormat="1" ht="25.5" customHeight="1" x14ac:dyDescent="0.2">
      <c r="A184" s="17" t="s">
        <v>375</v>
      </c>
      <c r="B184" s="33" t="s">
        <v>332</v>
      </c>
      <c r="C184" s="106">
        <v>556252</v>
      </c>
      <c r="D184" s="194">
        <v>65.7</v>
      </c>
      <c r="E184" s="106">
        <v>556264</v>
      </c>
      <c r="F184" s="108">
        <v>70.400000000000006</v>
      </c>
      <c r="G184" s="106">
        <v>535527</v>
      </c>
      <c r="H184" s="108">
        <v>73</v>
      </c>
      <c r="I184" s="106">
        <v>532453</v>
      </c>
      <c r="J184" s="108">
        <v>69.2</v>
      </c>
      <c r="K184" s="106">
        <v>543868</v>
      </c>
      <c r="L184" s="108">
        <v>71.599999999999994</v>
      </c>
      <c r="M184" s="106"/>
      <c r="N184" s="106">
        <v>557674</v>
      </c>
      <c r="O184" s="196">
        <v>58.8</v>
      </c>
      <c r="P184" s="198">
        <v>557651</v>
      </c>
      <c r="Q184" s="108">
        <v>62.9</v>
      </c>
      <c r="R184" s="106">
        <v>537072</v>
      </c>
      <c r="S184" s="194">
        <v>65.900000000000006</v>
      </c>
      <c r="T184" s="106">
        <v>533969</v>
      </c>
      <c r="U184" s="108">
        <v>69.8</v>
      </c>
      <c r="V184" s="273">
        <v>546038</v>
      </c>
      <c r="W184" s="274">
        <v>71.900000000000006</v>
      </c>
      <c r="Y184" s="136"/>
      <c r="Z184" s="136"/>
      <c r="AB184" s="136"/>
      <c r="AC184" s="136"/>
    </row>
    <row r="185" spans="1:29" ht="11.25" customHeight="1" x14ac:dyDescent="0.2">
      <c r="A185" s="110"/>
      <c r="B185" s="110"/>
      <c r="C185" s="111"/>
      <c r="D185" s="112"/>
      <c r="E185" s="111"/>
      <c r="F185" s="112"/>
      <c r="G185" s="111"/>
      <c r="H185" s="112"/>
      <c r="I185" s="112"/>
      <c r="J185" s="112"/>
      <c r="K185" s="118"/>
      <c r="L185" s="118"/>
      <c r="M185" s="88"/>
      <c r="N185" s="111"/>
      <c r="O185" s="112"/>
      <c r="P185" s="111"/>
      <c r="Q185" s="112"/>
      <c r="R185" s="111"/>
      <c r="S185" s="112"/>
      <c r="T185" s="112"/>
      <c r="U185" s="112"/>
      <c r="V185" s="88"/>
      <c r="W185" s="88"/>
    </row>
    <row r="186" spans="1:29" ht="11.25" customHeight="1" x14ac:dyDescent="0.2">
      <c r="A186" s="104"/>
      <c r="B186" s="104"/>
      <c r="C186" s="148"/>
      <c r="D186" s="149"/>
      <c r="E186" s="93"/>
      <c r="F186" s="149"/>
      <c r="G186" s="93"/>
      <c r="H186" s="149"/>
      <c r="I186" s="149"/>
      <c r="J186" s="149"/>
      <c r="K186" s="149"/>
      <c r="L186" s="149"/>
      <c r="M186" s="104"/>
      <c r="N186" s="148"/>
      <c r="O186" s="149"/>
      <c r="P186" s="148"/>
      <c r="Q186" s="149"/>
      <c r="R186" s="93"/>
      <c r="S186" s="149"/>
      <c r="T186" s="149"/>
      <c r="U186" s="149"/>
      <c r="V186" s="104"/>
      <c r="W186" s="140" t="s">
        <v>360</v>
      </c>
    </row>
    <row r="187" spans="1:29" s="113" customFormat="1" ht="33.75" customHeight="1" x14ac:dyDescent="0.2">
      <c r="A187" s="463" t="s">
        <v>437</v>
      </c>
      <c r="B187" s="463"/>
      <c r="C187" s="463"/>
      <c r="D187" s="463"/>
      <c r="E187" s="463"/>
      <c r="F187" s="463"/>
      <c r="G187" s="463"/>
      <c r="H187" s="463"/>
      <c r="I187" s="463"/>
      <c r="J187" s="463"/>
      <c r="K187" s="463"/>
      <c r="L187" s="463"/>
      <c r="M187" s="206"/>
      <c r="N187" s="206"/>
      <c r="O187" s="206"/>
      <c r="P187" s="206"/>
      <c r="Q187" s="206"/>
      <c r="R187" s="206"/>
      <c r="S187" s="206"/>
      <c r="T187" s="206"/>
      <c r="U187" s="206"/>
      <c r="V187" s="206"/>
      <c r="W187" s="206"/>
    </row>
    <row r="188" spans="1:29" ht="11.25" customHeight="1" x14ac:dyDescent="0.2">
      <c r="A188" s="535" t="s">
        <v>357</v>
      </c>
      <c r="B188" s="535"/>
      <c r="C188" s="535"/>
      <c r="D188" s="535"/>
      <c r="E188" s="535"/>
      <c r="F188" s="535"/>
      <c r="G188" s="535"/>
      <c r="H188" s="535"/>
      <c r="I188" s="146"/>
      <c r="J188" s="146"/>
      <c r="K188" s="146"/>
      <c r="L188" s="146"/>
      <c r="M188" s="535"/>
      <c r="N188" s="535"/>
      <c r="O188" s="535"/>
      <c r="P188" s="535"/>
      <c r="Q188" s="535"/>
      <c r="R188" s="535"/>
      <c r="S188" s="535"/>
      <c r="T188" s="535"/>
      <c r="U188" s="535"/>
      <c r="V188" s="535"/>
      <c r="W188" s="104"/>
    </row>
    <row r="189" spans="1:29" ht="11.25" customHeight="1" x14ac:dyDescent="0.2">
      <c r="A189" s="536" t="s">
        <v>438</v>
      </c>
      <c r="B189" s="536"/>
      <c r="C189" s="464"/>
      <c r="D189" s="464"/>
      <c r="E189" s="464"/>
      <c r="F189" s="464"/>
      <c r="G189" s="464"/>
      <c r="H189" s="464"/>
      <c r="I189" s="464"/>
      <c r="J189" s="464"/>
      <c r="K189" s="464"/>
      <c r="L189" s="464"/>
      <c r="M189" s="464"/>
      <c r="N189" s="464"/>
      <c r="O189" s="464"/>
      <c r="P189" s="464"/>
      <c r="Q189" s="464"/>
      <c r="R189" s="464"/>
      <c r="S189" s="464"/>
      <c r="T189" s="161"/>
      <c r="U189" s="161"/>
      <c r="V189" s="104"/>
      <c r="W189" s="104"/>
    </row>
    <row r="190" spans="1:29" s="113" customFormat="1" ht="11.25" customHeight="1" x14ac:dyDescent="0.2">
      <c r="A190" s="535" t="s">
        <v>435</v>
      </c>
      <c r="B190" s="535"/>
      <c r="C190" s="535"/>
      <c r="D190" s="535"/>
      <c r="E190" s="535"/>
      <c r="F190" s="535"/>
      <c r="G190" s="148"/>
      <c r="H190" s="149"/>
      <c r="I190" s="149"/>
      <c r="J190" s="149"/>
      <c r="K190" s="149"/>
      <c r="L190" s="149"/>
      <c r="M190" s="145"/>
      <c r="N190" s="148"/>
      <c r="O190" s="149"/>
      <c r="P190" s="148"/>
      <c r="Q190" s="149"/>
      <c r="R190" s="148"/>
      <c r="S190" s="149"/>
      <c r="T190" s="149"/>
      <c r="U190" s="149"/>
      <c r="V190" s="145"/>
      <c r="W190" s="145"/>
    </row>
    <row r="191" spans="1:29" ht="11.25" customHeight="1" x14ac:dyDescent="0.2">
      <c r="A191" s="104"/>
      <c r="B191" s="104"/>
      <c r="C191" s="148"/>
      <c r="D191" s="149"/>
      <c r="E191" s="148"/>
      <c r="F191" s="149"/>
      <c r="G191" s="148"/>
      <c r="H191" s="149"/>
      <c r="I191" s="149"/>
      <c r="J191" s="149"/>
      <c r="K191" s="149"/>
      <c r="L191" s="149"/>
      <c r="M191" s="104"/>
      <c r="N191" s="148"/>
      <c r="O191" s="149"/>
      <c r="P191" s="148"/>
      <c r="Q191" s="149"/>
      <c r="R191" s="148"/>
      <c r="S191" s="149"/>
      <c r="T191" s="149"/>
      <c r="U191" s="149"/>
      <c r="V191" s="104"/>
      <c r="W191" s="104"/>
    </row>
    <row r="192" spans="1:29" ht="11.25" customHeight="1" x14ac:dyDescent="0.2">
      <c r="A192" s="3" t="s">
        <v>349</v>
      </c>
      <c r="B192" s="104"/>
      <c r="C192" s="148"/>
      <c r="D192" s="149"/>
      <c r="E192" s="148"/>
      <c r="F192" s="149"/>
      <c r="G192" s="149"/>
      <c r="H192" s="149"/>
      <c r="I192" s="149"/>
      <c r="J192" s="149"/>
      <c r="K192" s="104"/>
      <c r="L192" s="148"/>
      <c r="M192" s="104"/>
      <c r="N192" s="148"/>
      <c r="O192" s="149"/>
      <c r="P192" s="148"/>
      <c r="Q192" s="149"/>
      <c r="R192" s="148"/>
      <c r="S192" s="149"/>
      <c r="T192" s="149"/>
      <c r="U192" s="149"/>
      <c r="V192" s="104"/>
      <c r="W192" s="104"/>
    </row>
    <row r="204" spans="1:3" ht="12.75" x14ac:dyDescent="0.25">
      <c r="A204" s="104" t="s">
        <v>445</v>
      </c>
      <c r="B204" s="218">
        <f>VLOOKUP('Table 19'!K3,A205:B206,2,0)</f>
        <v>1</v>
      </c>
      <c r="C204" s="219">
        <f>IF(B204=1,0,11)</f>
        <v>0</v>
      </c>
    </row>
    <row r="205" spans="1:3" x14ac:dyDescent="0.2">
      <c r="A205" s="104" t="s">
        <v>7</v>
      </c>
      <c r="B205" s="218">
        <v>1</v>
      </c>
      <c r="C205" s="221"/>
    </row>
    <row r="206" spans="1:3" ht="12.75" x14ac:dyDescent="0.25">
      <c r="A206" s="104" t="s">
        <v>8</v>
      </c>
      <c r="B206" s="218">
        <v>2</v>
      </c>
      <c r="C206" s="222"/>
    </row>
  </sheetData>
  <mergeCells count="20">
    <mergeCell ref="A1:V1"/>
    <mergeCell ref="C5:L5"/>
    <mergeCell ref="N5:W5"/>
    <mergeCell ref="A187:L187"/>
    <mergeCell ref="A190:F190"/>
    <mergeCell ref="K6:L6"/>
    <mergeCell ref="V6:W6"/>
    <mergeCell ref="A188:H188"/>
    <mergeCell ref="M188:V188"/>
    <mergeCell ref="A189:S189"/>
    <mergeCell ref="A5:A7"/>
    <mergeCell ref="B5:B7"/>
    <mergeCell ref="T6:U6"/>
    <mergeCell ref="P6:Q6"/>
    <mergeCell ref="R6:S6"/>
    <mergeCell ref="C6:D6"/>
    <mergeCell ref="E6:F6"/>
    <mergeCell ref="G6:H6"/>
    <mergeCell ref="N6:O6"/>
    <mergeCell ref="I6:J6"/>
  </mergeCells>
  <phoneticPr fontId="22" type="noConversion"/>
  <conditionalFormatting sqref="A165:A180">
    <cfRule type="cellIs" dxfId="2" priority="1" stopIfTrue="1" operator="equal">
      <formula>"x"</formula>
    </cfRule>
  </conditionalFormatting>
  <pageMargins left="0.74803149606299213" right="0.74803149606299213" top="0.98425196850393704" bottom="0.98425196850393704" header="0.51181102362204722" footer="0.51181102362204722"/>
  <pageSetup paperSize="9" scale="64"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8EEA9-D5EA-40D6-9B8F-1F6F1EE38704}">
  <sheetPr>
    <tabColor rgb="FFCCFFCC"/>
  </sheetPr>
  <dimension ref="A1:M193"/>
  <sheetViews>
    <sheetView showGridLines="0" zoomScaleNormal="100" workbookViewId="0">
      <selection activeCell="K3" sqref="K3:L3"/>
    </sheetView>
  </sheetViews>
  <sheetFormatPr defaultRowHeight="11.25" x14ac:dyDescent="0.2"/>
  <cols>
    <col min="1" max="1" width="23.42578125" style="82" customWidth="1"/>
    <col min="2" max="2" width="8.7109375" style="82" customWidth="1"/>
    <col min="3" max="3" width="9.28515625" style="81" customWidth="1"/>
    <col min="4" max="4" width="9.28515625" style="87" customWidth="1"/>
    <col min="5" max="5" width="9.28515625" style="81" customWidth="1"/>
    <col min="6" max="6" width="9.28515625" style="87" customWidth="1"/>
    <col min="7" max="7" width="9.28515625" style="81" customWidth="1"/>
    <col min="8" max="12" width="9.28515625" style="87" customWidth="1"/>
    <col min="13" max="256" width="11.42578125" style="82" customWidth="1"/>
    <col min="257" max="16384" width="9.140625" style="82"/>
  </cols>
  <sheetData>
    <row r="1" spans="1:13" ht="25.5" customHeight="1" x14ac:dyDescent="0.2">
      <c r="A1" s="533" t="s">
        <v>376</v>
      </c>
      <c r="B1" s="533"/>
      <c r="C1" s="533"/>
      <c r="D1" s="533"/>
      <c r="E1" s="533"/>
      <c r="F1" s="533"/>
      <c r="G1" s="533"/>
      <c r="H1" s="533"/>
      <c r="I1" s="533"/>
      <c r="J1" s="533"/>
      <c r="K1" s="533"/>
      <c r="L1" s="533"/>
    </row>
    <row r="2" spans="1:13" s="86" customFormat="1" ht="13.5" customHeight="1" x14ac:dyDescent="0.2">
      <c r="A2" s="83" t="s">
        <v>392</v>
      </c>
      <c r="B2" s="83"/>
      <c r="C2" s="84"/>
      <c r="D2" s="85"/>
      <c r="E2" s="84"/>
      <c r="F2" s="85"/>
      <c r="G2" s="84"/>
      <c r="H2" s="85"/>
      <c r="I2" s="85"/>
      <c r="J2" s="85"/>
      <c r="K2" s="524" t="s">
        <v>395</v>
      </c>
      <c r="L2" s="525"/>
    </row>
    <row r="3" spans="1:13" s="86" customFormat="1" ht="13.5" customHeight="1" x14ac:dyDescent="0.2">
      <c r="A3" s="83" t="s">
        <v>9</v>
      </c>
      <c r="B3" s="83"/>
      <c r="C3" s="84"/>
      <c r="D3" s="85"/>
      <c r="E3" s="84"/>
      <c r="F3" s="85"/>
      <c r="G3" s="84"/>
      <c r="H3" s="85"/>
      <c r="I3" s="85"/>
      <c r="J3" s="85"/>
      <c r="K3" s="521" t="s">
        <v>7</v>
      </c>
      <c r="L3" s="522"/>
    </row>
    <row r="4" spans="1:13" ht="11.25" customHeight="1" x14ac:dyDescent="0.2">
      <c r="A4" s="104"/>
      <c r="B4" s="227">
        <f>IF(K3="English",0,11)</f>
        <v>0</v>
      </c>
      <c r="C4" s="148"/>
      <c r="D4" s="149"/>
      <c r="E4" s="148"/>
      <c r="F4" s="149"/>
      <c r="G4" s="148"/>
      <c r="H4" s="149"/>
      <c r="I4" s="149"/>
      <c r="J4" s="149"/>
      <c r="K4" s="149"/>
      <c r="L4" s="149"/>
    </row>
    <row r="5" spans="1:13" ht="11.25" customHeight="1" x14ac:dyDescent="0.2">
      <c r="A5" s="518" t="s">
        <v>378</v>
      </c>
      <c r="B5" s="518" t="s">
        <v>379</v>
      </c>
      <c r="C5" s="534" t="str">
        <f>K3</f>
        <v>English</v>
      </c>
      <c r="D5" s="534"/>
      <c r="E5" s="534"/>
      <c r="F5" s="534"/>
      <c r="G5" s="534"/>
      <c r="H5" s="534"/>
      <c r="I5" s="534"/>
      <c r="J5" s="534"/>
      <c r="K5" s="534"/>
      <c r="L5" s="534"/>
    </row>
    <row r="6" spans="1:13" ht="11.25" customHeight="1" x14ac:dyDescent="0.2">
      <c r="A6" s="519"/>
      <c r="B6" s="519"/>
      <c r="C6" s="534" t="s">
        <v>337</v>
      </c>
      <c r="D6" s="534"/>
      <c r="E6" s="534" t="s">
        <v>338</v>
      </c>
      <c r="F6" s="534"/>
      <c r="G6" s="534" t="s">
        <v>339</v>
      </c>
      <c r="H6" s="534"/>
      <c r="I6" s="534" t="s">
        <v>353</v>
      </c>
      <c r="J6" s="534"/>
      <c r="K6" s="534" t="s">
        <v>370</v>
      </c>
      <c r="L6" s="534"/>
    </row>
    <row r="7" spans="1:13" ht="45" customHeight="1" x14ac:dyDescent="0.2">
      <c r="A7" s="520"/>
      <c r="B7" s="520"/>
      <c r="C7" s="190" t="s">
        <v>347</v>
      </c>
      <c r="D7" s="191" t="s">
        <v>454</v>
      </c>
      <c r="E7" s="190" t="s">
        <v>347</v>
      </c>
      <c r="F7" s="191" t="s">
        <v>454</v>
      </c>
      <c r="G7" s="190" t="s">
        <v>347</v>
      </c>
      <c r="H7" s="191" t="s">
        <v>454</v>
      </c>
      <c r="I7" s="190" t="s">
        <v>347</v>
      </c>
      <c r="J7" s="191" t="s">
        <v>454</v>
      </c>
      <c r="K7" s="190" t="s">
        <v>347</v>
      </c>
      <c r="L7" s="191" t="s">
        <v>454</v>
      </c>
    </row>
    <row r="8" spans="1:13" ht="11.25" customHeight="1" x14ac:dyDescent="0.2">
      <c r="A8" s="89"/>
      <c r="B8" s="89"/>
      <c r="C8" s="90"/>
      <c r="D8" s="91"/>
      <c r="E8" s="90"/>
      <c r="F8" s="91"/>
      <c r="G8" s="90"/>
      <c r="H8" s="91"/>
      <c r="I8" s="91"/>
      <c r="J8" s="91"/>
      <c r="K8" s="91"/>
      <c r="L8" s="91"/>
    </row>
    <row r="9" spans="1:13" s="98" customFormat="1" ht="11.25" customHeight="1" x14ac:dyDescent="0.2">
      <c r="A9" s="16" t="s">
        <v>380</v>
      </c>
      <c r="B9" s="92" t="s">
        <v>17</v>
      </c>
      <c r="C9" s="243">
        <f>VLOOKUP($A9,'Table 20 data'!$A$9:$W$184,$B$4+'Table 20 data'!C$4,0)</f>
        <v>30209</v>
      </c>
      <c r="D9" s="244">
        <f>VLOOKUP($A9,'Table 20 data'!$A$9:$W$184,$B$4+'Table 20 data'!D$4,0)</f>
        <v>60.9</v>
      </c>
      <c r="E9" s="243">
        <f>VLOOKUP($A9,'Table 20 data'!$A$9:$W$184,$B$4+'Table 20 data'!E$4,0)</f>
        <v>29058</v>
      </c>
      <c r="F9" s="244">
        <f>VLOOKUP($A9,'Table 20 data'!$A$9:$W$184,$B$4+'Table 20 data'!F$4,0)</f>
        <v>65.2</v>
      </c>
      <c r="G9" s="243">
        <f>VLOOKUP($A9,'Table 20 data'!$A$9:$W$184,$B$4+'Table 20 data'!G$4,0)</f>
        <v>28733</v>
      </c>
      <c r="H9" s="244">
        <f>VLOOKUP($A9,'Table 20 data'!$A$9:$W$184,$B$4+'Table 20 data'!H$4,0)</f>
        <v>68.3</v>
      </c>
      <c r="I9" s="243">
        <f>VLOOKUP($A9,'Table 20 data'!$A$9:$W$184,$B$4+'Table 20 data'!I$4,0)</f>
        <v>27905</v>
      </c>
      <c r="J9" s="244">
        <f>VLOOKUP($A9,'Table 20 data'!$A$9:$W$184,$B$4+'Table 20 data'!J$4,0)</f>
        <v>65.8</v>
      </c>
      <c r="K9" s="243">
        <f>VLOOKUP($A9,'Table 20 data'!$A$9:$W$184,$B$4+'Table 20 data'!K$4,0)</f>
        <v>28357</v>
      </c>
      <c r="L9" s="244">
        <f>VLOOKUP($A9,'Table 20 data'!$A$9:$W$184,$B$4+'Table 20 data'!L$4,0)</f>
        <v>67</v>
      </c>
      <c r="M9" s="136"/>
    </row>
    <row r="10" spans="1:13" ht="11.25" customHeight="1" x14ac:dyDescent="0.2">
      <c r="A10" s="125" t="s">
        <v>354</v>
      </c>
      <c r="B10" s="142" t="s">
        <v>20</v>
      </c>
      <c r="C10" s="245">
        <f>VLOOKUP($A10,'Table 20 data'!$A$9:$W$184,$B$4+'Table 20 data'!C$4,0)</f>
        <v>5682</v>
      </c>
      <c r="D10" s="246">
        <f>VLOOKUP($A10,'Table 20 data'!$A$9:$W$184,$B$4+'Table 20 data'!D$4,0)</f>
        <v>63.2</v>
      </c>
      <c r="E10" s="245">
        <f>VLOOKUP($A10,'Table 20 data'!$A$9:$W$184,$B$4+'Table 20 data'!E$4,0)</f>
        <v>5462</v>
      </c>
      <c r="F10" s="246">
        <f>VLOOKUP($A10,'Table 20 data'!$A$9:$W$184,$B$4+'Table 20 data'!F$4,0)</f>
        <v>69.5</v>
      </c>
      <c r="G10" s="245">
        <f>VLOOKUP($A10,'Table 20 data'!$A$9:$W$184,$B$4+'Table 20 data'!G$4,0)</f>
        <v>5440</v>
      </c>
      <c r="H10" s="246">
        <f>VLOOKUP($A10,'Table 20 data'!$A$9:$W$184,$B$4+'Table 20 data'!H$4,0)</f>
        <v>73.2</v>
      </c>
      <c r="I10" s="245">
        <f>VLOOKUP($A10,'Table 20 data'!$A$9:$W$184,$B$4+'Table 20 data'!I$4,0)</f>
        <v>5384</v>
      </c>
      <c r="J10" s="246">
        <f>VLOOKUP($A10,'Table 20 data'!$A$9:$W$184,$B$4+'Table 20 data'!J$4,0)</f>
        <v>71.5</v>
      </c>
      <c r="K10" s="245">
        <f>VLOOKUP($A10,'Table 20 data'!$A$9:$W$184,$B$4+'Table 20 data'!K$4,0)</f>
        <v>5415</v>
      </c>
      <c r="L10" s="246">
        <f>VLOOKUP($A10,'Table 20 data'!$A$9:$W$184,$B$4+'Table 20 data'!L$4,0)</f>
        <v>72.7</v>
      </c>
      <c r="M10" s="136"/>
    </row>
    <row r="11" spans="1:13" ht="11.25" customHeight="1" x14ac:dyDescent="0.2">
      <c r="A11" s="125" t="s">
        <v>18</v>
      </c>
      <c r="B11" s="142" t="s">
        <v>19</v>
      </c>
      <c r="C11" s="245">
        <f>VLOOKUP($A11,'Table 20 data'!$A$9:$W$184,$B$4+'Table 20 data'!C$4,0)</f>
        <v>1165</v>
      </c>
      <c r="D11" s="246">
        <f>VLOOKUP($A11,'Table 20 data'!$A$9:$W$184,$B$4+'Table 20 data'!D$4,0)</f>
        <v>59.2</v>
      </c>
      <c r="E11" s="245">
        <f>VLOOKUP($A11,'Table 20 data'!$A$9:$W$184,$B$4+'Table 20 data'!E$4,0)</f>
        <v>1115</v>
      </c>
      <c r="F11" s="246">
        <f>VLOOKUP($A11,'Table 20 data'!$A$9:$W$184,$B$4+'Table 20 data'!F$4,0)</f>
        <v>66.5</v>
      </c>
      <c r="G11" s="245">
        <f>VLOOKUP($A11,'Table 20 data'!$A$9:$W$184,$B$4+'Table 20 data'!G$4,0)</f>
        <v>1095</v>
      </c>
      <c r="H11" s="246">
        <f>VLOOKUP($A11,'Table 20 data'!$A$9:$W$184,$B$4+'Table 20 data'!H$4,0)</f>
        <v>74.400000000000006</v>
      </c>
      <c r="I11" s="245">
        <f>VLOOKUP($A11,'Table 20 data'!$A$9:$W$184,$B$4+'Table 20 data'!I$4,0)</f>
        <v>1111</v>
      </c>
      <c r="J11" s="246">
        <f>VLOOKUP($A11,'Table 20 data'!$A$9:$W$184,$B$4+'Table 20 data'!J$4,0)</f>
        <v>67.099999999999994</v>
      </c>
      <c r="K11" s="245">
        <f>VLOOKUP($A11,'Table 20 data'!$A$9:$W$184,$B$4+'Table 20 data'!K$4,0)</f>
        <v>1136</v>
      </c>
      <c r="L11" s="246">
        <f>VLOOKUP($A11,'Table 20 data'!$A$9:$W$184,$B$4+'Table 20 data'!L$4,0)</f>
        <v>74.400000000000006</v>
      </c>
      <c r="M11" s="136"/>
    </row>
    <row r="12" spans="1:13" ht="11.25" customHeight="1" x14ac:dyDescent="0.2">
      <c r="A12" s="125" t="s">
        <v>21</v>
      </c>
      <c r="B12" s="142" t="s">
        <v>22</v>
      </c>
      <c r="C12" s="245">
        <f>VLOOKUP($A12,'Table 20 data'!$A$9:$W$184,$B$4+'Table 20 data'!C$4,0)</f>
        <v>2132</v>
      </c>
      <c r="D12" s="246">
        <f>VLOOKUP($A12,'Table 20 data'!$A$9:$W$184,$B$4+'Table 20 data'!D$4,0)</f>
        <v>64.099999999999994</v>
      </c>
      <c r="E12" s="245">
        <f>VLOOKUP($A12,'Table 20 data'!$A$9:$W$184,$B$4+'Table 20 data'!E$4,0)</f>
        <v>2087</v>
      </c>
      <c r="F12" s="246">
        <f>VLOOKUP($A12,'Table 20 data'!$A$9:$W$184,$B$4+'Table 20 data'!F$4,0)</f>
        <v>66.2</v>
      </c>
      <c r="G12" s="245">
        <f>VLOOKUP($A12,'Table 20 data'!$A$9:$W$184,$B$4+'Table 20 data'!G$4,0)</f>
        <v>2174</v>
      </c>
      <c r="H12" s="246">
        <f>VLOOKUP($A12,'Table 20 data'!$A$9:$W$184,$B$4+'Table 20 data'!H$4,0)</f>
        <v>72.2</v>
      </c>
      <c r="I12" s="245">
        <f>VLOOKUP($A12,'Table 20 data'!$A$9:$W$184,$B$4+'Table 20 data'!I$4,0)</f>
        <v>2096</v>
      </c>
      <c r="J12" s="246">
        <f>VLOOKUP($A12,'Table 20 data'!$A$9:$W$184,$B$4+'Table 20 data'!J$4,0)</f>
        <v>67.7</v>
      </c>
      <c r="K12" s="245">
        <f>VLOOKUP($A12,'Table 20 data'!$A$9:$W$184,$B$4+'Table 20 data'!K$4,0)</f>
        <v>2146</v>
      </c>
      <c r="L12" s="246">
        <f>VLOOKUP($A12,'Table 20 data'!$A$9:$W$184,$B$4+'Table 20 data'!L$4,0)</f>
        <v>67.099999999999994</v>
      </c>
      <c r="M12" s="136"/>
    </row>
    <row r="13" spans="1:13" ht="11.25" customHeight="1" x14ac:dyDescent="0.2">
      <c r="A13" s="125" t="s">
        <v>23</v>
      </c>
      <c r="B13" s="142" t="s">
        <v>24</v>
      </c>
      <c r="C13" s="245">
        <f>VLOOKUP($A13,'Table 20 data'!$A$9:$W$184,$B$4+'Table 20 data'!C$4,0)</f>
        <v>1232</v>
      </c>
      <c r="D13" s="246">
        <f>VLOOKUP($A13,'Table 20 data'!$A$9:$W$184,$B$4+'Table 20 data'!D$4,0)</f>
        <v>57.1</v>
      </c>
      <c r="E13" s="245">
        <f>VLOOKUP($A13,'Table 20 data'!$A$9:$W$184,$B$4+'Table 20 data'!E$4,0)</f>
        <v>1239</v>
      </c>
      <c r="F13" s="246">
        <f>VLOOKUP($A13,'Table 20 data'!$A$9:$W$184,$B$4+'Table 20 data'!F$4,0)</f>
        <v>55</v>
      </c>
      <c r="G13" s="245">
        <f>VLOOKUP($A13,'Table 20 data'!$A$9:$W$184,$B$4+'Table 20 data'!G$4,0)</f>
        <v>1273</v>
      </c>
      <c r="H13" s="246">
        <f>VLOOKUP($A13,'Table 20 data'!$A$9:$W$184,$B$4+'Table 20 data'!H$4,0)</f>
        <v>61.7</v>
      </c>
      <c r="I13" s="245">
        <f>VLOOKUP($A13,'Table 20 data'!$A$9:$W$184,$B$4+'Table 20 data'!I$4,0)</f>
        <v>1152</v>
      </c>
      <c r="J13" s="246">
        <f>VLOOKUP($A13,'Table 20 data'!$A$9:$W$184,$B$4+'Table 20 data'!J$4,0)</f>
        <v>49.7</v>
      </c>
      <c r="K13" s="245">
        <f>VLOOKUP($A13,'Table 20 data'!$A$9:$W$184,$B$4+'Table 20 data'!K$4,0)</f>
        <v>1156</v>
      </c>
      <c r="L13" s="246">
        <f>VLOOKUP($A13,'Table 20 data'!$A$9:$W$184,$B$4+'Table 20 data'!L$4,0)</f>
        <v>62.5</v>
      </c>
      <c r="M13" s="136"/>
    </row>
    <row r="14" spans="1:13" ht="11.25" customHeight="1" x14ac:dyDescent="0.2">
      <c r="A14" s="125" t="s">
        <v>25</v>
      </c>
      <c r="B14" s="142" t="s">
        <v>26</v>
      </c>
      <c r="C14" s="245">
        <f>VLOOKUP($A14,'Table 20 data'!$A$9:$W$184,$B$4+'Table 20 data'!C$4,0)</f>
        <v>1704</v>
      </c>
      <c r="D14" s="246">
        <f>VLOOKUP($A14,'Table 20 data'!$A$9:$W$184,$B$4+'Table 20 data'!D$4,0)</f>
        <v>50.4</v>
      </c>
      <c r="E14" s="245">
        <f>VLOOKUP($A14,'Table 20 data'!$A$9:$W$184,$B$4+'Table 20 data'!E$4,0)</f>
        <v>1658</v>
      </c>
      <c r="F14" s="246">
        <f>VLOOKUP($A14,'Table 20 data'!$A$9:$W$184,$B$4+'Table 20 data'!F$4,0)</f>
        <v>56.6</v>
      </c>
      <c r="G14" s="245">
        <f>VLOOKUP($A14,'Table 20 data'!$A$9:$W$184,$B$4+'Table 20 data'!G$4,0)</f>
        <v>1572</v>
      </c>
      <c r="H14" s="246">
        <f>VLOOKUP($A14,'Table 20 data'!$A$9:$W$184,$B$4+'Table 20 data'!H$4,0)</f>
        <v>55.5</v>
      </c>
      <c r="I14" s="245">
        <f>VLOOKUP($A14,'Table 20 data'!$A$9:$W$184,$B$4+'Table 20 data'!I$4,0)</f>
        <v>1462</v>
      </c>
      <c r="J14" s="246">
        <f>VLOOKUP($A14,'Table 20 data'!$A$9:$W$184,$B$4+'Table 20 data'!J$4,0)</f>
        <v>53.9</v>
      </c>
      <c r="K14" s="245">
        <f>VLOOKUP($A14,'Table 20 data'!$A$9:$W$184,$B$4+'Table 20 data'!K$4,0)</f>
        <v>1484</v>
      </c>
      <c r="L14" s="246">
        <f>VLOOKUP($A14,'Table 20 data'!$A$9:$W$184,$B$4+'Table 20 data'!L$4,0)</f>
        <v>60.1</v>
      </c>
      <c r="M14" s="136"/>
    </row>
    <row r="15" spans="1:13" ht="11.25" customHeight="1" x14ac:dyDescent="0.2">
      <c r="A15" s="125" t="s">
        <v>27</v>
      </c>
      <c r="B15" s="142" t="s">
        <v>28</v>
      </c>
      <c r="C15" s="245">
        <f>VLOOKUP($A15,'Table 20 data'!$A$9:$W$184,$B$4+'Table 20 data'!C$4,0)</f>
        <v>2637</v>
      </c>
      <c r="D15" s="246">
        <f>VLOOKUP($A15,'Table 20 data'!$A$9:$W$184,$B$4+'Table 20 data'!D$4,0)</f>
        <v>54.6</v>
      </c>
      <c r="E15" s="245">
        <f>VLOOKUP($A15,'Table 20 data'!$A$9:$W$184,$B$4+'Table 20 data'!E$4,0)</f>
        <v>2445</v>
      </c>
      <c r="F15" s="246">
        <f>VLOOKUP($A15,'Table 20 data'!$A$9:$W$184,$B$4+'Table 20 data'!F$4,0)</f>
        <v>63.4</v>
      </c>
      <c r="G15" s="245">
        <f>VLOOKUP($A15,'Table 20 data'!$A$9:$W$184,$B$4+'Table 20 data'!G$4,0)</f>
        <v>2429</v>
      </c>
      <c r="H15" s="246">
        <f>VLOOKUP($A15,'Table 20 data'!$A$9:$W$184,$B$4+'Table 20 data'!H$4,0)</f>
        <v>63.9</v>
      </c>
      <c r="I15" s="245">
        <f>VLOOKUP($A15,'Table 20 data'!$A$9:$W$184,$B$4+'Table 20 data'!I$4,0)</f>
        <v>2299</v>
      </c>
      <c r="J15" s="246">
        <f>VLOOKUP($A15,'Table 20 data'!$A$9:$W$184,$B$4+'Table 20 data'!J$4,0)</f>
        <v>68.2</v>
      </c>
      <c r="K15" s="245">
        <f>VLOOKUP($A15,'Table 20 data'!$A$9:$W$184,$B$4+'Table 20 data'!K$4,0)</f>
        <v>2472</v>
      </c>
      <c r="L15" s="246">
        <f>VLOOKUP($A15,'Table 20 data'!$A$9:$W$184,$B$4+'Table 20 data'!L$4,0)</f>
        <v>65.599999999999994</v>
      </c>
      <c r="M15" s="136"/>
    </row>
    <row r="16" spans="1:13" ht="11.25" customHeight="1" x14ac:dyDescent="0.2">
      <c r="A16" s="125" t="s">
        <v>29</v>
      </c>
      <c r="B16" s="142" t="s">
        <v>30</v>
      </c>
      <c r="C16" s="245">
        <f>VLOOKUP($A16,'Table 20 data'!$A$9:$W$184,$B$4+'Table 20 data'!C$4,0)</f>
        <v>2269</v>
      </c>
      <c r="D16" s="246">
        <f>VLOOKUP($A16,'Table 20 data'!$A$9:$W$184,$B$4+'Table 20 data'!D$4,0)</f>
        <v>68</v>
      </c>
      <c r="E16" s="245">
        <f>VLOOKUP($A16,'Table 20 data'!$A$9:$W$184,$B$4+'Table 20 data'!E$4,0)</f>
        <v>2125</v>
      </c>
      <c r="F16" s="246">
        <f>VLOOKUP($A16,'Table 20 data'!$A$9:$W$184,$B$4+'Table 20 data'!F$4,0)</f>
        <v>67.900000000000006</v>
      </c>
      <c r="G16" s="245">
        <f>VLOOKUP($A16,'Table 20 data'!$A$9:$W$184,$B$4+'Table 20 data'!G$4,0)</f>
        <v>2140</v>
      </c>
      <c r="H16" s="246">
        <f>VLOOKUP($A16,'Table 20 data'!$A$9:$W$184,$B$4+'Table 20 data'!H$4,0)</f>
        <v>71.8</v>
      </c>
      <c r="I16" s="245">
        <f>VLOOKUP($A16,'Table 20 data'!$A$9:$W$184,$B$4+'Table 20 data'!I$4,0)</f>
        <v>2117</v>
      </c>
      <c r="J16" s="246">
        <f>VLOOKUP($A16,'Table 20 data'!$A$9:$W$184,$B$4+'Table 20 data'!J$4,0)</f>
        <v>64.8</v>
      </c>
      <c r="K16" s="245">
        <f>VLOOKUP($A16,'Table 20 data'!$A$9:$W$184,$B$4+'Table 20 data'!K$4,0)</f>
        <v>2126</v>
      </c>
      <c r="L16" s="246">
        <f>VLOOKUP($A16,'Table 20 data'!$A$9:$W$184,$B$4+'Table 20 data'!L$4,0)</f>
        <v>71.900000000000006</v>
      </c>
      <c r="M16" s="136"/>
    </row>
    <row r="17" spans="1:13" ht="11.25" customHeight="1" x14ac:dyDescent="0.2">
      <c r="A17" s="125" t="s">
        <v>31</v>
      </c>
      <c r="B17" s="142" t="s">
        <v>32</v>
      </c>
      <c r="C17" s="245">
        <f>VLOOKUP($A17,'Table 20 data'!$A$9:$W$184,$B$4+'Table 20 data'!C$4,0)</f>
        <v>3729</v>
      </c>
      <c r="D17" s="246">
        <f>VLOOKUP($A17,'Table 20 data'!$A$9:$W$184,$B$4+'Table 20 data'!D$4,0)</f>
        <v>65.900000000000006</v>
      </c>
      <c r="E17" s="245">
        <f>VLOOKUP($A17,'Table 20 data'!$A$9:$W$184,$B$4+'Table 20 data'!E$4,0)</f>
        <v>3542</v>
      </c>
      <c r="F17" s="246">
        <f>VLOOKUP($A17,'Table 20 data'!$A$9:$W$184,$B$4+'Table 20 data'!F$4,0)</f>
        <v>70.099999999999994</v>
      </c>
      <c r="G17" s="245">
        <f>VLOOKUP($A17,'Table 20 data'!$A$9:$W$184,$B$4+'Table 20 data'!G$4,0)</f>
        <v>3558</v>
      </c>
      <c r="H17" s="246">
        <f>VLOOKUP($A17,'Table 20 data'!$A$9:$W$184,$B$4+'Table 20 data'!H$4,0)</f>
        <v>68.900000000000006</v>
      </c>
      <c r="I17" s="245">
        <f>VLOOKUP($A17,'Table 20 data'!$A$9:$W$184,$B$4+'Table 20 data'!I$4,0)</f>
        <v>3471</v>
      </c>
      <c r="J17" s="246">
        <f>VLOOKUP($A17,'Table 20 data'!$A$9:$W$184,$B$4+'Table 20 data'!J$4,0)</f>
        <v>66.7</v>
      </c>
      <c r="K17" s="245">
        <f>VLOOKUP($A17,'Table 20 data'!$A$9:$W$184,$B$4+'Table 20 data'!K$4,0)</f>
        <v>3542</v>
      </c>
      <c r="L17" s="246">
        <f>VLOOKUP($A17,'Table 20 data'!$A$9:$W$184,$B$4+'Table 20 data'!L$4,0)</f>
        <v>62.2</v>
      </c>
      <c r="M17" s="136"/>
    </row>
    <row r="18" spans="1:13" ht="11.25" customHeight="1" x14ac:dyDescent="0.2">
      <c r="A18" s="125" t="s">
        <v>33</v>
      </c>
      <c r="B18" s="142" t="s">
        <v>34</v>
      </c>
      <c r="C18" s="245">
        <f>VLOOKUP($A18,'Table 20 data'!$A$9:$W$184,$B$4+'Table 20 data'!C$4,0)</f>
        <v>1896</v>
      </c>
      <c r="D18" s="246">
        <f>VLOOKUP($A18,'Table 20 data'!$A$9:$W$184,$B$4+'Table 20 data'!D$4,0)</f>
        <v>61</v>
      </c>
      <c r="E18" s="245">
        <f>VLOOKUP($A18,'Table 20 data'!$A$9:$W$184,$B$4+'Table 20 data'!E$4,0)</f>
        <v>1927</v>
      </c>
      <c r="F18" s="246">
        <f>VLOOKUP($A18,'Table 20 data'!$A$9:$W$184,$B$4+'Table 20 data'!F$4,0)</f>
        <v>62.1</v>
      </c>
      <c r="G18" s="245">
        <f>VLOOKUP($A18,'Table 20 data'!$A$9:$W$184,$B$4+'Table 20 data'!G$4,0)</f>
        <v>1845</v>
      </c>
      <c r="H18" s="246">
        <f>VLOOKUP($A18,'Table 20 data'!$A$9:$W$184,$B$4+'Table 20 data'!H$4,0)</f>
        <v>62.4</v>
      </c>
      <c r="I18" s="245">
        <f>VLOOKUP($A18,'Table 20 data'!$A$9:$W$184,$B$4+'Table 20 data'!I$4,0)</f>
        <v>1742</v>
      </c>
      <c r="J18" s="246">
        <f>VLOOKUP($A18,'Table 20 data'!$A$9:$W$184,$B$4+'Table 20 data'!J$4,0)</f>
        <v>58.7</v>
      </c>
      <c r="K18" s="245">
        <f>VLOOKUP($A18,'Table 20 data'!$A$9:$W$184,$B$4+'Table 20 data'!K$4,0)</f>
        <v>1833</v>
      </c>
      <c r="L18" s="246">
        <f>VLOOKUP($A18,'Table 20 data'!$A$9:$W$184,$B$4+'Table 20 data'!L$4,0)</f>
        <v>61.9</v>
      </c>
      <c r="M18" s="136"/>
    </row>
    <row r="19" spans="1:13" ht="11.25" customHeight="1" x14ac:dyDescent="0.2">
      <c r="A19" s="125" t="s">
        <v>35</v>
      </c>
      <c r="B19" s="142" t="s">
        <v>36</v>
      </c>
      <c r="C19" s="245">
        <f>VLOOKUP($A19,'Table 20 data'!$A$9:$W$184,$B$4+'Table 20 data'!C$4,0)</f>
        <v>1895</v>
      </c>
      <c r="D19" s="246">
        <f>VLOOKUP($A19,'Table 20 data'!$A$9:$W$184,$B$4+'Table 20 data'!D$4,0)</f>
        <v>60.7</v>
      </c>
      <c r="E19" s="245">
        <f>VLOOKUP($A19,'Table 20 data'!$A$9:$W$184,$B$4+'Table 20 data'!E$4,0)</f>
        <v>1765</v>
      </c>
      <c r="F19" s="246">
        <f>VLOOKUP($A19,'Table 20 data'!$A$9:$W$184,$B$4+'Table 20 data'!F$4,0)</f>
        <v>69.7</v>
      </c>
      <c r="G19" s="245">
        <f>VLOOKUP($A19,'Table 20 data'!$A$9:$W$184,$B$4+'Table 20 data'!G$4,0)</f>
        <v>1768</v>
      </c>
      <c r="H19" s="246">
        <f>VLOOKUP($A19,'Table 20 data'!$A$9:$W$184,$B$4+'Table 20 data'!H$4,0)</f>
        <v>68.599999999999994</v>
      </c>
      <c r="I19" s="245">
        <f>VLOOKUP($A19,'Table 20 data'!$A$9:$W$184,$B$4+'Table 20 data'!I$4,0)</f>
        <v>1751</v>
      </c>
      <c r="J19" s="246">
        <f>VLOOKUP($A19,'Table 20 data'!$A$9:$W$184,$B$4+'Table 20 data'!J$4,0)</f>
        <v>66.5</v>
      </c>
      <c r="K19" s="245">
        <f>VLOOKUP($A19,'Table 20 data'!$A$9:$W$184,$B$4+'Table 20 data'!K$4,0)</f>
        <v>1704</v>
      </c>
      <c r="L19" s="246">
        <f>VLOOKUP($A19,'Table 20 data'!$A$9:$W$184,$B$4+'Table 20 data'!L$4,0)</f>
        <v>66.8</v>
      </c>
      <c r="M19" s="136"/>
    </row>
    <row r="20" spans="1:13" ht="11.25" customHeight="1" x14ac:dyDescent="0.2">
      <c r="A20" s="125" t="s">
        <v>37</v>
      </c>
      <c r="B20" s="142" t="s">
        <v>38</v>
      </c>
      <c r="C20" s="245">
        <f>VLOOKUP($A20,'Table 20 data'!$A$9:$W$184,$B$4+'Table 20 data'!C$4,0)</f>
        <v>2403</v>
      </c>
      <c r="D20" s="246">
        <f>VLOOKUP($A20,'Table 20 data'!$A$9:$W$184,$B$4+'Table 20 data'!D$4,0)</f>
        <v>59.9</v>
      </c>
      <c r="E20" s="245">
        <f>VLOOKUP($A20,'Table 20 data'!$A$9:$W$184,$B$4+'Table 20 data'!E$4,0)</f>
        <v>2284</v>
      </c>
      <c r="F20" s="246">
        <f>VLOOKUP($A20,'Table 20 data'!$A$9:$W$184,$B$4+'Table 20 data'!F$4,0)</f>
        <v>61.3</v>
      </c>
      <c r="G20" s="245">
        <f>VLOOKUP($A20,'Table 20 data'!$A$9:$W$184,$B$4+'Table 20 data'!G$4,0)</f>
        <v>2219</v>
      </c>
      <c r="H20" s="246">
        <f>VLOOKUP($A20,'Table 20 data'!$A$9:$W$184,$B$4+'Table 20 data'!H$4,0)</f>
        <v>68.099999999999994</v>
      </c>
      <c r="I20" s="245">
        <f>VLOOKUP($A20,'Table 20 data'!$A$9:$W$184,$B$4+'Table 20 data'!I$4,0)</f>
        <v>2144</v>
      </c>
      <c r="J20" s="246">
        <f>VLOOKUP($A20,'Table 20 data'!$A$9:$W$184,$B$4+'Table 20 data'!J$4,0)</f>
        <v>61.4</v>
      </c>
      <c r="K20" s="245">
        <f>VLOOKUP($A20,'Table 20 data'!$A$9:$W$184,$B$4+'Table 20 data'!K$4,0)</f>
        <v>2156</v>
      </c>
      <c r="L20" s="246">
        <f>VLOOKUP($A20,'Table 20 data'!$A$9:$W$184,$B$4+'Table 20 data'!L$4,0)</f>
        <v>61.9</v>
      </c>
      <c r="M20" s="136"/>
    </row>
    <row r="21" spans="1:13" ht="11.25" customHeight="1" x14ac:dyDescent="0.2">
      <c r="A21" s="125" t="s">
        <v>39</v>
      </c>
      <c r="B21" s="142" t="s">
        <v>40</v>
      </c>
      <c r="C21" s="245">
        <f>VLOOKUP($A21,'Table 20 data'!$A$9:$W$184,$B$4+'Table 20 data'!C$4,0)</f>
        <v>3465</v>
      </c>
      <c r="D21" s="246">
        <f>VLOOKUP($A21,'Table 20 data'!$A$9:$W$184,$B$4+'Table 20 data'!D$4,0)</f>
        <v>57.7</v>
      </c>
      <c r="E21" s="245">
        <f>VLOOKUP($A21,'Table 20 data'!$A$9:$W$184,$B$4+'Table 20 data'!E$4,0)</f>
        <v>3409</v>
      </c>
      <c r="F21" s="246">
        <f>VLOOKUP($A21,'Table 20 data'!$A$9:$W$184,$B$4+'Table 20 data'!F$4,0)</f>
        <v>61.7</v>
      </c>
      <c r="G21" s="245">
        <f>VLOOKUP($A21,'Table 20 data'!$A$9:$W$184,$B$4+'Table 20 data'!G$4,0)</f>
        <v>3220</v>
      </c>
      <c r="H21" s="246">
        <f>VLOOKUP($A21,'Table 20 data'!$A$9:$W$184,$B$4+'Table 20 data'!H$4,0)</f>
        <v>68.099999999999994</v>
      </c>
      <c r="I21" s="245">
        <f>VLOOKUP($A21,'Table 20 data'!$A$9:$W$184,$B$4+'Table 20 data'!I$4,0)</f>
        <v>3176</v>
      </c>
      <c r="J21" s="246">
        <f>VLOOKUP($A21,'Table 20 data'!$A$9:$W$184,$B$4+'Table 20 data'!J$4,0)</f>
        <v>70.099999999999994</v>
      </c>
      <c r="K21" s="245">
        <f>VLOOKUP($A21,'Table 20 data'!$A$9:$W$184,$B$4+'Table 20 data'!K$4,0)</f>
        <v>3187</v>
      </c>
      <c r="L21" s="246">
        <f>VLOOKUP($A21,'Table 20 data'!$A$9:$W$184,$B$4+'Table 20 data'!L$4,0)</f>
        <v>69.2</v>
      </c>
      <c r="M21" s="136"/>
    </row>
    <row r="22" spans="1:13" ht="11.25" customHeight="1" x14ac:dyDescent="0.2">
      <c r="A22" s="3"/>
      <c r="B22" s="141"/>
      <c r="C22" s="247"/>
      <c r="D22" s="256"/>
      <c r="E22" s="247"/>
      <c r="F22" s="256"/>
      <c r="G22" s="247"/>
      <c r="H22" s="249"/>
      <c r="I22" s="250"/>
      <c r="J22" s="250"/>
      <c r="K22" s="250"/>
      <c r="L22" s="250"/>
      <c r="M22" s="136"/>
    </row>
    <row r="23" spans="1:13" s="98" customFormat="1" ht="11.25" customHeight="1" x14ac:dyDescent="0.2">
      <c r="A23" s="16" t="s">
        <v>381</v>
      </c>
      <c r="B23" s="92" t="s">
        <v>41</v>
      </c>
      <c r="C23" s="243">
        <f>VLOOKUP($A23,'Table 20 data'!$A$9:$W$184,$B$4+'Table 20 data'!C$4,0)</f>
        <v>81558</v>
      </c>
      <c r="D23" s="244">
        <f>VLOOKUP($A23,'Table 20 data'!$A$9:$W$184,$B$4+'Table 20 data'!D$4,0)</f>
        <v>63.5</v>
      </c>
      <c r="E23" s="243">
        <f>VLOOKUP($A23,'Table 20 data'!$A$9:$W$184,$B$4+'Table 20 data'!E$4,0)</f>
        <v>80180</v>
      </c>
      <c r="F23" s="244">
        <f>VLOOKUP($A23,'Table 20 data'!$A$9:$W$184,$B$4+'Table 20 data'!F$4,0)</f>
        <v>68.8</v>
      </c>
      <c r="G23" s="243">
        <f>VLOOKUP($A23,'Table 20 data'!$A$9:$W$184,$B$4+'Table 20 data'!G$4,0)</f>
        <v>77236</v>
      </c>
      <c r="H23" s="244">
        <f>VLOOKUP($A23,'Table 20 data'!$A$9:$W$184,$B$4+'Table 20 data'!H$4,0)</f>
        <v>71.5</v>
      </c>
      <c r="I23" s="243">
        <f>VLOOKUP($A23,'Table 20 data'!$A$9:$W$184,$B$4+'Table 20 data'!I$4,0)</f>
        <v>76681</v>
      </c>
      <c r="J23" s="244">
        <f>VLOOKUP($A23,'Table 20 data'!$A$9:$W$184,$B$4+'Table 20 data'!J$4,0)</f>
        <v>67.400000000000006</v>
      </c>
      <c r="K23" s="243">
        <f>VLOOKUP($A23,'Table 20 data'!$A$9:$W$184,$B$4+'Table 20 data'!K$4,0)</f>
        <v>78430</v>
      </c>
      <c r="L23" s="244">
        <f>VLOOKUP($A23,'Table 20 data'!$A$9:$W$184,$B$4+'Table 20 data'!L$4,0)</f>
        <v>68.5</v>
      </c>
      <c r="M23" s="136"/>
    </row>
    <row r="24" spans="1:13" ht="11.25" customHeight="1" x14ac:dyDescent="0.2">
      <c r="A24" s="125" t="s">
        <v>42</v>
      </c>
      <c r="B24" s="142" t="s">
        <v>43</v>
      </c>
      <c r="C24" s="245">
        <f>VLOOKUP($A24,'Table 20 data'!$A$9:$W$184,$B$4+'Table 20 data'!C$4,0)</f>
        <v>1763</v>
      </c>
      <c r="D24" s="246">
        <f>VLOOKUP($A24,'Table 20 data'!$A$9:$W$184,$B$4+'Table 20 data'!D$4,0)</f>
        <v>63.7</v>
      </c>
      <c r="E24" s="245">
        <f>VLOOKUP($A24,'Table 20 data'!$A$9:$W$184,$B$4+'Table 20 data'!E$4,0)</f>
        <v>1755</v>
      </c>
      <c r="F24" s="246">
        <f>VLOOKUP($A24,'Table 20 data'!$A$9:$W$184,$B$4+'Table 20 data'!F$4,0)</f>
        <v>67.2</v>
      </c>
      <c r="G24" s="245">
        <f>VLOOKUP($A24,'Table 20 data'!$A$9:$W$184,$B$4+'Table 20 data'!G$4,0)</f>
        <v>1752</v>
      </c>
      <c r="H24" s="246">
        <f>VLOOKUP($A24,'Table 20 data'!$A$9:$W$184,$B$4+'Table 20 data'!H$4,0)</f>
        <v>73.2</v>
      </c>
      <c r="I24" s="245">
        <f>VLOOKUP($A24,'Table 20 data'!$A$9:$W$184,$B$4+'Table 20 data'!I$4,0)</f>
        <v>1683</v>
      </c>
      <c r="J24" s="246">
        <f>VLOOKUP($A24,'Table 20 data'!$A$9:$W$184,$B$4+'Table 20 data'!J$4,0)</f>
        <v>65.099999999999994</v>
      </c>
      <c r="K24" s="245">
        <f>VLOOKUP($A24,'Table 20 data'!$A$9:$W$184,$B$4+'Table 20 data'!K$4,0)</f>
        <v>1746</v>
      </c>
      <c r="L24" s="246">
        <f>VLOOKUP($A24,'Table 20 data'!$A$9:$W$184,$B$4+'Table 20 data'!L$4,0)</f>
        <v>69.599999999999994</v>
      </c>
      <c r="M24" s="136"/>
    </row>
    <row r="25" spans="1:13" ht="11.25" customHeight="1" x14ac:dyDescent="0.2">
      <c r="A25" s="125" t="s">
        <v>44</v>
      </c>
      <c r="B25" s="142" t="s">
        <v>45</v>
      </c>
      <c r="C25" s="245">
        <f>VLOOKUP($A25,'Table 20 data'!$A$9:$W$184,$B$4+'Table 20 data'!C$4,0)</f>
        <v>1603</v>
      </c>
      <c r="D25" s="246">
        <f>VLOOKUP($A25,'Table 20 data'!$A$9:$W$184,$B$4+'Table 20 data'!D$4,0)</f>
        <v>61.2</v>
      </c>
      <c r="E25" s="245">
        <f>VLOOKUP($A25,'Table 20 data'!$A$9:$W$184,$B$4+'Table 20 data'!E$4,0)</f>
        <v>1571</v>
      </c>
      <c r="F25" s="246">
        <f>VLOOKUP($A25,'Table 20 data'!$A$9:$W$184,$B$4+'Table 20 data'!F$4,0)</f>
        <v>70</v>
      </c>
      <c r="G25" s="245">
        <f>VLOOKUP($A25,'Table 20 data'!$A$9:$W$184,$B$4+'Table 20 data'!G$4,0)</f>
        <v>1500</v>
      </c>
      <c r="H25" s="246">
        <f>VLOOKUP($A25,'Table 20 data'!$A$9:$W$184,$B$4+'Table 20 data'!H$4,0)</f>
        <v>67.900000000000006</v>
      </c>
      <c r="I25" s="245">
        <f>VLOOKUP($A25,'Table 20 data'!$A$9:$W$184,$B$4+'Table 20 data'!I$4,0)</f>
        <v>1441</v>
      </c>
      <c r="J25" s="246">
        <f>VLOOKUP($A25,'Table 20 data'!$A$9:$W$184,$B$4+'Table 20 data'!J$4,0)</f>
        <v>62.2</v>
      </c>
      <c r="K25" s="245">
        <f>VLOOKUP($A25,'Table 20 data'!$A$9:$W$184,$B$4+'Table 20 data'!K$4,0)</f>
        <v>1609</v>
      </c>
      <c r="L25" s="246">
        <f>VLOOKUP($A25,'Table 20 data'!$A$9:$W$184,$B$4+'Table 20 data'!L$4,0)</f>
        <v>57.3</v>
      </c>
      <c r="M25" s="136"/>
    </row>
    <row r="26" spans="1:13" ht="11.25" customHeight="1" x14ac:dyDescent="0.2">
      <c r="A26" s="125" t="s">
        <v>46</v>
      </c>
      <c r="B26" s="142" t="s">
        <v>47</v>
      </c>
      <c r="C26" s="245">
        <f>VLOOKUP($A26,'Table 20 data'!$A$9:$W$184,$B$4+'Table 20 data'!C$4,0)</f>
        <v>3500</v>
      </c>
      <c r="D26" s="246">
        <f>VLOOKUP($A26,'Table 20 data'!$A$9:$W$184,$B$4+'Table 20 data'!D$4,0)</f>
        <v>56.6</v>
      </c>
      <c r="E26" s="245">
        <f>VLOOKUP($A26,'Table 20 data'!$A$9:$W$184,$B$4+'Table 20 data'!E$4,0)</f>
        <v>3452</v>
      </c>
      <c r="F26" s="246">
        <f>VLOOKUP($A26,'Table 20 data'!$A$9:$W$184,$B$4+'Table 20 data'!F$4,0)</f>
        <v>64.099999999999994</v>
      </c>
      <c r="G26" s="245">
        <f>VLOOKUP($A26,'Table 20 data'!$A$9:$W$184,$B$4+'Table 20 data'!G$4,0)</f>
        <v>3304</v>
      </c>
      <c r="H26" s="246">
        <f>VLOOKUP($A26,'Table 20 data'!$A$9:$W$184,$B$4+'Table 20 data'!H$4,0)</f>
        <v>71.8</v>
      </c>
      <c r="I26" s="245">
        <f>VLOOKUP($A26,'Table 20 data'!$A$9:$W$184,$B$4+'Table 20 data'!I$4,0)</f>
        <v>3305</v>
      </c>
      <c r="J26" s="246">
        <f>VLOOKUP($A26,'Table 20 data'!$A$9:$W$184,$B$4+'Table 20 data'!J$4,0)</f>
        <v>67.099999999999994</v>
      </c>
      <c r="K26" s="245">
        <f>VLOOKUP($A26,'Table 20 data'!$A$9:$W$184,$B$4+'Table 20 data'!K$4,0)</f>
        <v>3418</v>
      </c>
      <c r="L26" s="246">
        <f>VLOOKUP($A26,'Table 20 data'!$A$9:$W$184,$B$4+'Table 20 data'!L$4,0)</f>
        <v>67.7</v>
      </c>
      <c r="M26" s="136"/>
    </row>
    <row r="27" spans="1:13" ht="11.25" customHeight="1" x14ac:dyDescent="0.2">
      <c r="A27" s="125" t="s">
        <v>48</v>
      </c>
      <c r="B27" s="142" t="s">
        <v>49</v>
      </c>
      <c r="C27" s="245">
        <f>VLOOKUP($A27,'Table 20 data'!$A$9:$W$184,$B$4+'Table 20 data'!C$4,0)</f>
        <v>2176</v>
      </c>
      <c r="D27" s="246">
        <f>VLOOKUP($A27,'Table 20 data'!$A$9:$W$184,$B$4+'Table 20 data'!D$4,0)</f>
        <v>76.400000000000006</v>
      </c>
      <c r="E27" s="245">
        <f>VLOOKUP($A27,'Table 20 data'!$A$9:$W$184,$B$4+'Table 20 data'!E$4,0)</f>
        <v>2181</v>
      </c>
      <c r="F27" s="246">
        <f>VLOOKUP($A27,'Table 20 data'!$A$9:$W$184,$B$4+'Table 20 data'!F$4,0)</f>
        <v>76.7</v>
      </c>
      <c r="G27" s="245">
        <f>VLOOKUP($A27,'Table 20 data'!$A$9:$W$184,$B$4+'Table 20 data'!G$4,0)</f>
        <v>2125</v>
      </c>
      <c r="H27" s="246">
        <f>VLOOKUP($A27,'Table 20 data'!$A$9:$W$184,$B$4+'Table 20 data'!H$4,0)</f>
        <v>80.599999999999994</v>
      </c>
      <c r="I27" s="245">
        <f>VLOOKUP($A27,'Table 20 data'!$A$9:$W$184,$B$4+'Table 20 data'!I$4,0)</f>
        <v>2149</v>
      </c>
      <c r="J27" s="246">
        <f>VLOOKUP($A27,'Table 20 data'!$A$9:$W$184,$B$4+'Table 20 data'!J$4,0)</f>
        <v>75</v>
      </c>
      <c r="K27" s="245">
        <f>VLOOKUP($A27,'Table 20 data'!$A$9:$W$184,$B$4+'Table 20 data'!K$4,0)</f>
        <v>2138</v>
      </c>
      <c r="L27" s="246">
        <f>VLOOKUP($A27,'Table 20 data'!$A$9:$W$184,$B$4+'Table 20 data'!L$4,0)</f>
        <v>66.599999999999994</v>
      </c>
      <c r="M27" s="136"/>
    </row>
    <row r="28" spans="1:13" ht="11.25" customHeight="1" x14ac:dyDescent="0.2">
      <c r="A28" s="125" t="s">
        <v>50</v>
      </c>
      <c r="B28" s="126" t="s">
        <v>51</v>
      </c>
      <c r="C28" s="245">
        <f>VLOOKUP($A28,'Table 20 data'!$A$9:$W$184,$B$4+'Table 20 data'!C$4,0)</f>
        <v>3937</v>
      </c>
      <c r="D28" s="246">
        <f>VLOOKUP($A28,'Table 20 data'!$A$9:$W$184,$B$4+'Table 20 data'!D$4,0)</f>
        <v>67.8</v>
      </c>
      <c r="E28" s="245">
        <f>VLOOKUP($A28,'Table 20 data'!$A$9:$W$184,$B$4+'Table 20 data'!E$4,0)</f>
        <v>3879</v>
      </c>
      <c r="F28" s="246">
        <f>VLOOKUP($A28,'Table 20 data'!$A$9:$W$184,$B$4+'Table 20 data'!F$4,0)</f>
        <v>73.3</v>
      </c>
      <c r="G28" s="245">
        <f>VLOOKUP($A28,'Table 20 data'!$A$9:$W$184,$B$4+'Table 20 data'!G$4,0)</f>
        <v>3747</v>
      </c>
      <c r="H28" s="246">
        <f>VLOOKUP($A28,'Table 20 data'!$A$9:$W$184,$B$4+'Table 20 data'!H$4,0)</f>
        <v>74.5</v>
      </c>
      <c r="I28" s="245">
        <f>VLOOKUP($A28,'Table 20 data'!$A$9:$W$184,$B$4+'Table 20 data'!I$4,0)</f>
        <v>3829</v>
      </c>
      <c r="J28" s="246">
        <f>VLOOKUP($A28,'Table 20 data'!$A$9:$W$184,$B$4+'Table 20 data'!J$4,0)</f>
        <v>68.5</v>
      </c>
      <c r="K28" s="245">
        <f>VLOOKUP($A28,'Table 20 data'!$A$9:$W$184,$B$4+'Table 20 data'!K$4,0)</f>
        <v>4009</v>
      </c>
      <c r="L28" s="246">
        <f>VLOOKUP($A28,'Table 20 data'!$A$9:$W$184,$B$4+'Table 20 data'!L$4,0)</f>
        <v>69.099999999999994</v>
      </c>
      <c r="M28" s="136"/>
    </row>
    <row r="29" spans="1:13" ht="11.25" customHeight="1" x14ac:dyDescent="0.2">
      <c r="A29" s="125" t="s">
        <v>52</v>
      </c>
      <c r="B29" s="126" t="s">
        <v>53</v>
      </c>
      <c r="C29" s="245">
        <f>VLOOKUP($A29,'Table 20 data'!$A$9:$W$184,$B$4+'Table 20 data'!C$4,0)</f>
        <v>3889</v>
      </c>
      <c r="D29" s="246">
        <f>VLOOKUP($A29,'Table 20 data'!$A$9:$W$184,$B$4+'Table 20 data'!D$4,0)</f>
        <v>63</v>
      </c>
      <c r="E29" s="245">
        <f>VLOOKUP($A29,'Table 20 data'!$A$9:$W$184,$B$4+'Table 20 data'!E$4,0)</f>
        <v>3921</v>
      </c>
      <c r="F29" s="246">
        <f>VLOOKUP($A29,'Table 20 data'!$A$9:$W$184,$B$4+'Table 20 data'!F$4,0)</f>
        <v>71</v>
      </c>
      <c r="G29" s="245">
        <f>VLOOKUP($A29,'Table 20 data'!$A$9:$W$184,$B$4+'Table 20 data'!G$4,0)</f>
        <v>3755</v>
      </c>
      <c r="H29" s="246">
        <f>VLOOKUP($A29,'Table 20 data'!$A$9:$W$184,$B$4+'Table 20 data'!H$4,0)</f>
        <v>70.8</v>
      </c>
      <c r="I29" s="245">
        <f>VLOOKUP($A29,'Table 20 data'!$A$9:$W$184,$B$4+'Table 20 data'!I$4,0)</f>
        <v>3584</v>
      </c>
      <c r="J29" s="246">
        <f>VLOOKUP($A29,'Table 20 data'!$A$9:$W$184,$B$4+'Table 20 data'!J$4,0)</f>
        <v>68.900000000000006</v>
      </c>
      <c r="K29" s="245">
        <f>VLOOKUP($A29,'Table 20 data'!$A$9:$W$184,$B$4+'Table 20 data'!K$4,0)</f>
        <v>3748</v>
      </c>
      <c r="L29" s="246">
        <f>VLOOKUP($A29,'Table 20 data'!$A$9:$W$184,$B$4+'Table 20 data'!L$4,0)</f>
        <v>73.400000000000006</v>
      </c>
      <c r="M29" s="136"/>
    </row>
    <row r="30" spans="1:13" ht="11.25" customHeight="1" x14ac:dyDescent="0.2">
      <c r="A30" s="125" t="s">
        <v>54</v>
      </c>
      <c r="B30" s="142" t="s">
        <v>55</v>
      </c>
      <c r="C30" s="245">
        <f>VLOOKUP($A30,'Table 20 data'!$A$9:$W$184,$B$4+'Table 20 data'!C$4,0)</f>
        <v>5991</v>
      </c>
      <c r="D30" s="246">
        <f>VLOOKUP($A30,'Table 20 data'!$A$9:$W$184,$B$4+'Table 20 data'!D$4,0)</f>
        <v>61.7</v>
      </c>
      <c r="E30" s="245">
        <f>VLOOKUP($A30,'Table 20 data'!$A$9:$W$184,$B$4+'Table 20 data'!E$4,0)</f>
        <v>6019</v>
      </c>
      <c r="F30" s="246">
        <f>VLOOKUP($A30,'Table 20 data'!$A$9:$W$184,$B$4+'Table 20 data'!F$4,0)</f>
        <v>66.599999999999994</v>
      </c>
      <c r="G30" s="245">
        <f>VLOOKUP($A30,'Table 20 data'!$A$9:$W$184,$B$4+'Table 20 data'!G$4,0)</f>
        <v>5554</v>
      </c>
      <c r="H30" s="246">
        <f>VLOOKUP($A30,'Table 20 data'!$A$9:$W$184,$B$4+'Table 20 data'!H$4,0)</f>
        <v>68.099999999999994</v>
      </c>
      <c r="I30" s="245">
        <f>VLOOKUP($A30,'Table 20 data'!$A$9:$W$184,$B$4+'Table 20 data'!I$4,0)</f>
        <v>5617</v>
      </c>
      <c r="J30" s="246">
        <f>VLOOKUP($A30,'Table 20 data'!$A$9:$W$184,$B$4+'Table 20 data'!J$4,0)</f>
        <v>64.599999999999994</v>
      </c>
      <c r="K30" s="245">
        <f>VLOOKUP($A30,'Table 20 data'!$A$9:$W$184,$B$4+'Table 20 data'!K$4,0)</f>
        <v>5626</v>
      </c>
      <c r="L30" s="246">
        <f>VLOOKUP($A30,'Table 20 data'!$A$9:$W$184,$B$4+'Table 20 data'!L$4,0)</f>
        <v>63.6</v>
      </c>
      <c r="M30" s="136"/>
    </row>
    <row r="31" spans="1:13" ht="11.25" customHeight="1" x14ac:dyDescent="0.2">
      <c r="A31" s="125" t="s">
        <v>56</v>
      </c>
      <c r="B31" s="142" t="s">
        <v>57</v>
      </c>
      <c r="C31" s="245">
        <f>VLOOKUP($A31,'Table 20 data'!$A$9:$W$184,$B$4+'Table 20 data'!C$4,0)</f>
        <v>1524</v>
      </c>
      <c r="D31" s="246">
        <f>VLOOKUP($A31,'Table 20 data'!$A$9:$W$184,$B$4+'Table 20 data'!D$4,0)</f>
        <v>54.7</v>
      </c>
      <c r="E31" s="245">
        <f>VLOOKUP($A31,'Table 20 data'!$A$9:$W$184,$B$4+'Table 20 data'!E$4,0)</f>
        <v>1524</v>
      </c>
      <c r="F31" s="246">
        <f>VLOOKUP($A31,'Table 20 data'!$A$9:$W$184,$B$4+'Table 20 data'!F$4,0)</f>
        <v>63.6</v>
      </c>
      <c r="G31" s="245">
        <f>VLOOKUP($A31,'Table 20 data'!$A$9:$W$184,$B$4+'Table 20 data'!G$4,0)</f>
        <v>1406</v>
      </c>
      <c r="H31" s="246">
        <f>VLOOKUP($A31,'Table 20 data'!$A$9:$W$184,$B$4+'Table 20 data'!H$4,0)</f>
        <v>68.900000000000006</v>
      </c>
      <c r="I31" s="245">
        <f>VLOOKUP($A31,'Table 20 data'!$A$9:$W$184,$B$4+'Table 20 data'!I$4,0)</f>
        <v>1356</v>
      </c>
      <c r="J31" s="246">
        <f>VLOOKUP($A31,'Table 20 data'!$A$9:$W$184,$B$4+'Table 20 data'!J$4,0)</f>
        <v>70.2</v>
      </c>
      <c r="K31" s="245">
        <f>VLOOKUP($A31,'Table 20 data'!$A$9:$W$184,$B$4+'Table 20 data'!K$4,0)</f>
        <v>1417</v>
      </c>
      <c r="L31" s="246">
        <f>VLOOKUP($A31,'Table 20 data'!$A$9:$W$184,$B$4+'Table 20 data'!L$4,0)</f>
        <v>72.5</v>
      </c>
      <c r="M31" s="136"/>
    </row>
    <row r="32" spans="1:13" ht="11.25" customHeight="1" x14ac:dyDescent="0.2">
      <c r="A32" s="125" t="s">
        <v>58</v>
      </c>
      <c r="B32" s="142" t="s">
        <v>59</v>
      </c>
      <c r="C32" s="245">
        <f>VLOOKUP($A32,'Table 20 data'!$A$9:$W$184,$B$4+'Table 20 data'!C$4,0)</f>
        <v>1636</v>
      </c>
      <c r="D32" s="246">
        <f>VLOOKUP($A32,'Table 20 data'!$A$9:$W$184,$B$4+'Table 20 data'!D$4,0)</f>
        <v>42.8</v>
      </c>
      <c r="E32" s="245">
        <f>VLOOKUP($A32,'Table 20 data'!$A$9:$W$184,$B$4+'Table 20 data'!E$4,0)</f>
        <v>1635</v>
      </c>
      <c r="F32" s="246">
        <f>VLOOKUP($A32,'Table 20 data'!$A$9:$W$184,$B$4+'Table 20 data'!F$4,0)</f>
        <v>44.8</v>
      </c>
      <c r="G32" s="245">
        <f>VLOOKUP($A32,'Table 20 data'!$A$9:$W$184,$B$4+'Table 20 data'!G$4,0)</f>
        <v>1535</v>
      </c>
      <c r="H32" s="246">
        <f>VLOOKUP($A32,'Table 20 data'!$A$9:$W$184,$B$4+'Table 20 data'!H$4,0)</f>
        <v>57.2</v>
      </c>
      <c r="I32" s="245">
        <f>VLOOKUP($A32,'Table 20 data'!$A$9:$W$184,$B$4+'Table 20 data'!I$4,0)</f>
        <v>1435</v>
      </c>
      <c r="J32" s="246">
        <f>VLOOKUP($A32,'Table 20 data'!$A$9:$W$184,$B$4+'Table 20 data'!J$4,0)</f>
        <v>48.8</v>
      </c>
      <c r="K32" s="245">
        <f>VLOOKUP($A32,'Table 20 data'!$A$9:$W$184,$B$4+'Table 20 data'!K$4,0)</f>
        <v>1378</v>
      </c>
      <c r="L32" s="246">
        <f>VLOOKUP($A32,'Table 20 data'!$A$9:$W$184,$B$4+'Table 20 data'!L$4,0)</f>
        <v>53.6</v>
      </c>
      <c r="M32" s="136"/>
    </row>
    <row r="33" spans="1:13" ht="11.25" customHeight="1" x14ac:dyDescent="0.2">
      <c r="A33" s="125" t="s">
        <v>60</v>
      </c>
      <c r="B33" s="142" t="s">
        <v>61</v>
      </c>
      <c r="C33" s="245">
        <f>VLOOKUP($A33,'Table 20 data'!$A$9:$W$184,$B$4+'Table 20 data'!C$4,0)</f>
        <v>13432</v>
      </c>
      <c r="D33" s="246">
        <f>VLOOKUP($A33,'Table 20 data'!$A$9:$W$184,$B$4+'Table 20 data'!D$4,0)</f>
        <v>67.3</v>
      </c>
      <c r="E33" s="245">
        <f>VLOOKUP($A33,'Table 20 data'!$A$9:$W$184,$B$4+'Table 20 data'!E$4,0)</f>
        <v>13236</v>
      </c>
      <c r="F33" s="246">
        <f>VLOOKUP($A33,'Table 20 data'!$A$9:$W$184,$B$4+'Table 20 data'!F$4,0)</f>
        <v>71</v>
      </c>
      <c r="G33" s="245">
        <f>VLOOKUP($A33,'Table 20 data'!$A$9:$W$184,$B$4+'Table 20 data'!G$4,0)</f>
        <v>12534</v>
      </c>
      <c r="H33" s="246">
        <f>VLOOKUP($A33,'Table 20 data'!$A$9:$W$184,$B$4+'Table 20 data'!H$4,0)</f>
        <v>74.8</v>
      </c>
      <c r="I33" s="245">
        <f>VLOOKUP($A33,'Table 20 data'!$A$9:$W$184,$B$4+'Table 20 data'!I$4,0)</f>
        <v>12713</v>
      </c>
      <c r="J33" s="246">
        <f>VLOOKUP($A33,'Table 20 data'!$A$9:$W$184,$B$4+'Table 20 data'!J$4,0)</f>
        <v>69.2</v>
      </c>
      <c r="K33" s="245">
        <f>VLOOKUP($A33,'Table 20 data'!$A$9:$W$184,$B$4+'Table 20 data'!K$4,0)</f>
        <v>13006</v>
      </c>
      <c r="L33" s="246">
        <f>VLOOKUP($A33,'Table 20 data'!$A$9:$W$184,$B$4+'Table 20 data'!L$4,0)</f>
        <v>69.3</v>
      </c>
      <c r="M33" s="136"/>
    </row>
    <row r="34" spans="1:13" ht="11.25" customHeight="1" x14ac:dyDescent="0.2">
      <c r="A34" s="125" t="s">
        <v>62</v>
      </c>
      <c r="B34" s="142" t="s">
        <v>63</v>
      </c>
      <c r="C34" s="245">
        <f>VLOOKUP($A34,'Table 20 data'!$A$9:$W$184,$B$4+'Table 20 data'!C$4,0)</f>
        <v>5230</v>
      </c>
      <c r="D34" s="246">
        <f>VLOOKUP($A34,'Table 20 data'!$A$9:$W$184,$B$4+'Table 20 data'!D$4,0)</f>
        <v>60.4</v>
      </c>
      <c r="E34" s="245">
        <f>VLOOKUP($A34,'Table 20 data'!$A$9:$W$184,$B$4+'Table 20 data'!E$4,0)</f>
        <v>5009</v>
      </c>
      <c r="F34" s="246">
        <f>VLOOKUP($A34,'Table 20 data'!$A$9:$W$184,$B$4+'Table 20 data'!F$4,0)</f>
        <v>69.400000000000006</v>
      </c>
      <c r="G34" s="245">
        <f>VLOOKUP($A34,'Table 20 data'!$A$9:$W$184,$B$4+'Table 20 data'!G$4,0)</f>
        <v>4974</v>
      </c>
      <c r="H34" s="246">
        <f>VLOOKUP($A34,'Table 20 data'!$A$9:$W$184,$B$4+'Table 20 data'!H$4,0)</f>
        <v>69.599999999999994</v>
      </c>
      <c r="I34" s="245">
        <f>VLOOKUP($A34,'Table 20 data'!$A$9:$W$184,$B$4+'Table 20 data'!I$4,0)</f>
        <v>4876</v>
      </c>
      <c r="J34" s="246">
        <f>VLOOKUP($A34,'Table 20 data'!$A$9:$W$184,$B$4+'Table 20 data'!J$4,0)</f>
        <v>64.900000000000006</v>
      </c>
      <c r="K34" s="245">
        <f>VLOOKUP($A34,'Table 20 data'!$A$9:$W$184,$B$4+'Table 20 data'!K$4,0)</f>
        <v>4979</v>
      </c>
      <c r="L34" s="246">
        <f>VLOOKUP($A34,'Table 20 data'!$A$9:$W$184,$B$4+'Table 20 data'!L$4,0)</f>
        <v>67.099999999999994</v>
      </c>
      <c r="M34" s="136"/>
    </row>
    <row r="35" spans="1:13" ht="11.25" customHeight="1" x14ac:dyDescent="0.2">
      <c r="A35" s="125" t="s">
        <v>64</v>
      </c>
      <c r="B35" s="142" t="s">
        <v>65</v>
      </c>
      <c r="C35" s="245">
        <f>VLOOKUP($A35,'Table 20 data'!$A$9:$W$184,$B$4+'Table 20 data'!C$4,0)</f>
        <v>4347</v>
      </c>
      <c r="D35" s="246">
        <f>VLOOKUP($A35,'Table 20 data'!$A$9:$W$184,$B$4+'Table 20 data'!D$4,0)</f>
        <v>54.6</v>
      </c>
      <c r="E35" s="245">
        <f>VLOOKUP($A35,'Table 20 data'!$A$9:$W$184,$B$4+'Table 20 data'!E$4,0)</f>
        <v>4209</v>
      </c>
      <c r="F35" s="246">
        <f>VLOOKUP($A35,'Table 20 data'!$A$9:$W$184,$B$4+'Table 20 data'!F$4,0)</f>
        <v>62.9</v>
      </c>
      <c r="G35" s="245">
        <f>VLOOKUP($A35,'Table 20 data'!$A$9:$W$184,$B$4+'Table 20 data'!G$4,0)</f>
        <v>4096</v>
      </c>
      <c r="H35" s="246">
        <f>VLOOKUP($A35,'Table 20 data'!$A$9:$W$184,$B$4+'Table 20 data'!H$4,0)</f>
        <v>66.5</v>
      </c>
      <c r="I35" s="245">
        <f>VLOOKUP($A35,'Table 20 data'!$A$9:$W$184,$B$4+'Table 20 data'!I$4,0)</f>
        <v>4064</v>
      </c>
      <c r="J35" s="246">
        <f>VLOOKUP($A35,'Table 20 data'!$A$9:$W$184,$B$4+'Table 20 data'!J$4,0)</f>
        <v>67</v>
      </c>
      <c r="K35" s="245">
        <f>VLOOKUP($A35,'Table 20 data'!$A$9:$W$184,$B$4+'Table 20 data'!K$4,0)</f>
        <v>4226</v>
      </c>
      <c r="L35" s="246">
        <f>VLOOKUP($A35,'Table 20 data'!$A$9:$W$184,$B$4+'Table 20 data'!L$4,0)</f>
        <v>67.7</v>
      </c>
      <c r="M35" s="136"/>
    </row>
    <row r="36" spans="1:13" ht="11.25" customHeight="1" x14ac:dyDescent="0.2">
      <c r="A36" s="125" t="s">
        <v>66</v>
      </c>
      <c r="B36" s="142" t="s">
        <v>67</v>
      </c>
      <c r="C36" s="245">
        <f>VLOOKUP($A36,'Table 20 data'!$A$9:$W$184,$B$4+'Table 20 data'!C$4,0)</f>
        <v>2957</v>
      </c>
      <c r="D36" s="246">
        <f>VLOOKUP($A36,'Table 20 data'!$A$9:$W$184,$B$4+'Table 20 data'!D$4,0)</f>
        <v>62</v>
      </c>
      <c r="E36" s="245">
        <f>VLOOKUP($A36,'Table 20 data'!$A$9:$W$184,$B$4+'Table 20 data'!E$4,0)</f>
        <v>2943</v>
      </c>
      <c r="F36" s="246">
        <f>VLOOKUP($A36,'Table 20 data'!$A$9:$W$184,$B$4+'Table 20 data'!F$4,0)</f>
        <v>67.599999999999994</v>
      </c>
      <c r="G36" s="245">
        <f>VLOOKUP($A36,'Table 20 data'!$A$9:$W$184,$B$4+'Table 20 data'!G$4,0)</f>
        <v>2851</v>
      </c>
      <c r="H36" s="246">
        <f>VLOOKUP($A36,'Table 20 data'!$A$9:$W$184,$B$4+'Table 20 data'!H$4,0)</f>
        <v>69.400000000000006</v>
      </c>
      <c r="I36" s="245">
        <f>VLOOKUP($A36,'Table 20 data'!$A$9:$W$184,$B$4+'Table 20 data'!I$4,0)</f>
        <v>2913</v>
      </c>
      <c r="J36" s="246">
        <f>VLOOKUP($A36,'Table 20 data'!$A$9:$W$184,$B$4+'Table 20 data'!J$4,0)</f>
        <v>61.2</v>
      </c>
      <c r="K36" s="245">
        <f>VLOOKUP($A36,'Table 20 data'!$A$9:$W$184,$B$4+'Table 20 data'!K$4,0)</f>
        <v>3013</v>
      </c>
      <c r="L36" s="246">
        <f>VLOOKUP($A36,'Table 20 data'!$A$9:$W$184,$B$4+'Table 20 data'!L$4,0)</f>
        <v>63.3</v>
      </c>
      <c r="M36" s="136"/>
    </row>
    <row r="37" spans="1:13" ht="11.25" customHeight="1" x14ac:dyDescent="0.2">
      <c r="A37" s="125" t="s">
        <v>68</v>
      </c>
      <c r="B37" s="142" t="s">
        <v>69</v>
      </c>
      <c r="C37" s="245">
        <f>VLOOKUP($A37,'Table 20 data'!$A$9:$W$184,$B$4+'Table 20 data'!C$4,0)</f>
        <v>2534</v>
      </c>
      <c r="D37" s="246">
        <f>VLOOKUP($A37,'Table 20 data'!$A$9:$W$184,$B$4+'Table 20 data'!D$4,0)</f>
        <v>63.4</v>
      </c>
      <c r="E37" s="245">
        <f>VLOOKUP($A37,'Table 20 data'!$A$9:$W$184,$B$4+'Table 20 data'!E$4,0)</f>
        <v>2486</v>
      </c>
      <c r="F37" s="246">
        <f>VLOOKUP($A37,'Table 20 data'!$A$9:$W$184,$B$4+'Table 20 data'!F$4,0)</f>
        <v>65.8</v>
      </c>
      <c r="G37" s="245">
        <f>VLOOKUP($A37,'Table 20 data'!$A$9:$W$184,$B$4+'Table 20 data'!G$4,0)</f>
        <v>2345</v>
      </c>
      <c r="H37" s="246">
        <f>VLOOKUP($A37,'Table 20 data'!$A$9:$W$184,$B$4+'Table 20 data'!H$4,0)</f>
        <v>66.7</v>
      </c>
      <c r="I37" s="245">
        <f>VLOOKUP($A37,'Table 20 data'!$A$9:$W$184,$B$4+'Table 20 data'!I$4,0)</f>
        <v>2350</v>
      </c>
      <c r="J37" s="246">
        <f>VLOOKUP($A37,'Table 20 data'!$A$9:$W$184,$B$4+'Table 20 data'!J$4,0)</f>
        <v>62.8</v>
      </c>
      <c r="K37" s="245">
        <f>VLOOKUP($A37,'Table 20 data'!$A$9:$W$184,$B$4+'Table 20 data'!K$4,0)</f>
        <v>2358</v>
      </c>
      <c r="L37" s="246">
        <f>VLOOKUP($A37,'Table 20 data'!$A$9:$W$184,$B$4+'Table 20 data'!L$4,0)</f>
        <v>66.7</v>
      </c>
      <c r="M37" s="136"/>
    </row>
    <row r="38" spans="1:13" ht="11.25" customHeight="1" x14ac:dyDescent="0.2">
      <c r="A38" s="125" t="s">
        <v>70</v>
      </c>
      <c r="B38" s="142" t="s">
        <v>71</v>
      </c>
      <c r="C38" s="245">
        <f>VLOOKUP($A38,'Table 20 data'!$A$9:$W$184,$B$4+'Table 20 data'!C$4,0)</f>
        <v>2288</v>
      </c>
      <c r="D38" s="246">
        <f>VLOOKUP($A38,'Table 20 data'!$A$9:$W$184,$B$4+'Table 20 data'!D$4,0)</f>
        <v>59.7</v>
      </c>
      <c r="E38" s="245">
        <f>VLOOKUP($A38,'Table 20 data'!$A$9:$W$184,$B$4+'Table 20 data'!E$4,0)</f>
        <v>2159</v>
      </c>
      <c r="F38" s="246">
        <f>VLOOKUP($A38,'Table 20 data'!$A$9:$W$184,$B$4+'Table 20 data'!F$4,0)</f>
        <v>65.400000000000006</v>
      </c>
      <c r="G38" s="245">
        <f>VLOOKUP($A38,'Table 20 data'!$A$9:$W$184,$B$4+'Table 20 data'!G$4,0)</f>
        <v>2099</v>
      </c>
      <c r="H38" s="246">
        <f>VLOOKUP($A38,'Table 20 data'!$A$9:$W$184,$B$4+'Table 20 data'!H$4,0)</f>
        <v>66.3</v>
      </c>
      <c r="I38" s="245">
        <f>VLOOKUP($A38,'Table 20 data'!$A$9:$W$184,$B$4+'Table 20 data'!I$4,0)</f>
        <v>1997</v>
      </c>
      <c r="J38" s="246">
        <f>VLOOKUP($A38,'Table 20 data'!$A$9:$W$184,$B$4+'Table 20 data'!J$4,0)</f>
        <v>59.3</v>
      </c>
      <c r="K38" s="245">
        <f>VLOOKUP($A38,'Table 20 data'!$A$9:$W$184,$B$4+'Table 20 data'!K$4,0)</f>
        <v>2160</v>
      </c>
      <c r="L38" s="246">
        <f>VLOOKUP($A38,'Table 20 data'!$A$9:$W$184,$B$4+'Table 20 data'!L$4,0)</f>
        <v>64.400000000000006</v>
      </c>
      <c r="M38" s="136"/>
    </row>
    <row r="39" spans="1:13" ht="11.25" customHeight="1" x14ac:dyDescent="0.2">
      <c r="A39" s="125" t="s">
        <v>72</v>
      </c>
      <c r="B39" s="142" t="s">
        <v>73</v>
      </c>
      <c r="C39" s="245">
        <f>VLOOKUP($A39,'Table 20 data'!$A$9:$W$184,$B$4+'Table 20 data'!C$4,0)</f>
        <v>3491</v>
      </c>
      <c r="D39" s="246">
        <f>VLOOKUP($A39,'Table 20 data'!$A$9:$W$184,$B$4+'Table 20 data'!D$4,0)</f>
        <v>67.7</v>
      </c>
      <c r="E39" s="245">
        <f>VLOOKUP($A39,'Table 20 data'!$A$9:$W$184,$B$4+'Table 20 data'!E$4,0)</f>
        <v>3278</v>
      </c>
      <c r="F39" s="246">
        <f>VLOOKUP($A39,'Table 20 data'!$A$9:$W$184,$B$4+'Table 20 data'!F$4,0)</f>
        <v>69.7</v>
      </c>
      <c r="G39" s="245">
        <f>VLOOKUP($A39,'Table 20 data'!$A$9:$W$184,$B$4+'Table 20 data'!G$4,0)</f>
        <v>3295</v>
      </c>
      <c r="H39" s="246">
        <f>VLOOKUP($A39,'Table 20 data'!$A$9:$W$184,$B$4+'Table 20 data'!H$4,0)</f>
        <v>72.599999999999994</v>
      </c>
      <c r="I39" s="245">
        <f>VLOOKUP($A39,'Table 20 data'!$A$9:$W$184,$B$4+'Table 20 data'!I$4,0)</f>
        <v>3309</v>
      </c>
      <c r="J39" s="246">
        <f>VLOOKUP($A39,'Table 20 data'!$A$9:$W$184,$B$4+'Table 20 data'!J$4,0)</f>
        <v>65.7</v>
      </c>
      <c r="K39" s="245">
        <f>VLOOKUP($A39,'Table 20 data'!$A$9:$W$184,$B$4+'Table 20 data'!K$4,0)</f>
        <v>3403</v>
      </c>
      <c r="L39" s="246">
        <f>VLOOKUP($A39,'Table 20 data'!$A$9:$W$184,$B$4+'Table 20 data'!L$4,0)</f>
        <v>70.3</v>
      </c>
      <c r="M39" s="136"/>
    </row>
    <row r="40" spans="1:13" ht="11.25" customHeight="1" x14ac:dyDescent="0.2">
      <c r="A40" s="125" t="s">
        <v>74</v>
      </c>
      <c r="B40" s="142" t="s">
        <v>75</v>
      </c>
      <c r="C40" s="245">
        <f>VLOOKUP($A40,'Table 20 data'!$A$9:$W$184,$B$4+'Table 20 data'!C$4,0)</f>
        <v>2144</v>
      </c>
      <c r="D40" s="246">
        <f>VLOOKUP($A40,'Table 20 data'!$A$9:$W$184,$B$4+'Table 20 data'!D$4,0)</f>
        <v>58</v>
      </c>
      <c r="E40" s="245">
        <f>VLOOKUP($A40,'Table 20 data'!$A$9:$W$184,$B$4+'Table 20 data'!E$4,0)</f>
        <v>1995</v>
      </c>
      <c r="F40" s="246">
        <f>VLOOKUP($A40,'Table 20 data'!$A$9:$W$184,$B$4+'Table 20 data'!F$4,0)</f>
        <v>65.599999999999994</v>
      </c>
      <c r="G40" s="245">
        <f>VLOOKUP($A40,'Table 20 data'!$A$9:$W$184,$B$4+'Table 20 data'!G$4,0)</f>
        <v>1944</v>
      </c>
      <c r="H40" s="246">
        <f>VLOOKUP($A40,'Table 20 data'!$A$9:$W$184,$B$4+'Table 20 data'!H$4,0)</f>
        <v>68.7</v>
      </c>
      <c r="I40" s="245">
        <f>VLOOKUP($A40,'Table 20 data'!$A$9:$W$184,$B$4+'Table 20 data'!I$4,0)</f>
        <v>1913</v>
      </c>
      <c r="J40" s="246">
        <f>VLOOKUP($A40,'Table 20 data'!$A$9:$W$184,$B$4+'Table 20 data'!J$4,0)</f>
        <v>61.9</v>
      </c>
      <c r="K40" s="245">
        <f>VLOOKUP($A40,'Table 20 data'!$A$9:$W$184,$B$4+'Table 20 data'!K$4,0)</f>
        <v>1925</v>
      </c>
      <c r="L40" s="246">
        <f>VLOOKUP($A40,'Table 20 data'!$A$9:$W$184,$B$4+'Table 20 data'!L$4,0)</f>
        <v>60.6</v>
      </c>
      <c r="M40" s="136"/>
    </row>
    <row r="41" spans="1:13" ht="11.25" customHeight="1" x14ac:dyDescent="0.2">
      <c r="A41" s="125" t="s">
        <v>76</v>
      </c>
      <c r="B41" s="142" t="s">
        <v>77</v>
      </c>
      <c r="C41" s="245">
        <f>VLOOKUP($A41,'Table 20 data'!$A$9:$W$184,$B$4+'Table 20 data'!C$4,0)</f>
        <v>2992</v>
      </c>
      <c r="D41" s="246">
        <f>VLOOKUP($A41,'Table 20 data'!$A$9:$W$184,$B$4+'Table 20 data'!D$4,0)</f>
        <v>66.7</v>
      </c>
      <c r="E41" s="245">
        <f>VLOOKUP($A41,'Table 20 data'!$A$9:$W$184,$B$4+'Table 20 data'!E$4,0)</f>
        <v>2968</v>
      </c>
      <c r="F41" s="246">
        <f>VLOOKUP($A41,'Table 20 data'!$A$9:$W$184,$B$4+'Table 20 data'!F$4,0)</f>
        <v>73.099999999999994</v>
      </c>
      <c r="G41" s="245">
        <f>VLOOKUP($A41,'Table 20 data'!$A$9:$W$184,$B$4+'Table 20 data'!G$4,0)</f>
        <v>2930</v>
      </c>
      <c r="H41" s="246">
        <f>VLOOKUP($A41,'Table 20 data'!$A$9:$W$184,$B$4+'Table 20 data'!H$4,0)</f>
        <v>75.599999999999994</v>
      </c>
      <c r="I41" s="245">
        <f>VLOOKUP($A41,'Table 20 data'!$A$9:$W$184,$B$4+'Table 20 data'!I$4,0)</f>
        <v>2766</v>
      </c>
      <c r="J41" s="246">
        <f>VLOOKUP($A41,'Table 20 data'!$A$9:$W$184,$B$4+'Table 20 data'!J$4,0)</f>
        <v>72</v>
      </c>
      <c r="K41" s="245">
        <f>VLOOKUP($A41,'Table 20 data'!$A$9:$W$184,$B$4+'Table 20 data'!K$4,0)</f>
        <v>2937</v>
      </c>
      <c r="L41" s="246">
        <f>VLOOKUP($A41,'Table 20 data'!$A$9:$W$184,$B$4+'Table 20 data'!L$4,0)</f>
        <v>71.3</v>
      </c>
      <c r="M41" s="136"/>
    </row>
    <row r="42" spans="1:13" ht="11.25" customHeight="1" x14ac:dyDescent="0.2">
      <c r="A42" s="125" t="s">
        <v>78</v>
      </c>
      <c r="B42" s="142" t="s">
        <v>79</v>
      </c>
      <c r="C42" s="245">
        <f>VLOOKUP($A42,'Table 20 data'!$A$9:$W$184,$B$4+'Table 20 data'!C$4,0)</f>
        <v>2931</v>
      </c>
      <c r="D42" s="246">
        <f>VLOOKUP($A42,'Table 20 data'!$A$9:$W$184,$B$4+'Table 20 data'!D$4,0)</f>
        <v>59.2</v>
      </c>
      <c r="E42" s="245">
        <f>VLOOKUP($A42,'Table 20 data'!$A$9:$W$184,$B$4+'Table 20 data'!E$4,0)</f>
        <v>2877</v>
      </c>
      <c r="F42" s="246">
        <f>VLOOKUP($A42,'Table 20 data'!$A$9:$W$184,$B$4+'Table 20 data'!F$4,0)</f>
        <v>60.5</v>
      </c>
      <c r="G42" s="245">
        <f>VLOOKUP($A42,'Table 20 data'!$A$9:$W$184,$B$4+'Table 20 data'!G$4,0)</f>
        <v>2775</v>
      </c>
      <c r="H42" s="246">
        <f>VLOOKUP($A42,'Table 20 data'!$A$9:$W$184,$B$4+'Table 20 data'!H$4,0)</f>
        <v>69.099999999999994</v>
      </c>
      <c r="I42" s="245">
        <f>VLOOKUP($A42,'Table 20 data'!$A$9:$W$184,$B$4+'Table 20 data'!I$4,0)</f>
        <v>2790</v>
      </c>
      <c r="J42" s="246">
        <f>VLOOKUP($A42,'Table 20 data'!$A$9:$W$184,$B$4+'Table 20 data'!J$4,0)</f>
        <v>65.2</v>
      </c>
      <c r="K42" s="245">
        <f>VLOOKUP($A42,'Table 20 data'!$A$9:$W$184,$B$4+'Table 20 data'!K$4,0)</f>
        <v>2664</v>
      </c>
      <c r="L42" s="246">
        <f>VLOOKUP($A42,'Table 20 data'!$A$9:$W$184,$B$4+'Table 20 data'!L$4,0)</f>
        <v>69</v>
      </c>
      <c r="M42" s="136"/>
    </row>
    <row r="43" spans="1:13" ht="11.25" customHeight="1" x14ac:dyDescent="0.2">
      <c r="A43" s="125" t="s">
        <v>80</v>
      </c>
      <c r="B43" s="142" t="s">
        <v>81</v>
      </c>
      <c r="C43" s="245">
        <f>VLOOKUP($A43,'Table 20 data'!$A$9:$W$184,$B$4+'Table 20 data'!C$4,0)</f>
        <v>2835</v>
      </c>
      <c r="D43" s="246">
        <f>VLOOKUP($A43,'Table 20 data'!$A$9:$W$184,$B$4+'Table 20 data'!D$4,0)</f>
        <v>74.099999999999994</v>
      </c>
      <c r="E43" s="245">
        <f>VLOOKUP($A43,'Table 20 data'!$A$9:$W$184,$B$4+'Table 20 data'!E$4,0)</f>
        <v>2818</v>
      </c>
      <c r="F43" s="246">
        <f>VLOOKUP($A43,'Table 20 data'!$A$9:$W$184,$B$4+'Table 20 data'!F$4,0)</f>
        <v>78.400000000000006</v>
      </c>
      <c r="G43" s="245">
        <f>VLOOKUP($A43,'Table 20 data'!$A$9:$W$184,$B$4+'Table 20 data'!G$4,0)</f>
        <v>2753</v>
      </c>
      <c r="H43" s="246">
        <f>VLOOKUP($A43,'Table 20 data'!$A$9:$W$184,$B$4+'Table 20 data'!H$4,0)</f>
        <v>78.5</v>
      </c>
      <c r="I43" s="245">
        <f>VLOOKUP($A43,'Table 20 data'!$A$9:$W$184,$B$4+'Table 20 data'!I$4,0)</f>
        <v>2852</v>
      </c>
      <c r="J43" s="246">
        <f>VLOOKUP($A43,'Table 20 data'!$A$9:$W$184,$B$4+'Table 20 data'!J$4,0)</f>
        <v>75.900000000000006</v>
      </c>
      <c r="K43" s="245">
        <f>VLOOKUP($A43,'Table 20 data'!$A$9:$W$184,$B$4+'Table 20 data'!K$4,0)</f>
        <v>2852</v>
      </c>
      <c r="L43" s="246">
        <f>VLOOKUP($A43,'Table 20 data'!$A$9:$W$184,$B$4+'Table 20 data'!L$4,0)</f>
        <v>74.5</v>
      </c>
      <c r="M43" s="136"/>
    </row>
    <row r="44" spans="1:13" ht="11.25" customHeight="1" x14ac:dyDescent="0.2">
      <c r="A44" s="125" t="s">
        <v>82</v>
      </c>
      <c r="B44" s="142" t="s">
        <v>83</v>
      </c>
      <c r="C44" s="245">
        <f>VLOOKUP($A44,'Table 20 data'!$A$9:$W$184,$B$4+'Table 20 data'!C$4,0)</f>
        <v>2532</v>
      </c>
      <c r="D44" s="246">
        <f>VLOOKUP($A44,'Table 20 data'!$A$9:$W$184,$B$4+'Table 20 data'!D$4,0)</f>
        <v>71.3</v>
      </c>
      <c r="E44" s="245">
        <f>VLOOKUP($A44,'Table 20 data'!$A$9:$W$184,$B$4+'Table 20 data'!E$4,0)</f>
        <v>2492</v>
      </c>
      <c r="F44" s="246">
        <f>VLOOKUP($A44,'Table 20 data'!$A$9:$W$184,$B$4+'Table 20 data'!F$4,0)</f>
        <v>73.7</v>
      </c>
      <c r="G44" s="245">
        <f>VLOOKUP($A44,'Table 20 data'!$A$9:$W$184,$B$4+'Table 20 data'!G$4,0)</f>
        <v>2427</v>
      </c>
      <c r="H44" s="246">
        <f>VLOOKUP($A44,'Table 20 data'!$A$9:$W$184,$B$4+'Table 20 data'!H$4,0)</f>
        <v>73.599999999999994</v>
      </c>
      <c r="I44" s="245">
        <f>VLOOKUP($A44,'Table 20 data'!$A$9:$W$184,$B$4+'Table 20 data'!I$4,0)</f>
        <v>2369</v>
      </c>
      <c r="J44" s="246">
        <f>VLOOKUP($A44,'Table 20 data'!$A$9:$W$184,$B$4+'Table 20 data'!J$4,0)</f>
        <v>71.7</v>
      </c>
      <c r="K44" s="245">
        <f>VLOOKUP($A44,'Table 20 data'!$A$9:$W$184,$B$4+'Table 20 data'!K$4,0)</f>
        <v>2412</v>
      </c>
      <c r="L44" s="246">
        <f>VLOOKUP($A44,'Table 20 data'!$A$9:$W$184,$B$4+'Table 20 data'!L$4,0)</f>
        <v>76.7</v>
      </c>
      <c r="M44" s="136"/>
    </row>
    <row r="45" spans="1:13" ht="11.25" customHeight="1" x14ac:dyDescent="0.2">
      <c r="A45" s="125" t="s">
        <v>84</v>
      </c>
      <c r="B45" s="142" t="s">
        <v>85</v>
      </c>
      <c r="C45" s="245">
        <f>VLOOKUP($A45,'Table 20 data'!$A$9:$W$184,$B$4+'Table 20 data'!C$4,0)</f>
        <v>3881</v>
      </c>
      <c r="D45" s="246">
        <f>VLOOKUP($A45,'Table 20 data'!$A$9:$W$184,$B$4+'Table 20 data'!D$4,0)</f>
        <v>63.8</v>
      </c>
      <c r="E45" s="245">
        <f>VLOOKUP($A45,'Table 20 data'!$A$9:$W$184,$B$4+'Table 20 data'!E$4,0)</f>
        <v>3820</v>
      </c>
      <c r="F45" s="246">
        <f>VLOOKUP($A45,'Table 20 data'!$A$9:$W$184,$B$4+'Table 20 data'!F$4,0)</f>
        <v>70.5</v>
      </c>
      <c r="G45" s="245">
        <f>VLOOKUP($A45,'Table 20 data'!$A$9:$W$184,$B$4+'Table 20 data'!G$4,0)</f>
        <v>3720</v>
      </c>
      <c r="H45" s="246">
        <f>VLOOKUP($A45,'Table 20 data'!$A$9:$W$184,$B$4+'Table 20 data'!H$4,0)</f>
        <v>71.3</v>
      </c>
      <c r="I45" s="245">
        <f>VLOOKUP($A45,'Table 20 data'!$A$9:$W$184,$B$4+'Table 20 data'!I$4,0)</f>
        <v>3630</v>
      </c>
      <c r="J45" s="246">
        <f>VLOOKUP($A45,'Table 20 data'!$A$9:$W$184,$B$4+'Table 20 data'!J$4,0)</f>
        <v>71.7</v>
      </c>
      <c r="K45" s="245">
        <f>VLOOKUP($A45,'Table 20 data'!$A$9:$W$184,$B$4+'Table 20 data'!K$4,0)</f>
        <v>3719</v>
      </c>
      <c r="L45" s="246">
        <f>VLOOKUP($A45,'Table 20 data'!$A$9:$W$184,$B$4+'Table 20 data'!L$4,0)</f>
        <v>73.7</v>
      </c>
      <c r="M45" s="136"/>
    </row>
    <row r="46" spans="1:13" ht="11.25" customHeight="1" x14ac:dyDescent="0.2">
      <c r="A46" s="125" t="s">
        <v>86</v>
      </c>
      <c r="B46" s="142" t="s">
        <v>87</v>
      </c>
      <c r="C46" s="245">
        <f>VLOOKUP($A46,'Table 20 data'!$A$9:$W$184,$B$4+'Table 20 data'!C$4,0)</f>
        <v>3945</v>
      </c>
      <c r="D46" s="246">
        <f>VLOOKUP($A46,'Table 20 data'!$A$9:$W$184,$B$4+'Table 20 data'!D$4,0)</f>
        <v>65.400000000000006</v>
      </c>
      <c r="E46" s="245">
        <f>VLOOKUP($A46,'Table 20 data'!$A$9:$W$184,$B$4+'Table 20 data'!E$4,0)</f>
        <v>3953</v>
      </c>
      <c r="F46" s="246">
        <f>VLOOKUP($A46,'Table 20 data'!$A$9:$W$184,$B$4+'Table 20 data'!F$4,0)</f>
        <v>72.099999999999994</v>
      </c>
      <c r="G46" s="245">
        <f>VLOOKUP($A46,'Table 20 data'!$A$9:$W$184,$B$4+'Table 20 data'!G$4,0)</f>
        <v>3815</v>
      </c>
      <c r="H46" s="246">
        <f>VLOOKUP($A46,'Table 20 data'!$A$9:$W$184,$B$4+'Table 20 data'!H$4,0)</f>
        <v>73.5</v>
      </c>
      <c r="I46" s="245">
        <f>VLOOKUP($A46,'Table 20 data'!$A$9:$W$184,$B$4+'Table 20 data'!I$4,0)</f>
        <v>3740</v>
      </c>
      <c r="J46" s="246">
        <f>VLOOKUP($A46,'Table 20 data'!$A$9:$W$184,$B$4+'Table 20 data'!J$4,0)</f>
        <v>72</v>
      </c>
      <c r="K46" s="245">
        <f>VLOOKUP($A46,'Table 20 data'!$A$9:$W$184,$B$4+'Table 20 data'!K$4,0)</f>
        <v>3687</v>
      </c>
      <c r="L46" s="246">
        <f>VLOOKUP($A46,'Table 20 data'!$A$9:$W$184,$B$4+'Table 20 data'!L$4,0)</f>
        <v>72.900000000000006</v>
      </c>
      <c r="M46" s="136"/>
    </row>
    <row r="47" spans="1:13" ht="11.25" customHeight="1" x14ac:dyDescent="0.2">
      <c r="A47" s="3"/>
      <c r="B47" s="142"/>
      <c r="C47" s="247"/>
      <c r="D47" s="256"/>
      <c r="E47" s="247"/>
      <c r="F47" s="256"/>
      <c r="G47" s="247"/>
      <c r="H47" s="249"/>
      <c r="I47" s="250"/>
      <c r="J47" s="250"/>
      <c r="K47" s="250"/>
      <c r="L47" s="250"/>
      <c r="M47" s="136"/>
    </row>
    <row r="48" spans="1:13" s="98" customFormat="1" ht="11.25" customHeight="1" x14ac:dyDescent="0.2">
      <c r="A48" s="16" t="s">
        <v>382</v>
      </c>
      <c r="B48" s="92" t="s">
        <v>88</v>
      </c>
      <c r="C48" s="243">
        <f>VLOOKUP($A48,'Table 20 data'!$A$9:$W$184,$B$4+'Table 20 data'!C$4,0)</f>
        <v>59496</v>
      </c>
      <c r="D48" s="244">
        <f>VLOOKUP($A48,'Table 20 data'!$A$9:$W$184,$B$4+'Table 20 data'!D$4,0)</f>
        <v>61.4</v>
      </c>
      <c r="E48" s="243">
        <f>VLOOKUP($A48,'Table 20 data'!$A$9:$W$184,$B$4+'Table 20 data'!E$4,0)</f>
        <v>58914</v>
      </c>
      <c r="F48" s="244">
        <f>VLOOKUP($A48,'Table 20 data'!$A$9:$W$184,$B$4+'Table 20 data'!F$4,0)</f>
        <v>65.8</v>
      </c>
      <c r="G48" s="243">
        <f>VLOOKUP($A48,'Table 20 data'!$A$9:$W$184,$B$4+'Table 20 data'!G$4,0)</f>
        <v>56846</v>
      </c>
      <c r="H48" s="244">
        <f>VLOOKUP($A48,'Table 20 data'!$A$9:$W$184,$B$4+'Table 20 data'!H$4,0)</f>
        <v>68.599999999999994</v>
      </c>
      <c r="I48" s="243">
        <f>VLOOKUP($A48,'Table 20 data'!$A$9:$W$184,$B$4+'Table 20 data'!I$4,0)</f>
        <v>56748</v>
      </c>
      <c r="J48" s="244">
        <f>VLOOKUP($A48,'Table 20 data'!$A$9:$W$184,$B$4+'Table 20 data'!J$4,0)</f>
        <v>66.099999999999994</v>
      </c>
      <c r="K48" s="243">
        <f>VLOOKUP($A48,'Table 20 data'!$A$9:$W$184,$B$4+'Table 20 data'!K$4,0)</f>
        <v>56962</v>
      </c>
      <c r="L48" s="244">
        <f>VLOOKUP($A48,'Table 20 data'!$A$9:$W$184,$B$4+'Table 20 data'!L$4,0)</f>
        <v>68.900000000000006</v>
      </c>
      <c r="M48" s="136"/>
    </row>
    <row r="49" spans="1:13" ht="11.25" customHeight="1" x14ac:dyDescent="0.2">
      <c r="A49" s="125" t="s">
        <v>89</v>
      </c>
      <c r="B49" s="142" t="s">
        <v>90</v>
      </c>
      <c r="C49" s="245">
        <f>VLOOKUP($A49,'Table 20 data'!$A$9:$W$184,$B$4+'Table 20 data'!C$4,0)</f>
        <v>2615</v>
      </c>
      <c r="D49" s="246">
        <f>VLOOKUP($A49,'Table 20 data'!$A$9:$W$184,$B$4+'Table 20 data'!D$4,0)</f>
        <v>59.5</v>
      </c>
      <c r="E49" s="245">
        <f>VLOOKUP($A49,'Table 20 data'!$A$9:$W$184,$B$4+'Table 20 data'!E$4,0)</f>
        <v>2540</v>
      </c>
      <c r="F49" s="246">
        <f>VLOOKUP($A49,'Table 20 data'!$A$9:$W$184,$B$4+'Table 20 data'!F$4,0)</f>
        <v>58.8</v>
      </c>
      <c r="G49" s="245">
        <f>VLOOKUP($A49,'Table 20 data'!$A$9:$W$184,$B$4+'Table 20 data'!G$4,0)</f>
        <v>2507</v>
      </c>
      <c r="H49" s="246">
        <f>VLOOKUP($A49,'Table 20 data'!$A$9:$W$184,$B$4+'Table 20 data'!H$4,0)</f>
        <v>60.5</v>
      </c>
      <c r="I49" s="245">
        <f>VLOOKUP($A49,'Table 20 data'!$A$9:$W$184,$B$4+'Table 20 data'!I$4,0)</f>
        <v>2530</v>
      </c>
      <c r="J49" s="246">
        <f>VLOOKUP($A49,'Table 20 data'!$A$9:$W$184,$B$4+'Table 20 data'!J$4,0)</f>
        <v>56</v>
      </c>
      <c r="K49" s="245">
        <f>VLOOKUP($A49,'Table 20 data'!$A$9:$W$184,$B$4+'Table 20 data'!K$4,0)</f>
        <v>2513</v>
      </c>
      <c r="L49" s="246">
        <f>VLOOKUP($A49,'Table 20 data'!$A$9:$W$184,$B$4+'Table 20 data'!L$4,0)</f>
        <v>59.1</v>
      </c>
      <c r="M49" s="136"/>
    </row>
    <row r="50" spans="1:13" ht="11.25" customHeight="1" x14ac:dyDescent="0.2">
      <c r="A50" s="125" t="s">
        <v>91</v>
      </c>
      <c r="B50" s="142" t="s">
        <v>92</v>
      </c>
      <c r="C50" s="245">
        <f>VLOOKUP($A50,'Table 20 data'!$A$9:$W$184,$B$4+'Table 20 data'!C$4,0)</f>
        <v>5705</v>
      </c>
      <c r="D50" s="246">
        <f>VLOOKUP($A50,'Table 20 data'!$A$9:$W$184,$B$4+'Table 20 data'!D$4,0)</f>
        <v>58.1</v>
      </c>
      <c r="E50" s="245">
        <f>VLOOKUP($A50,'Table 20 data'!$A$9:$W$184,$B$4+'Table 20 data'!E$4,0)</f>
        <v>5650</v>
      </c>
      <c r="F50" s="246">
        <f>VLOOKUP($A50,'Table 20 data'!$A$9:$W$184,$B$4+'Table 20 data'!F$4,0)</f>
        <v>62</v>
      </c>
      <c r="G50" s="245">
        <f>VLOOKUP($A50,'Table 20 data'!$A$9:$W$184,$B$4+'Table 20 data'!G$4,0)</f>
        <v>5361</v>
      </c>
      <c r="H50" s="246">
        <f>VLOOKUP($A50,'Table 20 data'!$A$9:$W$184,$B$4+'Table 20 data'!H$4,0)</f>
        <v>66.2</v>
      </c>
      <c r="I50" s="245">
        <f>VLOOKUP($A50,'Table 20 data'!$A$9:$W$184,$B$4+'Table 20 data'!I$4,0)</f>
        <v>5353</v>
      </c>
      <c r="J50" s="246">
        <f>VLOOKUP($A50,'Table 20 data'!$A$9:$W$184,$B$4+'Table 20 data'!J$4,0)</f>
        <v>66.099999999999994</v>
      </c>
      <c r="K50" s="245">
        <f>VLOOKUP($A50,'Table 20 data'!$A$9:$W$184,$B$4+'Table 20 data'!K$4,0)</f>
        <v>5420</v>
      </c>
      <c r="L50" s="246">
        <f>VLOOKUP($A50,'Table 20 data'!$A$9:$W$184,$B$4+'Table 20 data'!L$4,0)</f>
        <v>66.5</v>
      </c>
      <c r="M50" s="136"/>
    </row>
    <row r="51" spans="1:13" ht="11.25" customHeight="1" x14ac:dyDescent="0.2">
      <c r="A51" s="125" t="s">
        <v>93</v>
      </c>
      <c r="B51" s="142" t="s">
        <v>94</v>
      </c>
      <c r="C51" s="245">
        <f>VLOOKUP($A51,'Table 20 data'!$A$9:$W$184,$B$4+'Table 20 data'!C$4,0)</f>
        <v>2594</v>
      </c>
      <c r="D51" s="246">
        <f>VLOOKUP($A51,'Table 20 data'!$A$9:$W$184,$B$4+'Table 20 data'!D$4,0)</f>
        <v>63.3</v>
      </c>
      <c r="E51" s="245">
        <f>VLOOKUP($A51,'Table 20 data'!$A$9:$W$184,$B$4+'Table 20 data'!E$4,0)</f>
        <v>2581</v>
      </c>
      <c r="F51" s="246">
        <f>VLOOKUP($A51,'Table 20 data'!$A$9:$W$184,$B$4+'Table 20 data'!F$4,0)</f>
        <v>69</v>
      </c>
      <c r="G51" s="245">
        <f>VLOOKUP($A51,'Table 20 data'!$A$9:$W$184,$B$4+'Table 20 data'!G$4,0)</f>
        <v>2543</v>
      </c>
      <c r="H51" s="246">
        <f>VLOOKUP($A51,'Table 20 data'!$A$9:$W$184,$B$4+'Table 20 data'!H$4,0)</f>
        <v>70.8</v>
      </c>
      <c r="I51" s="245">
        <f>VLOOKUP($A51,'Table 20 data'!$A$9:$W$184,$B$4+'Table 20 data'!I$4,0)</f>
        <v>2578</v>
      </c>
      <c r="J51" s="246">
        <f>VLOOKUP($A51,'Table 20 data'!$A$9:$W$184,$B$4+'Table 20 data'!J$4,0)</f>
        <v>68.099999999999994</v>
      </c>
      <c r="K51" s="245">
        <f>VLOOKUP($A51,'Table 20 data'!$A$9:$W$184,$B$4+'Table 20 data'!K$4,0)</f>
        <v>2565</v>
      </c>
      <c r="L51" s="246">
        <f>VLOOKUP($A51,'Table 20 data'!$A$9:$W$184,$B$4+'Table 20 data'!L$4,0)</f>
        <v>72.599999999999994</v>
      </c>
      <c r="M51" s="136"/>
    </row>
    <row r="52" spans="1:13" ht="11.25" customHeight="1" x14ac:dyDescent="0.2">
      <c r="A52" s="125" t="s">
        <v>95</v>
      </c>
      <c r="B52" s="142" t="s">
        <v>96</v>
      </c>
      <c r="C52" s="245">
        <f>VLOOKUP($A52,'Table 20 data'!$A$9:$W$184,$B$4+'Table 20 data'!C$4,0)</f>
        <v>3623</v>
      </c>
      <c r="D52" s="246">
        <f>VLOOKUP($A52,'Table 20 data'!$A$9:$W$184,$B$4+'Table 20 data'!D$4,0)</f>
        <v>54.1</v>
      </c>
      <c r="E52" s="245">
        <f>VLOOKUP($A52,'Table 20 data'!$A$9:$W$184,$B$4+'Table 20 data'!E$4,0)</f>
        <v>3510</v>
      </c>
      <c r="F52" s="246">
        <f>VLOOKUP($A52,'Table 20 data'!$A$9:$W$184,$B$4+'Table 20 data'!F$4,0)</f>
        <v>61.9</v>
      </c>
      <c r="G52" s="245">
        <f>VLOOKUP($A52,'Table 20 data'!$A$9:$W$184,$B$4+'Table 20 data'!G$4,0)</f>
        <v>3446</v>
      </c>
      <c r="H52" s="246">
        <f>VLOOKUP($A52,'Table 20 data'!$A$9:$W$184,$B$4+'Table 20 data'!H$4,0)</f>
        <v>65.099999999999994</v>
      </c>
      <c r="I52" s="245">
        <f>VLOOKUP($A52,'Table 20 data'!$A$9:$W$184,$B$4+'Table 20 data'!I$4,0)</f>
        <v>3353</v>
      </c>
      <c r="J52" s="246">
        <f>VLOOKUP($A52,'Table 20 data'!$A$9:$W$184,$B$4+'Table 20 data'!J$4,0)</f>
        <v>60.2</v>
      </c>
      <c r="K52" s="245">
        <f>VLOOKUP($A52,'Table 20 data'!$A$9:$W$184,$B$4+'Table 20 data'!K$4,0)</f>
        <v>3379</v>
      </c>
      <c r="L52" s="246">
        <f>VLOOKUP($A52,'Table 20 data'!$A$9:$W$184,$B$4+'Table 20 data'!L$4,0)</f>
        <v>65.8</v>
      </c>
      <c r="M52" s="136"/>
    </row>
    <row r="53" spans="1:13" ht="11.25" customHeight="1" x14ac:dyDescent="0.2">
      <c r="A53" s="125" t="s">
        <v>97</v>
      </c>
      <c r="B53" s="142" t="s">
        <v>98</v>
      </c>
      <c r="C53" s="245">
        <f>VLOOKUP($A53,'Table 20 data'!$A$9:$W$184,$B$4+'Table 20 data'!C$4,0)</f>
        <v>3971</v>
      </c>
      <c r="D53" s="246">
        <f>VLOOKUP($A53,'Table 20 data'!$A$9:$W$184,$B$4+'Table 20 data'!D$4,0)</f>
        <v>67</v>
      </c>
      <c r="E53" s="245">
        <f>VLOOKUP($A53,'Table 20 data'!$A$9:$W$184,$B$4+'Table 20 data'!E$4,0)</f>
        <v>3915</v>
      </c>
      <c r="F53" s="246">
        <f>VLOOKUP($A53,'Table 20 data'!$A$9:$W$184,$B$4+'Table 20 data'!F$4,0)</f>
        <v>71.3</v>
      </c>
      <c r="G53" s="245">
        <f>VLOOKUP($A53,'Table 20 data'!$A$9:$W$184,$B$4+'Table 20 data'!G$4,0)</f>
        <v>3867</v>
      </c>
      <c r="H53" s="246">
        <f>VLOOKUP($A53,'Table 20 data'!$A$9:$W$184,$B$4+'Table 20 data'!H$4,0)</f>
        <v>69.3</v>
      </c>
      <c r="I53" s="245">
        <f>VLOOKUP($A53,'Table 20 data'!$A$9:$W$184,$B$4+'Table 20 data'!I$4,0)</f>
        <v>3710</v>
      </c>
      <c r="J53" s="246">
        <f>VLOOKUP($A53,'Table 20 data'!$A$9:$W$184,$B$4+'Table 20 data'!J$4,0)</f>
        <v>63.4</v>
      </c>
      <c r="K53" s="245">
        <f>VLOOKUP($A53,'Table 20 data'!$A$9:$W$184,$B$4+'Table 20 data'!K$4,0)</f>
        <v>3832</v>
      </c>
      <c r="L53" s="246">
        <f>VLOOKUP($A53,'Table 20 data'!$A$9:$W$184,$B$4+'Table 20 data'!L$4,0)</f>
        <v>68.8</v>
      </c>
      <c r="M53" s="136"/>
    </row>
    <row r="54" spans="1:13" ht="11.25" customHeight="1" x14ac:dyDescent="0.2">
      <c r="A54" s="125" t="s">
        <v>99</v>
      </c>
      <c r="B54" s="142" t="s">
        <v>100</v>
      </c>
      <c r="C54" s="245">
        <f>VLOOKUP($A54,'Table 20 data'!$A$9:$W$184,$B$4+'Table 20 data'!C$4,0)</f>
        <v>2839</v>
      </c>
      <c r="D54" s="246">
        <f>VLOOKUP($A54,'Table 20 data'!$A$9:$W$184,$B$4+'Table 20 data'!D$4,0)</f>
        <v>50.1</v>
      </c>
      <c r="E54" s="245">
        <f>VLOOKUP($A54,'Table 20 data'!$A$9:$W$184,$B$4+'Table 20 data'!E$4,0)</f>
        <v>2735</v>
      </c>
      <c r="F54" s="246">
        <f>VLOOKUP($A54,'Table 20 data'!$A$9:$W$184,$B$4+'Table 20 data'!F$4,0)</f>
        <v>58.9</v>
      </c>
      <c r="G54" s="245">
        <f>VLOOKUP($A54,'Table 20 data'!$A$9:$W$184,$B$4+'Table 20 data'!G$4,0)</f>
        <v>2450</v>
      </c>
      <c r="H54" s="246">
        <f>VLOOKUP($A54,'Table 20 data'!$A$9:$W$184,$B$4+'Table 20 data'!H$4,0)</f>
        <v>60.8</v>
      </c>
      <c r="I54" s="245">
        <f>VLOOKUP($A54,'Table 20 data'!$A$9:$W$184,$B$4+'Table 20 data'!I$4,0)</f>
        <v>2487</v>
      </c>
      <c r="J54" s="246">
        <f>VLOOKUP($A54,'Table 20 data'!$A$9:$W$184,$B$4+'Table 20 data'!J$4,0)</f>
        <v>57.5</v>
      </c>
      <c r="K54" s="245">
        <f>VLOOKUP($A54,'Table 20 data'!$A$9:$W$184,$B$4+'Table 20 data'!K$4,0)</f>
        <v>2381</v>
      </c>
      <c r="L54" s="246">
        <f>VLOOKUP($A54,'Table 20 data'!$A$9:$W$184,$B$4+'Table 20 data'!L$4,0)</f>
        <v>62.5</v>
      </c>
      <c r="M54" s="136"/>
    </row>
    <row r="55" spans="1:13" ht="11.25" customHeight="1" x14ac:dyDescent="0.2">
      <c r="A55" s="125" t="s">
        <v>101</v>
      </c>
      <c r="B55" s="142" t="s">
        <v>102</v>
      </c>
      <c r="C55" s="245">
        <f>VLOOKUP($A55,'Table 20 data'!$A$9:$W$184,$B$4+'Table 20 data'!C$4,0)</f>
        <v>4597</v>
      </c>
      <c r="D55" s="246">
        <f>VLOOKUP($A55,'Table 20 data'!$A$9:$W$184,$B$4+'Table 20 data'!D$4,0)</f>
        <v>64.3</v>
      </c>
      <c r="E55" s="245">
        <f>VLOOKUP($A55,'Table 20 data'!$A$9:$W$184,$B$4+'Table 20 data'!E$4,0)</f>
        <v>4509</v>
      </c>
      <c r="F55" s="246">
        <f>VLOOKUP($A55,'Table 20 data'!$A$9:$W$184,$B$4+'Table 20 data'!F$4,0)</f>
        <v>66.900000000000006</v>
      </c>
      <c r="G55" s="245">
        <f>VLOOKUP($A55,'Table 20 data'!$A$9:$W$184,$B$4+'Table 20 data'!G$4,0)</f>
        <v>4455</v>
      </c>
      <c r="H55" s="246">
        <f>VLOOKUP($A55,'Table 20 data'!$A$9:$W$184,$B$4+'Table 20 data'!H$4,0)</f>
        <v>74.3</v>
      </c>
      <c r="I55" s="245">
        <f>VLOOKUP($A55,'Table 20 data'!$A$9:$W$184,$B$4+'Table 20 data'!I$4,0)</f>
        <v>4547</v>
      </c>
      <c r="J55" s="246">
        <f>VLOOKUP($A55,'Table 20 data'!$A$9:$W$184,$B$4+'Table 20 data'!J$4,0)</f>
        <v>73.2</v>
      </c>
      <c r="K55" s="245">
        <f>VLOOKUP($A55,'Table 20 data'!$A$9:$W$184,$B$4+'Table 20 data'!K$4,0)</f>
        <v>4548</v>
      </c>
      <c r="L55" s="246">
        <f>VLOOKUP($A55,'Table 20 data'!$A$9:$W$184,$B$4+'Table 20 data'!L$4,0)</f>
        <v>72.400000000000006</v>
      </c>
      <c r="M55" s="136"/>
    </row>
    <row r="56" spans="1:13" ht="11.25" customHeight="1" x14ac:dyDescent="0.2">
      <c r="A56" s="125" t="s">
        <v>103</v>
      </c>
      <c r="B56" s="142" t="s">
        <v>104</v>
      </c>
      <c r="C56" s="245">
        <f>VLOOKUP($A56,'Table 20 data'!$A$9:$W$184,$B$4+'Table 20 data'!C$4,0)</f>
        <v>8008</v>
      </c>
      <c r="D56" s="246">
        <f>VLOOKUP($A56,'Table 20 data'!$A$9:$W$184,$B$4+'Table 20 data'!D$4,0)</f>
        <v>57.8</v>
      </c>
      <c r="E56" s="245">
        <f>VLOOKUP($A56,'Table 20 data'!$A$9:$W$184,$B$4+'Table 20 data'!E$4,0)</f>
        <v>7943</v>
      </c>
      <c r="F56" s="246">
        <f>VLOOKUP($A56,'Table 20 data'!$A$9:$W$184,$B$4+'Table 20 data'!F$4,0)</f>
        <v>62.2</v>
      </c>
      <c r="G56" s="245">
        <f>VLOOKUP($A56,'Table 20 data'!$A$9:$W$184,$B$4+'Table 20 data'!G$4,0)</f>
        <v>7468</v>
      </c>
      <c r="H56" s="246">
        <f>VLOOKUP($A56,'Table 20 data'!$A$9:$W$184,$B$4+'Table 20 data'!H$4,0)</f>
        <v>65.7</v>
      </c>
      <c r="I56" s="245">
        <f>VLOOKUP($A56,'Table 20 data'!$A$9:$W$184,$B$4+'Table 20 data'!I$4,0)</f>
        <v>7500</v>
      </c>
      <c r="J56" s="246">
        <f>VLOOKUP($A56,'Table 20 data'!$A$9:$W$184,$B$4+'Table 20 data'!J$4,0)</f>
        <v>62.4</v>
      </c>
      <c r="K56" s="245">
        <f>VLOOKUP($A56,'Table 20 data'!$A$9:$W$184,$B$4+'Table 20 data'!K$4,0)</f>
        <v>7611</v>
      </c>
      <c r="L56" s="246">
        <f>VLOOKUP($A56,'Table 20 data'!$A$9:$W$184,$B$4+'Table 20 data'!L$4,0)</f>
        <v>64.400000000000006</v>
      </c>
      <c r="M56" s="136"/>
    </row>
    <row r="57" spans="1:13" ht="11.25" customHeight="1" x14ac:dyDescent="0.2">
      <c r="A57" s="125" t="s">
        <v>105</v>
      </c>
      <c r="B57" s="142" t="s">
        <v>106</v>
      </c>
      <c r="C57" s="245">
        <f>VLOOKUP($A57,'Table 20 data'!$A$9:$W$184,$B$4+'Table 20 data'!C$4,0)</f>
        <v>1925</v>
      </c>
      <c r="D57" s="246">
        <f>VLOOKUP($A57,'Table 20 data'!$A$9:$W$184,$B$4+'Table 20 data'!D$4,0)</f>
        <v>59.2</v>
      </c>
      <c r="E57" s="245">
        <f>VLOOKUP($A57,'Table 20 data'!$A$9:$W$184,$B$4+'Table 20 data'!E$4,0)</f>
        <v>1963</v>
      </c>
      <c r="F57" s="246">
        <f>VLOOKUP($A57,'Table 20 data'!$A$9:$W$184,$B$4+'Table 20 data'!F$4,0)</f>
        <v>66.099999999999994</v>
      </c>
      <c r="G57" s="245">
        <f>VLOOKUP($A57,'Table 20 data'!$A$9:$W$184,$B$4+'Table 20 data'!G$4,0)</f>
        <v>1814</v>
      </c>
      <c r="H57" s="246">
        <f>VLOOKUP($A57,'Table 20 data'!$A$9:$W$184,$B$4+'Table 20 data'!H$4,0)</f>
        <v>66.900000000000006</v>
      </c>
      <c r="I57" s="245">
        <f>VLOOKUP($A57,'Table 20 data'!$A$9:$W$184,$B$4+'Table 20 data'!I$4,0)</f>
        <v>1835</v>
      </c>
      <c r="J57" s="246">
        <f>VLOOKUP($A57,'Table 20 data'!$A$9:$W$184,$B$4+'Table 20 data'!J$4,0)</f>
        <v>64.900000000000006</v>
      </c>
      <c r="K57" s="245">
        <f>VLOOKUP($A57,'Table 20 data'!$A$9:$W$184,$B$4+'Table 20 data'!K$4,0)</f>
        <v>1824</v>
      </c>
      <c r="L57" s="246">
        <f>VLOOKUP($A57,'Table 20 data'!$A$9:$W$184,$B$4+'Table 20 data'!L$4,0)</f>
        <v>64.599999999999994</v>
      </c>
      <c r="M57" s="136"/>
    </row>
    <row r="58" spans="1:13" ht="11.25" customHeight="1" x14ac:dyDescent="0.2">
      <c r="A58" s="125" t="s">
        <v>107</v>
      </c>
      <c r="B58" s="142" t="s">
        <v>108</v>
      </c>
      <c r="C58" s="245">
        <f>VLOOKUP($A58,'Table 20 data'!$A$9:$W$184,$B$4+'Table 20 data'!C$4,0)</f>
        <v>1986</v>
      </c>
      <c r="D58" s="246">
        <f>VLOOKUP($A58,'Table 20 data'!$A$9:$W$184,$B$4+'Table 20 data'!D$4,0)</f>
        <v>59</v>
      </c>
      <c r="E58" s="245">
        <f>VLOOKUP($A58,'Table 20 data'!$A$9:$W$184,$B$4+'Table 20 data'!E$4,0)</f>
        <v>1986</v>
      </c>
      <c r="F58" s="246">
        <f>VLOOKUP($A58,'Table 20 data'!$A$9:$W$184,$B$4+'Table 20 data'!F$4,0)</f>
        <v>62.5</v>
      </c>
      <c r="G58" s="245">
        <f>VLOOKUP($A58,'Table 20 data'!$A$9:$W$184,$B$4+'Table 20 data'!G$4,0)</f>
        <v>1973</v>
      </c>
      <c r="H58" s="246">
        <f>VLOOKUP($A58,'Table 20 data'!$A$9:$W$184,$B$4+'Table 20 data'!H$4,0)</f>
        <v>65.400000000000006</v>
      </c>
      <c r="I58" s="245">
        <f>VLOOKUP($A58,'Table 20 data'!$A$9:$W$184,$B$4+'Table 20 data'!I$4,0)</f>
        <v>1911</v>
      </c>
      <c r="J58" s="246">
        <f>VLOOKUP($A58,'Table 20 data'!$A$9:$W$184,$B$4+'Table 20 data'!J$4,0)</f>
        <v>62.3</v>
      </c>
      <c r="K58" s="245">
        <f>VLOOKUP($A58,'Table 20 data'!$A$9:$W$184,$B$4+'Table 20 data'!K$4,0)</f>
        <v>1879</v>
      </c>
      <c r="L58" s="246">
        <f>VLOOKUP($A58,'Table 20 data'!$A$9:$W$184,$B$4+'Table 20 data'!L$4,0)</f>
        <v>64.8</v>
      </c>
      <c r="M58" s="136"/>
    </row>
    <row r="59" spans="1:13" ht="11.25" customHeight="1" x14ac:dyDescent="0.2">
      <c r="A59" s="125" t="s">
        <v>109</v>
      </c>
      <c r="B59" s="142" t="s">
        <v>110</v>
      </c>
      <c r="C59" s="245">
        <f>VLOOKUP($A59,'Table 20 data'!$A$9:$W$184,$B$4+'Table 20 data'!C$4,0)</f>
        <v>6851</v>
      </c>
      <c r="D59" s="246">
        <f>VLOOKUP($A59,'Table 20 data'!$A$9:$W$184,$B$4+'Table 20 data'!D$4,0)</f>
        <v>70.599999999999994</v>
      </c>
      <c r="E59" s="245">
        <f>VLOOKUP($A59,'Table 20 data'!$A$9:$W$184,$B$4+'Table 20 data'!E$4,0)</f>
        <v>6818</v>
      </c>
      <c r="F59" s="246">
        <f>VLOOKUP($A59,'Table 20 data'!$A$9:$W$184,$B$4+'Table 20 data'!F$4,0)</f>
        <v>72.400000000000006</v>
      </c>
      <c r="G59" s="245">
        <f>VLOOKUP($A59,'Table 20 data'!$A$9:$W$184,$B$4+'Table 20 data'!G$4,0)</f>
        <v>6592</v>
      </c>
      <c r="H59" s="246">
        <f>VLOOKUP($A59,'Table 20 data'!$A$9:$W$184,$B$4+'Table 20 data'!H$4,0)</f>
        <v>74.900000000000006</v>
      </c>
      <c r="I59" s="245">
        <f>VLOOKUP($A59,'Table 20 data'!$A$9:$W$184,$B$4+'Table 20 data'!I$4,0)</f>
        <v>6659</v>
      </c>
      <c r="J59" s="246">
        <f>VLOOKUP($A59,'Table 20 data'!$A$9:$W$184,$B$4+'Table 20 data'!J$4,0)</f>
        <v>70.099999999999994</v>
      </c>
      <c r="K59" s="245">
        <f>VLOOKUP($A59,'Table 20 data'!$A$9:$W$184,$B$4+'Table 20 data'!K$4,0)</f>
        <v>6643</v>
      </c>
      <c r="L59" s="246">
        <f>VLOOKUP($A59,'Table 20 data'!$A$9:$W$184,$B$4+'Table 20 data'!L$4,0)</f>
        <v>71</v>
      </c>
      <c r="M59" s="136"/>
    </row>
    <row r="60" spans="1:13" ht="11.25" customHeight="1" x14ac:dyDescent="0.2">
      <c r="A60" s="125" t="s">
        <v>111</v>
      </c>
      <c r="B60" s="142" t="s">
        <v>112</v>
      </c>
      <c r="C60" s="245">
        <f>VLOOKUP($A60,'Table 20 data'!$A$9:$W$184,$B$4+'Table 20 data'!C$4,0)</f>
        <v>3625</v>
      </c>
      <c r="D60" s="246">
        <f>VLOOKUP($A60,'Table 20 data'!$A$9:$W$184,$B$4+'Table 20 data'!D$4,0)</f>
        <v>62.3</v>
      </c>
      <c r="E60" s="245">
        <f>VLOOKUP($A60,'Table 20 data'!$A$9:$W$184,$B$4+'Table 20 data'!E$4,0)</f>
        <v>3593</v>
      </c>
      <c r="F60" s="246">
        <f>VLOOKUP($A60,'Table 20 data'!$A$9:$W$184,$B$4+'Table 20 data'!F$4,0)</f>
        <v>65.8</v>
      </c>
      <c r="G60" s="245">
        <f>VLOOKUP($A60,'Table 20 data'!$A$9:$W$184,$B$4+'Table 20 data'!G$4,0)</f>
        <v>3441</v>
      </c>
      <c r="H60" s="246">
        <f>VLOOKUP($A60,'Table 20 data'!$A$9:$W$184,$B$4+'Table 20 data'!H$4,0)</f>
        <v>71.900000000000006</v>
      </c>
      <c r="I60" s="245">
        <f>VLOOKUP($A60,'Table 20 data'!$A$9:$W$184,$B$4+'Table 20 data'!I$4,0)</f>
        <v>3452</v>
      </c>
      <c r="J60" s="246">
        <f>VLOOKUP($A60,'Table 20 data'!$A$9:$W$184,$B$4+'Table 20 data'!J$4,0)</f>
        <v>71.8</v>
      </c>
      <c r="K60" s="245">
        <f>VLOOKUP($A60,'Table 20 data'!$A$9:$W$184,$B$4+'Table 20 data'!K$4,0)</f>
        <v>3441</v>
      </c>
      <c r="L60" s="246">
        <f>VLOOKUP($A60,'Table 20 data'!$A$9:$W$184,$B$4+'Table 20 data'!L$4,0)</f>
        <v>75.5</v>
      </c>
      <c r="M60" s="136"/>
    </row>
    <row r="61" spans="1:13" ht="11.25" customHeight="1" x14ac:dyDescent="0.2">
      <c r="A61" s="125" t="s">
        <v>113</v>
      </c>
      <c r="B61" s="142" t="s">
        <v>114</v>
      </c>
      <c r="C61" s="245">
        <f>VLOOKUP($A61,'Table 20 data'!$A$9:$W$184,$B$4+'Table 20 data'!C$4,0)</f>
        <v>5598</v>
      </c>
      <c r="D61" s="246">
        <f>VLOOKUP($A61,'Table 20 data'!$A$9:$W$184,$B$4+'Table 20 data'!D$4,0)</f>
        <v>59.2</v>
      </c>
      <c r="E61" s="245">
        <f>VLOOKUP($A61,'Table 20 data'!$A$9:$W$184,$B$4+'Table 20 data'!E$4,0)</f>
        <v>5494</v>
      </c>
      <c r="F61" s="246">
        <f>VLOOKUP($A61,'Table 20 data'!$A$9:$W$184,$B$4+'Table 20 data'!F$4,0)</f>
        <v>64.599999999999994</v>
      </c>
      <c r="G61" s="245">
        <f>VLOOKUP($A61,'Table 20 data'!$A$9:$W$184,$B$4+'Table 20 data'!G$4,0)</f>
        <v>5321</v>
      </c>
      <c r="H61" s="246">
        <f>VLOOKUP($A61,'Table 20 data'!$A$9:$W$184,$B$4+'Table 20 data'!H$4,0)</f>
        <v>65</v>
      </c>
      <c r="I61" s="245">
        <f>VLOOKUP($A61,'Table 20 data'!$A$9:$W$184,$B$4+'Table 20 data'!I$4,0)</f>
        <v>5270</v>
      </c>
      <c r="J61" s="246">
        <f>VLOOKUP($A61,'Table 20 data'!$A$9:$W$184,$B$4+'Table 20 data'!J$4,0)</f>
        <v>67.2</v>
      </c>
      <c r="K61" s="245">
        <f>VLOOKUP($A61,'Table 20 data'!$A$9:$W$184,$B$4+'Table 20 data'!K$4,0)</f>
        <v>5395</v>
      </c>
      <c r="L61" s="246">
        <f>VLOOKUP($A61,'Table 20 data'!$A$9:$W$184,$B$4+'Table 20 data'!L$4,0)</f>
        <v>70.7</v>
      </c>
      <c r="M61" s="136"/>
    </row>
    <row r="62" spans="1:13" ht="11.25" customHeight="1" x14ac:dyDescent="0.2">
      <c r="A62" s="125" t="s">
        <v>115</v>
      </c>
      <c r="B62" s="142" t="s">
        <v>116</v>
      </c>
      <c r="C62" s="245">
        <f>VLOOKUP($A62,'Table 20 data'!$A$9:$W$184,$B$4+'Table 20 data'!C$4,0)</f>
        <v>3870</v>
      </c>
      <c r="D62" s="246">
        <f>VLOOKUP($A62,'Table 20 data'!$A$9:$W$184,$B$4+'Table 20 data'!D$4,0)</f>
        <v>64.900000000000006</v>
      </c>
      <c r="E62" s="245">
        <f>VLOOKUP($A62,'Table 20 data'!$A$9:$W$184,$B$4+'Table 20 data'!E$4,0)</f>
        <v>3946</v>
      </c>
      <c r="F62" s="246">
        <f>VLOOKUP($A62,'Table 20 data'!$A$9:$W$184,$B$4+'Table 20 data'!F$4,0)</f>
        <v>71.599999999999994</v>
      </c>
      <c r="G62" s="245">
        <f>VLOOKUP($A62,'Table 20 data'!$A$9:$W$184,$B$4+'Table 20 data'!G$4,0)</f>
        <v>3887</v>
      </c>
      <c r="H62" s="246">
        <f>VLOOKUP($A62,'Table 20 data'!$A$9:$W$184,$B$4+'Table 20 data'!H$4,0)</f>
        <v>73</v>
      </c>
      <c r="I62" s="245">
        <f>VLOOKUP($A62,'Table 20 data'!$A$9:$W$184,$B$4+'Table 20 data'!I$4,0)</f>
        <v>3892</v>
      </c>
      <c r="J62" s="246">
        <f>VLOOKUP($A62,'Table 20 data'!$A$9:$W$184,$B$4+'Table 20 data'!J$4,0)</f>
        <v>70.400000000000006</v>
      </c>
      <c r="K62" s="245">
        <f>VLOOKUP($A62,'Table 20 data'!$A$9:$W$184,$B$4+'Table 20 data'!K$4,0)</f>
        <v>3832</v>
      </c>
      <c r="L62" s="246">
        <f>VLOOKUP($A62,'Table 20 data'!$A$9:$W$184,$B$4+'Table 20 data'!L$4,0)</f>
        <v>76.900000000000006</v>
      </c>
      <c r="M62" s="136"/>
    </row>
    <row r="63" spans="1:13" ht="11.25" customHeight="1" x14ac:dyDescent="0.2">
      <c r="A63" s="125" t="s">
        <v>117</v>
      </c>
      <c r="B63" s="142" t="s">
        <v>118</v>
      </c>
      <c r="C63" s="245">
        <f>VLOOKUP($A63,'Table 20 data'!$A$9:$W$184,$B$4+'Table 20 data'!C$4,0)</f>
        <v>1689</v>
      </c>
      <c r="D63" s="246">
        <f>VLOOKUP($A63,'Table 20 data'!$A$9:$W$184,$B$4+'Table 20 data'!D$4,0)</f>
        <v>69.8</v>
      </c>
      <c r="E63" s="245">
        <f>VLOOKUP($A63,'Table 20 data'!$A$9:$W$184,$B$4+'Table 20 data'!E$4,0)</f>
        <v>1731</v>
      </c>
      <c r="F63" s="246">
        <f>VLOOKUP($A63,'Table 20 data'!$A$9:$W$184,$B$4+'Table 20 data'!F$4,0)</f>
        <v>70.2</v>
      </c>
      <c r="G63" s="245">
        <f>VLOOKUP($A63,'Table 20 data'!$A$9:$W$184,$B$4+'Table 20 data'!G$4,0)</f>
        <v>1721</v>
      </c>
      <c r="H63" s="246">
        <f>VLOOKUP($A63,'Table 20 data'!$A$9:$W$184,$B$4+'Table 20 data'!H$4,0)</f>
        <v>75.7</v>
      </c>
      <c r="I63" s="245">
        <f>VLOOKUP($A63,'Table 20 data'!$A$9:$W$184,$B$4+'Table 20 data'!I$4,0)</f>
        <v>1671</v>
      </c>
      <c r="J63" s="246">
        <f>VLOOKUP($A63,'Table 20 data'!$A$9:$W$184,$B$4+'Table 20 data'!J$4,0)</f>
        <v>71</v>
      </c>
      <c r="K63" s="245">
        <f>VLOOKUP($A63,'Table 20 data'!$A$9:$W$184,$B$4+'Table 20 data'!K$4,0)</f>
        <v>1699</v>
      </c>
      <c r="L63" s="246">
        <f>VLOOKUP($A63,'Table 20 data'!$A$9:$W$184,$B$4+'Table 20 data'!L$4,0)</f>
        <v>76</v>
      </c>
      <c r="M63" s="136"/>
    </row>
    <row r="64" spans="1:13" ht="11.25" customHeight="1" x14ac:dyDescent="0.2">
      <c r="A64" s="3"/>
      <c r="B64" s="142"/>
      <c r="C64" s="247"/>
      <c r="D64" s="248"/>
      <c r="E64" s="247"/>
      <c r="F64" s="248"/>
      <c r="G64" s="247"/>
      <c r="H64" s="249"/>
      <c r="I64" s="250"/>
      <c r="J64" s="250"/>
      <c r="K64" s="250"/>
      <c r="L64" s="250"/>
      <c r="M64" s="136"/>
    </row>
    <row r="65" spans="1:13" s="98" customFormat="1" ht="11.25" customHeight="1" x14ac:dyDescent="0.2">
      <c r="A65" s="16" t="s">
        <v>385</v>
      </c>
      <c r="B65" s="92" t="s">
        <v>119</v>
      </c>
      <c r="C65" s="243">
        <f>VLOOKUP($A65,'Table 20 data'!$A$9:$W$184,$B$4+'Table 20 data'!C$4,0)</f>
        <v>50322</v>
      </c>
      <c r="D65" s="244">
        <f>VLOOKUP($A65,'Table 20 data'!$A$9:$W$184,$B$4+'Table 20 data'!D$4,0)</f>
        <v>64.599999999999994</v>
      </c>
      <c r="E65" s="243">
        <f>VLOOKUP($A65,'Table 20 data'!$A$9:$W$184,$B$4+'Table 20 data'!E$4,0)</f>
        <v>50641</v>
      </c>
      <c r="F65" s="244">
        <f>VLOOKUP($A65,'Table 20 data'!$A$9:$W$184,$B$4+'Table 20 data'!F$4,0)</f>
        <v>68.8</v>
      </c>
      <c r="G65" s="243">
        <f>VLOOKUP($A65,'Table 20 data'!$A$9:$W$184,$B$4+'Table 20 data'!G$4,0)</f>
        <v>48935</v>
      </c>
      <c r="H65" s="244">
        <f>VLOOKUP($A65,'Table 20 data'!$A$9:$W$184,$B$4+'Table 20 data'!H$4,0)</f>
        <v>71.5</v>
      </c>
      <c r="I65" s="243">
        <f>VLOOKUP($A65,'Table 20 data'!$A$9:$W$184,$B$4+'Table 20 data'!I$4,0)</f>
        <v>47740</v>
      </c>
      <c r="J65" s="244">
        <f>VLOOKUP($A65,'Table 20 data'!$A$9:$W$184,$B$4+'Table 20 data'!J$4,0)</f>
        <v>67.599999999999994</v>
      </c>
      <c r="K65" s="243">
        <f>VLOOKUP($A65,'Table 20 data'!$A$9:$W$184,$B$4+'Table 20 data'!K$4,0)</f>
        <v>48873</v>
      </c>
      <c r="L65" s="244">
        <f>VLOOKUP($A65,'Table 20 data'!$A$9:$W$184,$B$4+'Table 20 data'!L$4,0)</f>
        <v>68.5</v>
      </c>
      <c r="M65" s="136"/>
    </row>
    <row r="66" spans="1:13" ht="11.25" customHeight="1" x14ac:dyDescent="0.2">
      <c r="A66" s="125" t="s">
        <v>120</v>
      </c>
      <c r="B66" s="142" t="s">
        <v>121</v>
      </c>
      <c r="C66" s="245">
        <f>VLOOKUP($A66,'Table 20 data'!$A$9:$W$184,$B$4+'Table 20 data'!C$4,0)</f>
        <v>2767</v>
      </c>
      <c r="D66" s="246">
        <f>VLOOKUP($A66,'Table 20 data'!$A$9:$W$184,$B$4+'Table 20 data'!D$4,0)</f>
        <v>62.4</v>
      </c>
      <c r="E66" s="245">
        <f>VLOOKUP($A66,'Table 20 data'!$A$9:$W$184,$B$4+'Table 20 data'!E$4,0)</f>
        <v>2810</v>
      </c>
      <c r="F66" s="246">
        <f>VLOOKUP($A66,'Table 20 data'!$A$9:$W$184,$B$4+'Table 20 data'!F$4,0)</f>
        <v>69.400000000000006</v>
      </c>
      <c r="G66" s="245">
        <f>VLOOKUP($A66,'Table 20 data'!$A$9:$W$184,$B$4+'Table 20 data'!G$4,0)</f>
        <v>2738</v>
      </c>
      <c r="H66" s="246">
        <f>VLOOKUP($A66,'Table 20 data'!$A$9:$W$184,$B$4+'Table 20 data'!H$4,0)</f>
        <v>71.8</v>
      </c>
      <c r="I66" s="245">
        <f>VLOOKUP($A66,'Table 20 data'!$A$9:$W$184,$B$4+'Table 20 data'!I$4,0)</f>
        <v>2600</v>
      </c>
      <c r="J66" s="246">
        <f>VLOOKUP($A66,'Table 20 data'!$A$9:$W$184,$B$4+'Table 20 data'!J$4,0)</f>
        <v>67.900000000000006</v>
      </c>
      <c r="K66" s="245">
        <f>VLOOKUP($A66,'Table 20 data'!$A$9:$W$184,$B$4+'Table 20 data'!K$4,0)</f>
        <v>2834</v>
      </c>
      <c r="L66" s="246">
        <f>VLOOKUP($A66,'Table 20 data'!$A$9:$W$184,$B$4+'Table 20 data'!L$4,0)</f>
        <v>66.8</v>
      </c>
      <c r="M66" s="136"/>
    </row>
    <row r="67" spans="1:13" ht="11.25" customHeight="1" x14ac:dyDescent="0.2">
      <c r="A67" s="125" t="s">
        <v>122</v>
      </c>
      <c r="B67" s="142" t="s">
        <v>123</v>
      </c>
      <c r="C67" s="245">
        <f>VLOOKUP($A67,'Table 20 data'!$A$9:$W$184,$B$4+'Table 20 data'!C$4,0)</f>
        <v>8762</v>
      </c>
      <c r="D67" s="246">
        <f>VLOOKUP($A67,'Table 20 data'!$A$9:$W$184,$B$4+'Table 20 data'!D$4,0)</f>
        <v>63.8</v>
      </c>
      <c r="E67" s="245">
        <f>VLOOKUP($A67,'Table 20 data'!$A$9:$W$184,$B$4+'Table 20 data'!E$4,0)</f>
        <v>8697</v>
      </c>
      <c r="F67" s="246">
        <f>VLOOKUP($A67,'Table 20 data'!$A$9:$W$184,$B$4+'Table 20 data'!F$4,0)</f>
        <v>66.7</v>
      </c>
      <c r="G67" s="245">
        <f>VLOOKUP($A67,'Table 20 data'!$A$9:$W$184,$B$4+'Table 20 data'!G$4,0)</f>
        <v>8614</v>
      </c>
      <c r="H67" s="246">
        <f>VLOOKUP($A67,'Table 20 data'!$A$9:$W$184,$B$4+'Table 20 data'!H$4,0)</f>
        <v>68.900000000000006</v>
      </c>
      <c r="I67" s="245">
        <f>VLOOKUP($A67,'Table 20 data'!$A$9:$W$184,$B$4+'Table 20 data'!I$4,0)</f>
        <v>8203</v>
      </c>
      <c r="J67" s="246">
        <f>VLOOKUP($A67,'Table 20 data'!$A$9:$W$184,$B$4+'Table 20 data'!J$4,0)</f>
        <v>63.8</v>
      </c>
      <c r="K67" s="245">
        <f>VLOOKUP($A67,'Table 20 data'!$A$9:$W$184,$B$4+'Table 20 data'!K$4,0)</f>
        <v>8305</v>
      </c>
      <c r="L67" s="246">
        <f>VLOOKUP($A67,'Table 20 data'!$A$9:$W$184,$B$4+'Table 20 data'!L$4,0)</f>
        <v>65</v>
      </c>
      <c r="M67" s="136"/>
    </row>
    <row r="68" spans="1:13" ht="11.25" customHeight="1" x14ac:dyDescent="0.2">
      <c r="A68" s="125" t="s">
        <v>124</v>
      </c>
      <c r="B68" s="142" t="s">
        <v>125</v>
      </c>
      <c r="C68" s="245">
        <f>VLOOKUP($A68,'Table 20 data'!$A$9:$W$184,$B$4+'Table 20 data'!C$4,0)</f>
        <v>3271</v>
      </c>
      <c r="D68" s="246">
        <f>VLOOKUP($A68,'Table 20 data'!$A$9:$W$184,$B$4+'Table 20 data'!D$4,0)</f>
        <v>64.400000000000006</v>
      </c>
      <c r="E68" s="245">
        <f>VLOOKUP($A68,'Table 20 data'!$A$9:$W$184,$B$4+'Table 20 data'!E$4,0)</f>
        <v>3355</v>
      </c>
      <c r="F68" s="246">
        <f>VLOOKUP($A68,'Table 20 data'!$A$9:$W$184,$B$4+'Table 20 data'!F$4,0)</f>
        <v>69.900000000000006</v>
      </c>
      <c r="G68" s="245">
        <f>VLOOKUP($A68,'Table 20 data'!$A$9:$W$184,$B$4+'Table 20 data'!G$4,0)</f>
        <v>3143</v>
      </c>
      <c r="H68" s="246">
        <f>VLOOKUP($A68,'Table 20 data'!$A$9:$W$184,$B$4+'Table 20 data'!H$4,0)</f>
        <v>74.7</v>
      </c>
      <c r="I68" s="245">
        <f>VLOOKUP($A68,'Table 20 data'!$A$9:$W$184,$B$4+'Table 20 data'!I$4,0)</f>
        <v>3142</v>
      </c>
      <c r="J68" s="246">
        <f>VLOOKUP($A68,'Table 20 data'!$A$9:$W$184,$B$4+'Table 20 data'!J$4,0)</f>
        <v>71.3</v>
      </c>
      <c r="K68" s="245">
        <f>VLOOKUP($A68,'Table 20 data'!$A$9:$W$184,$B$4+'Table 20 data'!K$4,0)</f>
        <v>3265</v>
      </c>
      <c r="L68" s="246">
        <f>VLOOKUP($A68,'Table 20 data'!$A$9:$W$184,$B$4+'Table 20 data'!L$4,0)</f>
        <v>70.400000000000006</v>
      </c>
      <c r="M68" s="136"/>
    </row>
    <row r="69" spans="1:13" ht="11.25" customHeight="1" x14ac:dyDescent="0.2">
      <c r="A69" s="125" t="s">
        <v>126</v>
      </c>
      <c r="B69" s="142" t="s">
        <v>127</v>
      </c>
      <c r="C69" s="245">
        <f>VLOOKUP($A69,'Table 20 data'!$A$9:$W$184,$B$4+'Table 20 data'!C$4,0)</f>
        <v>7266</v>
      </c>
      <c r="D69" s="246">
        <f>VLOOKUP($A69,'Table 20 data'!$A$9:$W$184,$B$4+'Table 20 data'!D$4,0)</f>
        <v>69.900000000000006</v>
      </c>
      <c r="E69" s="245">
        <f>VLOOKUP($A69,'Table 20 data'!$A$9:$W$184,$B$4+'Table 20 data'!E$4,0)</f>
        <v>7350</v>
      </c>
      <c r="F69" s="246">
        <f>VLOOKUP($A69,'Table 20 data'!$A$9:$W$184,$B$4+'Table 20 data'!F$4,0)</f>
        <v>72.400000000000006</v>
      </c>
      <c r="G69" s="245">
        <f>VLOOKUP($A69,'Table 20 data'!$A$9:$W$184,$B$4+'Table 20 data'!G$4,0)</f>
        <v>7297</v>
      </c>
      <c r="H69" s="246">
        <f>VLOOKUP($A69,'Table 20 data'!$A$9:$W$184,$B$4+'Table 20 data'!H$4,0)</f>
        <v>73.900000000000006</v>
      </c>
      <c r="I69" s="245">
        <f>VLOOKUP($A69,'Table 20 data'!$A$9:$W$184,$B$4+'Table 20 data'!I$4,0)</f>
        <v>7080</v>
      </c>
      <c r="J69" s="246">
        <f>VLOOKUP($A69,'Table 20 data'!$A$9:$W$184,$B$4+'Table 20 data'!J$4,0)</f>
        <v>70.099999999999994</v>
      </c>
      <c r="K69" s="245">
        <f>VLOOKUP($A69,'Table 20 data'!$A$9:$W$184,$B$4+'Table 20 data'!K$4,0)</f>
        <v>7163</v>
      </c>
      <c r="L69" s="246">
        <f>VLOOKUP($A69,'Table 20 data'!$A$9:$W$184,$B$4+'Table 20 data'!L$4,0)</f>
        <v>70</v>
      </c>
      <c r="M69" s="136"/>
    </row>
    <row r="70" spans="1:13" ht="11.25" customHeight="1" x14ac:dyDescent="0.2">
      <c r="A70" s="125" t="s">
        <v>128</v>
      </c>
      <c r="B70" s="142" t="s">
        <v>129</v>
      </c>
      <c r="C70" s="245">
        <f>VLOOKUP($A70,'Table 20 data'!$A$9:$W$184,$B$4+'Table 20 data'!C$4,0)</f>
        <v>8249</v>
      </c>
      <c r="D70" s="246">
        <f>VLOOKUP($A70,'Table 20 data'!$A$9:$W$184,$B$4+'Table 20 data'!D$4,0)</f>
        <v>69.099999999999994</v>
      </c>
      <c r="E70" s="245">
        <f>VLOOKUP($A70,'Table 20 data'!$A$9:$W$184,$B$4+'Table 20 data'!E$4,0)</f>
        <v>8425</v>
      </c>
      <c r="F70" s="246">
        <f>VLOOKUP($A70,'Table 20 data'!$A$9:$W$184,$B$4+'Table 20 data'!F$4,0)</f>
        <v>74</v>
      </c>
      <c r="G70" s="245">
        <f>VLOOKUP($A70,'Table 20 data'!$A$9:$W$184,$B$4+'Table 20 data'!G$4,0)</f>
        <v>8086</v>
      </c>
      <c r="H70" s="246">
        <f>VLOOKUP($A70,'Table 20 data'!$A$9:$W$184,$B$4+'Table 20 data'!H$4,0)</f>
        <v>74.099999999999994</v>
      </c>
      <c r="I70" s="245">
        <f>VLOOKUP($A70,'Table 20 data'!$A$9:$W$184,$B$4+'Table 20 data'!I$4,0)</f>
        <v>7848</v>
      </c>
      <c r="J70" s="246">
        <f>VLOOKUP($A70,'Table 20 data'!$A$9:$W$184,$B$4+'Table 20 data'!J$4,0)</f>
        <v>69.5</v>
      </c>
      <c r="K70" s="245">
        <f>VLOOKUP($A70,'Table 20 data'!$A$9:$W$184,$B$4+'Table 20 data'!K$4,0)</f>
        <v>7945</v>
      </c>
      <c r="L70" s="246">
        <f>VLOOKUP($A70,'Table 20 data'!$A$9:$W$184,$B$4+'Table 20 data'!L$4,0)</f>
        <v>69</v>
      </c>
      <c r="M70" s="136"/>
    </row>
    <row r="71" spans="1:13" ht="11.25" customHeight="1" x14ac:dyDescent="0.2">
      <c r="A71" s="125" t="s">
        <v>130</v>
      </c>
      <c r="B71" s="142" t="s">
        <v>131</v>
      </c>
      <c r="C71" s="245">
        <f>VLOOKUP($A71,'Table 20 data'!$A$9:$W$184,$B$4+'Table 20 data'!C$4,0)</f>
        <v>7835</v>
      </c>
      <c r="D71" s="246">
        <f>VLOOKUP($A71,'Table 20 data'!$A$9:$W$184,$B$4+'Table 20 data'!D$4,0)</f>
        <v>66.099999999999994</v>
      </c>
      <c r="E71" s="245">
        <f>VLOOKUP($A71,'Table 20 data'!$A$9:$W$184,$B$4+'Table 20 data'!E$4,0)</f>
        <v>7771</v>
      </c>
      <c r="F71" s="246">
        <f>VLOOKUP($A71,'Table 20 data'!$A$9:$W$184,$B$4+'Table 20 data'!F$4,0)</f>
        <v>69.5</v>
      </c>
      <c r="G71" s="245">
        <f>VLOOKUP($A71,'Table 20 data'!$A$9:$W$184,$B$4+'Table 20 data'!G$4,0)</f>
        <v>7591</v>
      </c>
      <c r="H71" s="246">
        <f>VLOOKUP($A71,'Table 20 data'!$A$9:$W$184,$B$4+'Table 20 data'!H$4,0)</f>
        <v>72</v>
      </c>
      <c r="I71" s="245">
        <f>VLOOKUP($A71,'Table 20 data'!$A$9:$W$184,$B$4+'Table 20 data'!I$4,0)</f>
        <v>7420</v>
      </c>
      <c r="J71" s="246">
        <f>VLOOKUP($A71,'Table 20 data'!$A$9:$W$184,$B$4+'Table 20 data'!J$4,0)</f>
        <v>67.7</v>
      </c>
      <c r="K71" s="245">
        <f>VLOOKUP($A71,'Table 20 data'!$A$9:$W$184,$B$4+'Table 20 data'!K$4,0)</f>
        <v>7756</v>
      </c>
      <c r="L71" s="246">
        <f>VLOOKUP($A71,'Table 20 data'!$A$9:$W$184,$B$4+'Table 20 data'!L$4,0)</f>
        <v>70.3</v>
      </c>
      <c r="M71" s="136"/>
    </row>
    <row r="72" spans="1:13" ht="11.25" customHeight="1" x14ac:dyDescent="0.2">
      <c r="A72" s="125" t="s">
        <v>132</v>
      </c>
      <c r="B72" s="142" t="s">
        <v>133</v>
      </c>
      <c r="C72" s="245">
        <f>VLOOKUP($A72,'Table 20 data'!$A$9:$W$184,$B$4+'Table 20 data'!C$4,0)</f>
        <v>2657</v>
      </c>
      <c r="D72" s="246">
        <f>VLOOKUP($A72,'Table 20 data'!$A$9:$W$184,$B$4+'Table 20 data'!D$4,0)</f>
        <v>53.7</v>
      </c>
      <c r="E72" s="245">
        <f>VLOOKUP($A72,'Table 20 data'!$A$9:$W$184,$B$4+'Table 20 data'!E$4,0)</f>
        <v>2664</v>
      </c>
      <c r="F72" s="246">
        <f>VLOOKUP($A72,'Table 20 data'!$A$9:$W$184,$B$4+'Table 20 data'!F$4,0)</f>
        <v>60.9</v>
      </c>
      <c r="G72" s="245">
        <f>VLOOKUP($A72,'Table 20 data'!$A$9:$W$184,$B$4+'Table 20 data'!G$4,0)</f>
        <v>2436</v>
      </c>
      <c r="H72" s="246">
        <f>VLOOKUP($A72,'Table 20 data'!$A$9:$W$184,$B$4+'Table 20 data'!H$4,0)</f>
        <v>63</v>
      </c>
      <c r="I72" s="245">
        <f>VLOOKUP($A72,'Table 20 data'!$A$9:$W$184,$B$4+'Table 20 data'!I$4,0)</f>
        <v>2428</v>
      </c>
      <c r="J72" s="246">
        <f>VLOOKUP($A72,'Table 20 data'!$A$9:$W$184,$B$4+'Table 20 data'!J$4,0)</f>
        <v>57.6</v>
      </c>
      <c r="K72" s="245">
        <f>VLOOKUP($A72,'Table 20 data'!$A$9:$W$184,$B$4+'Table 20 data'!K$4,0)</f>
        <v>2600</v>
      </c>
      <c r="L72" s="246">
        <f>VLOOKUP($A72,'Table 20 data'!$A$9:$W$184,$B$4+'Table 20 data'!L$4,0)</f>
        <v>62.1</v>
      </c>
      <c r="M72" s="136"/>
    </row>
    <row r="73" spans="1:13" ht="11.25" customHeight="1" x14ac:dyDescent="0.2">
      <c r="A73" s="125" t="s">
        <v>134</v>
      </c>
      <c r="B73" s="142" t="s">
        <v>135</v>
      </c>
      <c r="C73" s="245">
        <f>VLOOKUP($A73,'Table 20 data'!$A$9:$W$184,$B$4+'Table 20 data'!C$4,0)</f>
        <v>9052</v>
      </c>
      <c r="D73" s="246">
        <f>VLOOKUP($A73,'Table 20 data'!$A$9:$W$184,$B$4+'Table 20 data'!D$4,0)</f>
        <v>59.3</v>
      </c>
      <c r="E73" s="245">
        <f>VLOOKUP($A73,'Table 20 data'!$A$9:$W$184,$B$4+'Table 20 data'!E$4,0)</f>
        <v>9083</v>
      </c>
      <c r="F73" s="246">
        <f>VLOOKUP($A73,'Table 20 data'!$A$9:$W$184,$B$4+'Table 20 data'!F$4,0)</f>
        <v>63.7</v>
      </c>
      <c r="G73" s="245">
        <f>VLOOKUP($A73,'Table 20 data'!$A$9:$W$184,$B$4+'Table 20 data'!G$4,0)</f>
        <v>8589</v>
      </c>
      <c r="H73" s="246">
        <f>VLOOKUP($A73,'Table 20 data'!$A$9:$W$184,$B$4+'Table 20 data'!H$4,0)</f>
        <v>69.5</v>
      </c>
      <c r="I73" s="245">
        <f>VLOOKUP($A73,'Table 20 data'!$A$9:$W$184,$B$4+'Table 20 data'!I$4,0)</f>
        <v>8552</v>
      </c>
      <c r="J73" s="246">
        <f>VLOOKUP($A73,'Table 20 data'!$A$9:$W$184,$B$4+'Table 20 data'!J$4,0)</f>
        <v>69.3</v>
      </c>
      <c r="K73" s="245">
        <f>VLOOKUP($A73,'Table 20 data'!$A$9:$W$184,$B$4+'Table 20 data'!K$4,0)</f>
        <v>8542</v>
      </c>
      <c r="L73" s="246">
        <f>VLOOKUP($A73,'Table 20 data'!$A$9:$W$184,$B$4+'Table 20 data'!L$4,0)</f>
        <v>70.2</v>
      </c>
      <c r="M73" s="136"/>
    </row>
    <row r="74" spans="1:13" ht="11.25" customHeight="1" x14ac:dyDescent="0.2">
      <c r="A74" s="125" t="s">
        <v>136</v>
      </c>
      <c r="B74" s="142" t="s">
        <v>137</v>
      </c>
      <c r="C74" s="245">
        <f>VLOOKUP($A74,'Table 20 data'!$A$9:$W$184,$B$4+'Table 20 data'!C$4,0)</f>
        <v>463</v>
      </c>
      <c r="D74" s="246">
        <f>VLOOKUP($A74,'Table 20 data'!$A$9:$W$184,$B$4+'Table 20 data'!D$4,0)</f>
        <v>71.7</v>
      </c>
      <c r="E74" s="245">
        <f>VLOOKUP($A74,'Table 20 data'!$A$9:$W$184,$B$4+'Table 20 data'!E$4,0)</f>
        <v>486</v>
      </c>
      <c r="F74" s="246">
        <f>VLOOKUP($A74,'Table 20 data'!$A$9:$W$184,$B$4+'Table 20 data'!F$4,0)</f>
        <v>72.8</v>
      </c>
      <c r="G74" s="245">
        <f>VLOOKUP($A74,'Table 20 data'!$A$9:$W$184,$B$4+'Table 20 data'!G$4,0)</f>
        <v>441</v>
      </c>
      <c r="H74" s="246">
        <f>VLOOKUP($A74,'Table 20 data'!$A$9:$W$184,$B$4+'Table 20 data'!H$4,0)</f>
        <v>83.2</v>
      </c>
      <c r="I74" s="245">
        <f>VLOOKUP($A74,'Table 20 data'!$A$9:$W$184,$B$4+'Table 20 data'!I$4,0)</f>
        <v>467</v>
      </c>
      <c r="J74" s="246">
        <f>VLOOKUP($A74,'Table 20 data'!$A$9:$W$184,$B$4+'Table 20 data'!J$4,0)</f>
        <v>59.7</v>
      </c>
      <c r="K74" s="245">
        <f>VLOOKUP($A74,'Table 20 data'!$A$9:$W$184,$B$4+'Table 20 data'!K$4,0)</f>
        <v>463</v>
      </c>
      <c r="L74" s="246">
        <f>VLOOKUP($A74,'Table 20 data'!$A$9:$W$184,$B$4+'Table 20 data'!L$4,0)</f>
        <v>69.099999999999994</v>
      </c>
      <c r="M74" s="136"/>
    </row>
    <row r="75" spans="1:13" ht="11.25" customHeight="1" x14ac:dyDescent="0.2">
      <c r="A75" s="3"/>
      <c r="B75" s="142"/>
      <c r="C75" s="247"/>
      <c r="D75" s="256"/>
      <c r="E75" s="247"/>
      <c r="F75" s="256"/>
      <c r="G75" s="247"/>
      <c r="H75" s="249"/>
      <c r="I75" s="250"/>
      <c r="J75" s="250"/>
      <c r="K75" s="250"/>
      <c r="L75" s="250"/>
      <c r="M75" s="136"/>
    </row>
    <row r="76" spans="1:13" s="98" customFormat="1" ht="11.25" customHeight="1" x14ac:dyDescent="0.2">
      <c r="A76" s="17" t="s">
        <v>386</v>
      </c>
      <c r="B76" s="92" t="s">
        <v>138</v>
      </c>
      <c r="C76" s="243">
        <f>VLOOKUP($A76,'Table 20 data'!$A$9:$W$184,$B$4+'Table 20 data'!C$4,0)</f>
        <v>63176</v>
      </c>
      <c r="D76" s="244">
        <f>VLOOKUP($A76,'Table 20 data'!$A$9:$W$184,$B$4+'Table 20 data'!D$4,0)</f>
        <v>63.6</v>
      </c>
      <c r="E76" s="243">
        <f>VLOOKUP($A76,'Table 20 data'!$A$9:$W$184,$B$4+'Table 20 data'!E$4,0)</f>
        <v>63181</v>
      </c>
      <c r="F76" s="244">
        <f>VLOOKUP($A76,'Table 20 data'!$A$9:$W$184,$B$4+'Table 20 data'!F$4,0)</f>
        <v>69.599999999999994</v>
      </c>
      <c r="G76" s="243">
        <f>VLOOKUP($A76,'Table 20 data'!$A$9:$W$184,$B$4+'Table 20 data'!G$4,0)</f>
        <v>61074</v>
      </c>
      <c r="H76" s="244">
        <f>VLOOKUP($A76,'Table 20 data'!$A$9:$W$184,$B$4+'Table 20 data'!H$4,0)</f>
        <v>71.3</v>
      </c>
      <c r="I76" s="243">
        <f>VLOOKUP($A76,'Table 20 data'!$A$9:$W$184,$B$4+'Table 20 data'!I$4,0)</f>
        <v>61589</v>
      </c>
      <c r="J76" s="244">
        <f>VLOOKUP($A76,'Table 20 data'!$A$9:$W$184,$B$4+'Table 20 data'!J$4,0)</f>
        <v>68.400000000000006</v>
      </c>
      <c r="K76" s="243">
        <f>VLOOKUP($A76,'Table 20 data'!$A$9:$W$184,$B$4+'Table 20 data'!K$4,0)</f>
        <v>62854</v>
      </c>
      <c r="L76" s="244">
        <f>VLOOKUP($A76,'Table 20 data'!$A$9:$W$184,$B$4+'Table 20 data'!L$4,0)</f>
        <v>70</v>
      </c>
      <c r="M76" s="136"/>
    </row>
    <row r="77" spans="1:13" ht="11.25" customHeight="1" x14ac:dyDescent="0.2">
      <c r="A77" s="125" t="s">
        <v>139</v>
      </c>
      <c r="B77" s="142" t="s">
        <v>140</v>
      </c>
      <c r="C77" s="245">
        <f>VLOOKUP($A77,'Table 20 data'!$A$9:$W$184,$B$4+'Table 20 data'!C$4,0)</f>
        <v>11810</v>
      </c>
      <c r="D77" s="246">
        <f>VLOOKUP($A77,'Table 20 data'!$A$9:$W$184,$B$4+'Table 20 data'!D$4,0)</f>
        <v>63.6</v>
      </c>
      <c r="E77" s="245">
        <f>VLOOKUP($A77,'Table 20 data'!$A$9:$W$184,$B$4+'Table 20 data'!E$4,0)</f>
        <v>11840</v>
      </c>
      <c r="F77" s="246">
        <f>VLOOKUP($A77,'Table 20 data'!$A$9:$W$184,$B$4+'Table 20 data'!F$4,0)</f>
        <v>70.900000000000006</v>
      </c>
      <c r="G77" s="245">
        <f>VLOOKUP($A77,'Table 20 data'!$A$9:$W$184,$B$4+'Table 20 data'!G$4,0)</f>
        <v>11597</v>
      </c>
      <c r="H77" s="246">
        <f>VLOOKUP($A77,'Table 20 data'!$A$9:$W$184,$B$4+'Table 20 data'!H$4,0)</f>
        <v>73</v>
      </c>
      <c r="I77" s="245">
        <f>VLOOKUP($A77,'Table 20 data'!$A$9:$W$184,$B$4+'Table 20 data'!I$4,0)</f>
        <v>11898</v>
      </c>
      <c r="J77" s="246">
        <f>VLOOKUP($A77,'Table 20 data'!$A$9:$W$184,$B$4+'Table 20 data'!J$4,0)</f>
        <v>71.3</v>
      </c>
      <c r="K77" s="245">
        <f>VLOOKUP($A77,'Table 20 data'!$A$9:$W$184,$B$4+'Table 20 data'!K$4,0)</f>
        <v>12045</v>
      </c>
      <c r="L77" s="246">
        <f>VLOOKUP($A77,'Table 20 data'!$A$9:$W$184,$B$4+'Table 20 data'!L$4,0)</f>
        <v>72</v>
      </c>
      <c r="M77" s="136"/>
    </row>
    <row r="78" spans="1:13" ht="11.25" customHeight="1" x14ac:dyDescent="0.2">
      <c r="A78" s="125" t="s">
        <v>141</v>
      </c>
      <c r="B78" s="142" t="s">
        <v>142</v>
      </c>
      <c r="C78" s="245">
        <f>VLOOKUP($A78,'Table 20 data'!$A$9:$W$184,$B$4+'Table 20 data'!C$4,0)</f>
        <v>3403</v>
      </c>
      <c r="D78" s="246">
        <f>VLOOKUP($A78,'Table 20 data'!$A$9:$W$184,$B$4+'Table 20 data'!D$4,0)</f>
        <v>62.1</v>
      </c>
      <c r="E78" s="245">
        <f>VLOOKUP($A78,'Table 20 data'!$A$9:$W$184,$B$4+'Table 20 data'!E$4,0)</f>
        <v>3490</v>
      </c>
      <c r="F78" s="246">
        <f>VLOOKUP($A78,'Table 20 data'!$A$9:$W$184,$B$4+'Table 20 data'!F$4,0)</f>
        <v>68.099999999999994</v>
      </c>
      <c r="G78" s="245">
        <f>VLOOKUP($A78,'Table 20 data'!$A$9:$W$184,$B$4+'Table 20 data'!G$4,0)</f>
        <v>3279</v>
      </c>
      <c r="H78" s="246">
        <f>VLOOKUP($A78,'Table 20 data'!$A$9:$W$184,$B$4+'Table 20 data'!H$4,0)</f>
        <v>69</v>
      </c>
      <c r="I78" s="245">
        <f>VLOOKUP($A78,'Table 20 data'!$A$9:$W$184,$B$4+'Table 20 data'!I$4,0)</f>
        <v>3422</v>
      </c>
      <c r="J78" s="246">
        <f>VLOOKUP($A78,'Table 20 data'!$A$9:$W$184,$B$4+'Table 20 data'!J$4,0)</f>
        <v>68.8</v>
      </c>
      <c r="K78" s="245">
        <f>VLOOKUP($A78,'Table 20 data'!$A$9:$W$184,$B$4+'Table 20 data'!K$4,0)</f>
        <v>3459</v>
      </c>
      <c r="L78" s="246">
        <f>VLOOKUP($A78,'Table 20 data'!$A$9:$W$184,$B$4+'Table 20 data'!L$4,0)</f>
        <v>69.599999999999994</v>
      </c>
      <c r="M78" s="136"/>
    </row>
    <row r="79" spans="1:13" ht="11.25" customHeight="1" x14ac:dyDescent="0.2">
      <c r="A79" s="125" t="s">
        <v>143</v>
      </c>
      <c r="B79" s="142" t="s">
        <v>144</v>
      </c>
      <c r="C79" s="245">
        <f>VLOOKUP($A79,'Table 20 data'!$A$9:$W$184,$B$4+'Table 20 data'!C$4,0)</f>
        <v>3919</v>
      </c>
      <c r="D79" s="246">
        <f>VLOOKUP($A79,'Table 20 data'!$A$9:$W$184,$B$4+'Table 20 data'!D$4,0)</f>
        <v>66.599999999999994</v>
      </c>
      <c r="E79" s="245">
        <f>VLOOKUP($A79,'Table 20 data'!$A$9:$W$184,$B$4+'Table 20 data'!E$4,0)</f>
        <v>3899</v>
      </c>
      <c r="F79" s="246">
        <f>VLOOKUP($A79,'Table 20 data'!$A$9:$W$184,$B$4+'Table 20 data'!F$4,0)</f>
        <v>71.900000000000006</v>
      </c>
      <c r="G79" s="245">
        <f>VLOOKUP($A79,'Table 20 data'!$A$9:$W$184,$B$4+'Table 20 data'!G$4,0)</f>
        <v>3737</v>
      </c>
      <c r="H79" s="246">
        <f>VLOOKUP($A79,'Table 20 data'!$A$9:$W$184,$B$4+'Table 20 data'!H$4,0)</f>
        <v>72.400000000000006</v>
      </c>
      <c r="I79" s="245">
        <f>VLOOKUP($A79,'Table 20 data'!$A$9:$W$184,$B$4+'Table 20 data'!I$4,0)</f>
        <v>3799</v>
      </c>
      <c r="J79" s="246">
        <f>VLOOKUP($A79,'Table 20 data'!$A$9:$W$184,$B$4+'Table 20 data'!J$4,0)</f>
        <v>66.900000000000006</v>
      </c>
      <c r="K79" s="245">
        <f>VLOOKUP($A79,'Table 20 data'!$A$9:$W$184,$B$4+'Table 20 data'!K$4,0)</f>
        <v>3872</v>
      </c>
      <c r="L79" s="246">
        <f>VLOOKUP($A79,'Table 20 data'!$A$9:$W$184,$B$4+'Table 20 data'!L$4,0)</f>
        <v>68.2</v>
      </c>
      <c r="M79" s="136"/>
    </row>
    <row r="80" spans="1:13" ht="11.25" customHeight="1" x14ac:dyDescent="0.2">
      <c r="A80" s="125" t="s">
        <v>355</v>
      </c>
      <c r="B80" s="142" t="s">
        <v>145</v>
      </c>
      <c r="C80" s="245">
        <f>VLOOKUP($A80,'Table 20 data'!$A$9:$W$184,$B$4+'Table 20 data'!C$4,0)</f>
        <v>1854</v>
      </c>
      <c r="D80" s="246">
        <f>VLOOKUP($A80,'Table 20 data'!$A$9:$W$184,$B$4+'Table 20 data'!D$4,0)</f>
        <v>66.2</v>
      </c>
      <c r="E80" s="245">
        <f>VLOOKUP($A80,'Table 20 data'!$A$9:$W$184,$B$4+'Table 20 data'!E$4,0)</f>
        <v>1867</v>
      </c>
      <c r="F80" s="246">
        <f>VLOOKUP($A80,'Table 20 data'!$A$9:$W$184,$B$4+'Table 20 data'!F$4,0)</f>
        <v>71.8</v>
      </c>
      <c r="G80" s="245">
        <f>VLOOKUP($A80,'Table 20 data'!$A$9:$W$184,$B$4+'Table 20 data'!G$4,0)</f>
        <v>1786</v>
      </c>
      <c r="H80" s="246">
        <f>VLOOKUP($A80,'Table 20 data'!$A$9:$W$184,$B$4+'Table 20 data'!H$4,0)</f>
        <v>75.099999999999994</v>
      </c>
      <c r="I80" s="245">
        <f>VLOOKUP($A80,'Table 20 data'!$A$9:$W$184,$B$4+'Table 20 data'!I$4,0)</f>
        <v>1785</v>
      </c>
      <c r="J80" s="246">
        <f>VLOOKUP($A80,'Table 20 data'!$A$9:$W$184,$B$4+'Table 20 data'!J$4,0)</f>
        <v>64.099999999999994</v>
      </c>
      <c r="K80" s="245">
        <f>VLOOKUP($A80,'Table 20 data'!$A$9:$W$184,$B$4+'Table 20 data'!K$4,0)</f>
        <v>1758</v>
      </c>
      <c r="L80" s="246">
        <f>VLOOKUP($A80,'Table 20 data'!$A$9:$W$184,$B$4+'Table 20 data'!L$4,0)</f>
        <v>65</v>
      </c>
      <c r="M80" s="136"/>
    </row>
    <row r="81" spans="1:13" ht="11.25" customHeight="1" x14ac:dyDescent="0.2">
      <c r="A81" s="125" t="s">
        <v>146</v>
      </c>
      <c r="B81" s="142" t="s">
        <v>147</v>
      </c>
      <c r="C81" s="245">
        <f>VLOOKUP($A81,'Table 20 data'!$A$9:$W$184,$B$4+'Table 20 data'!C$4,0)</f>
        <v>3479</v>
      </c>
      <c r="D81" s="246">
        <f>VLOOKUP($A81,'Table 20 data'!$A$9:$W$184,$B$4+'Table 20 data'!D$4,0)</f>
        <v>54.4</v>
      </c>
      <c r="E81" s="245">
        <f>VLOOKUP($A81,'Table 20 data'!$A$9:$W$184,$B$4+'Table 20 data'!E$4,0)</f>
        <v>3436</v>
      </c>
      <c r="F81" s="246">
        <f>VLOOKUP($A81,'Table 20 data'!$A$9:$W$184,$B$4+'Table 20 data'!F$4,0)</f>
        <v>62</v>
      </c>
      <c r="G81" s="245">
        <f>VLOOKUP($A81,'Table 20 data'!$A$9:$W$184,$B$4+'Table 20 data'!G$4,0)</f>
        <v>3419</v>
      </c>
      <c r="H81" s="246">
        <f>VLOOKUP($A81,'Table 20 data'!$A$9:$W$184,$B$4+'Table 20 data'!H$4,0)</f>
        <v>67.8</v>
      </c>
      <c r="I81" s="245">
        <f>VLOOKUP($A81,'Table 20 data'!$A$9:$W$184,$B$4+'Table 20 data'!I$4,0)</f>
        <v>3535</v>
      </c>
      <c r="J81" s="246">
        <f>VLOOKUP($A81,'Table 20 data'!$A$9:$W$184,$B$4+'Table 20 data'!J$4,0)</f>
        <v>64.900000000000006</v>
      </c>
      <c r="K81" s="245">
        <f>VLOOKUP($A81,'Table 20 data'!$A$9:$W$184,$B$4+'Table 20 data'!K$4,0)</f>
        <v>3568</v>
      </c>
      <c r="L81" s="246">
        <f>VLOOKUP($A81,'Table 20 data'!$A$9:$W$184,$B$4+'Table 20 data'!L$4,0)</f>
        <v>68.7</v>
      </c>
      <c r="M81" s="136"/>
    </row>
    <row r="82" spans="1:13" ht="11.25" customHeight="1" x14ac:dyDescent="0.2">
      <c r="A82" s="125" t="s">
        <v>148</v>
      </c>
      <c r="B82" s="142" t="s">
        <v>149</v>
      </c>
      <c r="C82" s="245">
        <f>VLOOKUP($A82,'Table 20 data'!$A$9:$W$184,$B$4+'Table 20 data'!C$4,0)</f>
        <v>3110</v>
      </c>
      <c r="D82" s="246">
        <f>VLOOKUP($A82,'Table 20 data'!$A$9:$W$184,$B$4+'Table 20 data'!D$4,0)</f>
        <v>68.599999999999994</v>
      </c>
      <c r="E82" s="245">
        <f>VLOOKUP($A82,'Table 20 data'!$A$9:$W$184,$B$4+'Table 20 data'!E$4,0)</f>
        <v>3191</v>
      </c>
      <c r="F82" s="246">
        <f>VLOOKUP($A82,'Table 20 data'!$A$9:$W$184,$B$4+'Table 20 data'!F$4,0)</f>
        <v>69.099999999999994</v>
      </c>
      <c r="G82" s="245">
        <f>VLOOKUP($A82,'Table 20 data'!$A$9:$W$184,$B$4+'Table 20 data'!G$4,0)</f>
        <v>3089</v>
      </c>
      <c r="H82" s="246">
        <f>VLOOKUP($A82,'Table 20 data'!$A$9:$W$184,$B$4+'Table 20 data'!H$4,0)</f>
        <v>70</v>
      </c>
      <c r="I82" s="245">
        <f>VLOOKUP($A82,'Table 20 data'!$A$9:$W$184,$B$4+'Table 20 data'!I$4,0)</f>
        <v>3021</v>
      </c>
      <c r="J82" s="246">
        <f>VLOOKUP($A82,'Table 20 data'!$A$9:$W$184,$B$4+'Table 20 data'!J$4,0)</f>
        <v>65.5</v>
      </c>
      <c r="K82" s="245">
        <f>VLOOKUP($A82,'Table 20 data'!$A$9:$W$184,$B$4+'Table 20 data'!K$4,0)</f>
        <v>3169</v>
      </c>
      <c r="L82" s="246">
        <f>VLOOKUP($A82,'Table 20 data'!$A$9:$W$184,$B$4+'Table 20 data'!L$4,0)</f>
        <v>67.3</v>
      </c>
      <c r="M82" s="136"/>
    </row>
    <row r="83" spans="1:13" ht="11.25" customHeight="1" x14ac:dyDescent="0.2">
      <c r="A83" s="125" t="s">
        <v>150</v>
      </c>
      <c r="B83" s="142" t="s">
        <v>151</v>
      </c>
      <c r="C83" s="245">
        <f>VLOOKUP($A83,'Table 20 data'!$A$9:$W$184,$B$4+'Table 20 data'!C$4,0)</f>
        <v>3046</v>
      </c>
      <c r="D83" s="246">
        <f>VLOOKUP($A83,'Table 20 data'!$A$9:$W$184,$B$4+'Table 20 data'!D$4,0)</f>
        <v>68.400000000000006</v>
      </c>
      <c r="E83" s="245">
        <f>VLOOKUP($A83,'Table 20 data'!$A$9:$W$184,$B$4+'Table 20 data'!E$4,0)</f>
        <v>3056</v>
      </c>
      <c r="F83" s="246">
        <f>VLOOKUP($A83,'Table 20 data'!$A$9:$W$184,$B$4+'Table 20 data'!F$4,0)</f>
        <v>74.099999999999994</v>
      </c>
      <c r="G83" s="245">
        <f>VLOOKUP($A83,'Table 20 data'!$A$9:$W$184,$B$4+'Table 20 data'!G$4,0)</f>
        <v>2983</v>
      </c>
      <c r="H83" s="246">
        <f>VLOOKUP($A83,'Table 20 data'!$A$9:$W$184,$B$4+'Table 20 data'!H$4,0)</f>
        <v>74.5</v>
      </c>
      <c r="I83" s="245">
        <f>VLOOKUP($A83,'Table 20 data'!$A$9:$W$184,$B$4+'Table 20 data'!I$4,0)</f>
        <v>3019</v>
      </c>
      <c r="J83" s="246">
        <f>VLOOKUP($A83,'Table 20 data'!$A$9:$W$184,$B$4+'Table 20 data'!J$4,0)</f>
        <v>70.8</v>
      </c>
      <c r="K83" s="245">
        <f>VLOOKUP($A83,'Table 20 data'!$A$9:$W$184,$B$4+'Table 20 data'!K$4,0)</f>
        <v>2998</v>
      </c>
      <c r="L83" s="246">
        <f>VLOOKUP($A83,'Table 20 data'!$A$9:$W$184,$B$4+'Table 20 data'!L$4,0)</f>
        <v>74.5</v>
      </c>
      <c r="M83" s="136"/>
    </row>
    <row r="84" spans="1:13" ht="11.25" customHeight="1" x14ac:dyDescent="0.2">
      <c r="A84" s="125" t="s">
        <v>152</v>
      </c>
      <c r="B84" s="142" t="s">
        <v>153</v>
      </c>
      <c r="C84" s="245">
        <f>VLOOKUP($A84,'Table 20 data'!$A$9:$W$184,$B$4+'Table 20 data'!C$4,0)</f>
        <v>9626</v>
      </c>
      <c r="D84" s="246">
        <f>VLOOKUP($A84,'Table 20 data'!$A$9:$W$184,$B$4+'Table 20 data'!D$4,0)</f>
        <v>66</v>
      </c>
      <c r="E84" s="245">
        <f>VLOOKUP($A84,'Table 20 data'!$A$9:$W$184,$B$4+'Table 20 data'!E$4,0)</f>
        <v>9642</v>
      </c>
      <c r="F84" s="246">
        <f>VLOOKUP($A84,'Table 20 data'!$A$9:$W$184,$B$4+'Table 20 data'!F$4,0)</f>
        <v>71.400000000000006</v>
      </c>
      <c r="G84" s="245">
        <f>VLOOKUP($A84,'Table 20 data'!$A$9:$W$184,$B$4+'Table 20 data'!G$4,0)</f>
        <v>9213</v>
      </c>
      <c r="H84" s="246">
        <f>VLOOKUP($A84,'Table 20 data'!$A$9:$W$184,$B$4+'Table 20 data'!H$4,0)</f>
        <v>70.8</v>
      </c>
      <c r="I84" s="245">
        <f>VLOOKUP($A84,'Table 20 data'!$A$9:$W$184,$B$4+'Table 20 data'!I$4,0)</f>
        <v>9374</v>
      </c>
      <c r="J84" s="246">
        <f>VLOOKUP($A84,'Table 20 data'!$A$9:$W$184,$B$4+'Table 20 data'!J$4,0)</f>
        <v>68</v>
      </c>
      <c r="K84" s="245">
        <f>VLOOKUP($A84,'Table 20 data'!$A$9:$W$184,$B$4+'Table 20 data'!K$4,0)</f>
        <v>9552</v>
      </c>
      <c r="L84" s="246">
        <f>VLOOKUP($A84,'Table 20 data'!$A$9:$W$184,$B$4+'Table 20 data'!L$4,0)</f>
        <v>68.5</v>
      </c>
      <c r="M84" s="136"/>
    </row>
    <row r="85" spans="1:13" ht="11.25" customHeight="1" x14ac:dyDescent="0.2">
      <c r="A85" s="125" t="s">
        <v>154</v>
      </c>
      <c r="B85" s="142" t="s">
        <v>155</v>
      </c>
      <c r="C85" s="245">
        <f>VLOOKUP($A85,'Table 20 data'!$A$9:$W$184,$B$4+'Table 20 data'!C$4,0)</f>
        <v>2637</v>
      </c>
      <c r="D85" s="246">
        <f>VLOOKUP($A85,'Table 20 data'!$A$9:$W$184,$B$4+'Table 20 data'!D$4,0)</f>
        <v>59.1</v>
      </c>
      <c r="E85" s="245">
        <f>VLOOKUP($A85,'Table 20 data'!$A$9:$W$184,$B$4+'Table 20 data'!E$4,0)</f>
        <v>2552</v>
      </c>
      <c r="F85" s="246">
        <f>VLOOKUP($A85,'Table 20 data'!$A$9:$W$184,$B$4+'Table 20 data'!F$4,0)</f>
        <v>66.5</v>
      </c>
      <c r="G85" s="245">
        <f>VLOOKUP($A85,'Table 20 data'!$A$9:$W$184,$B$4+'Table 20 data'!G$4,0)</f>
        <v>2517</v>
      </c>
      <c r="H85" s="246">
        <f>VLOOKUP($A85,'Table 20 data'!$A$9:$W$184,$B$4+'Table 20 data'!H$4,0)</f>
        <v>64.900000000000006</v>
      </c>
      <c r="I85" s="245">
        <f>VLOOKUP($A85,'Table 20 data'!$A$9:$W$184,$B$4+'Table 20 data'!I$4,0)</f>
        <v>2346</v>
      </c>
      <c r="J85" s="246">
        <f>VLOOKUP($A85,'Table 20 data'!$A$9:$W$184,$B$4+'Table 20 data'!J$4,0)</f>
        <v>65.8</v>
      </c>
      <c r="K85" s="245">
        <f>VLOOKUP($A85,'Table 20 data'!$A$9:$W$184,$B$4+'Table 20 data'!K$4,0)</f>
        <v>2555</v>
      </c>
      <c r="L85" s="246">
        <f>VLOOKUP($A85,'Table 20 data'!$A$9:$W$184,$B$4+'Table 20 data'!L$4,0)</f>
        <v>63.2</v>
      </c>
      <c r="M85" s="136"/>
    </row>
    <row r="86" spans="1:13" ht="11.25" customHeight="1" x14ac:dyDescent="0.2">
      <c r="A86" s="125" t="s">
        <v>156</v>
      </c>
      <c r="B86" s="142" t="s">
        <v>157</v>
      </c>
      <c r="C86" s="245">
        <f>VLOOKUP($A86,'Table 20 data'!$A$9:$W$184,$B$4+'Table 20 data'!C$4,0)</f>
        <v>2086</v>
      </c>
      <c r="D86" s="246">
        <f>VLOOKUP($A86,'Table 20 data'!$A$9:$W$184,$B$4+'Table 20 data'!D$4,0)</f>
        <v>58.4</v>
      </c>
      <c r="E86" s="245">
        <f>VLOOKUP($A86,'Table 20 data'!$A$9:$W$184,$B$4+'Table 20 data'!E$4,0)</f>
        <v>2101</v>
      </c>
      <c r="F86" s="246">
        <f>VLOOKUP($A86,'Table 20 data'!$A$9:$W$184,$B$4+'Table 20 data'!F$4,0)</f>
        <v>66.099999999999994</v>
      </c>
      <c r="G86" s="245">
        <f>VLOOKUP($A86,'Table 20 data'!$A$9:$W$184,$B$4+'Table 20 data'!G$4,0)</f>
        <v>1989</v>
      </c>
      <c r="H86" s="246">
        <f>VLOOKUP($A86,'Table 20 data'!$A$9:$W$184,$B$4+'Table 20 data'!H$4,0)</f>
        <v>66</v>
      </c>
      <c r="I86" s="245">
        <f>VLOOKUP($A86,'Table 20 data'!$A$9:$W$184,$B$4+'Table 20 data'!I$4,0)</f>
        <v>1943</v>
      </c>
      <c r="J86" s="246">
        <f>VLOOKUP($A86,'Table 20 data'!$A$9:$W$184,$B$4+'Table 20 data'!J$4,0)</f>
        <v>65.8</v>
      </c>
      <c r="K86" s="245">
        <f>VLOOKUP($A86,'Table 20 data'!$A$9:$W$184,$B$4+'Table 20 data'!K$4,0)</f>
        <v>2058</v>
      </c>
      <c r="L86" s="246">
        <f>VLOOKUP($A86,'Table 20 data'!$A$9:$W$184,$B$4+'Table 20 data'!L$4,0)</f>
        <v>67.8</v>
      </c>
      <c r="M86" s="136"/>
    </row>
    <row r="87" spans="1:13" ht="11.25" customHeight="1" x14ac:dyDescent="0.2">
      <c r="A87" s="125" t="s">
        <v>158</v>
      </c>
      <c r="B87" s="142" t="s">
        <v>159</v>
      </c>
      <c r="C87" s="245">
        <f>VLOOKUP($A87,'Table 20 data'!$A$9:$W$184,$B$4+'Table 20 data'!C$4,0)</f>
        <v>3627</v>
      </c>
      <c r="D87" s="246">
        <f>VLOOKUP($A87,'Table 20 data'!$A$9:$W$184,$B$4+'Table 20 data'!D$4,0)</f>
        <v>57.4</v>
      </c>
      <c r="E87" s="245">
        <f>VLOOKUP($A87,'Table 20 data'!$A$9:$W$184,$B$4+'Table 20 data'!E$4,0)</f>
        <v>3521</v>
      </c>
      <c r="F87" s="246">
        <f>VLOOKUP($A87,'Table 20 data'!$A$9:$W$184,$B$4+'Table 20 data'!F$4,0)</f>
        <v>63.6</v>
      </c>
      <c r="G87" s="245">
        <f>VLOOKUP($A87,'Table 20 data'!$A$9:$W$184,$B$4+'Table 20 data'!G$4,0)</f>
        <v>3363</v>
      </c>
      <c r="H87" s="246">
        <f>VLOOKUP($A87,'Table 20 data'!$A$9:$W$184,$B$4+'Table 20 data'!H$4,0)</f>
        <v>68.099999999999994</v>
      </c>
      <c r="I87" s="245">
        <f>VLOOKUP($A87,'Table 20 data'!$A$9:$W$184,$B$4+'Table 20 data'!I$4,0)</f>
        <v>3293</v>
      </c>
      <c r="J87" s="246">
        <f>VLOOKUP($A87,'Table 20 data'!$A$9:$W$184,$B$4+'Table 20 data'!J$4,0)</f>
        <v>61.6</v>
      </c>
      <c r="K87" s="245">
        <f>VLOOKUP($A87,'Table 20 data'!$A$9:$W$184,$B$4+'Table 20 data'!K$4,0)</f>
        <v>3391</v>
      </c>
      <c r="L87" s="246">
        <f>VLOOKUP($A87,'Table 20 data'!$A$9:$W$184,$B$4+'Table 20 data'!L$4,0)</f>
        <v>65.900000000000006</v>
      </c>
      <c r="M87" s="136"/>
    </row>
    <row r="88" spans="1:13" ht="11.25" customHeight="1" x14ac:dyDescent="0.2">
      <c r="A88" s="125" t="s">
        <v>160</v>
      </c>
      <c r="B88" s="142" t="s">
        <v>161</v>
      </c>
      <c r="C88" s="245">
        <f>VLOOKUP($A88,'Table 20 data'!$A$9:$W$184,$B$4+'Table 20 data'!C$4,0)</f>
        <v>5844</v>
      </c>
      <c r="D88" s="246">
        <f>VLOOKUP($A88,'Table 20 data'!$A$9:$W$184,$B$4+'Table 20 data'!D$4,0)</f>
        <v>67.2</v>
      </c>
      <c r="E88" s="245">
        <f>VLOOKUP($A88,'Table 20 data'!$A$9:$W$184,$B$4+'Table 20 data'!E$4,0)</f>
        <v>6006</v>
      </c>
      <c r="F88" s="246">
        <f>VLOOKUP($A88,'Table 20 data'!$A$9:$W$184,$B$4+'Table 20 data'!F$4,0)</f>
        <v>73.599999999999994</v>
      </c>
      <c r="G88" s="245">
        <f>VLOOKUP($A88,'Table 20 data'!$A$9:$W$184,$B$4+'Table 20 data'!G$4,0)</f>
        <v>5821</v>
      </c>
      <c r="H88" s="246">
        <f>VLOOKUP($A88,'Table 20 data'!$A$9:$W$184,$B$4+'Table 20 data'!H$4,0)</f>
        <v>74.599999999999994</v>
      </c>
      <c r="I88" s="245">
        <f>VLOOKUP($A88,'Table 20 data'!$A$9:$W$184,$B$4+'Table 20 data'!I$4,0)</f>
        <v>5745</v>
      </c>
      <c r="J88" s="246">
        <f>VLOOKUP($A88,'Table 20 data'!$A$9:$W$184,$B$4+'Table 20 data'!J$4,0)</f>
        <v>71.099999999999994</v>
      </c>
      <c r="K88" s="245">
        <f>VLOOKUP($A88,'Table 20 data'!$A$9:$W$184,$B$4+'Table 20 data'!K$4,0)</f>
        <v>5934</v>
      </c>
      <c r="L88" s="246">
        <f>VLOOKUP($A88,'Table 20 data'!$A$9:$W$184,$B$4+'Table 20 data'!L$4,0)</f>
        <v>74.099999999999994</v>
      </c>
      <c r="M88" s="136"/>
    </row>
    <row r="89" spans="1:13" ht="11.25" customHeight="1" x14ac:dyDescent="0.2">
      <c r="A89" s="125" t="s">
        <v>162</v>
      </c>
      <c r="B89" s="142" t="s">
        <v>163</v>
      </c>
      <c r="C89" s="245">
        <f>VLOOKUP($A89,'Table 20 data'!$A$9:$W$184,$B$4+'Table 20 data'!C$4,0)</f>
        <v>2659</v>
      </c>
      <c r="D89" s="246">
        <f>VLOOKUP($A89,'Table 20 data'!$A$9:$W$184,$B$4+'Table 20 data'!D$4,0)</f>
        <v>60.3</v>
      </c>
      <c r="E89" s="245">
        <f>VLOOKUP($A89,'Table 20 data'!$A$9:$W$184,$B$4+'Table 20 data'!E$4,0)</f>
        <v>2626</v>
      </c>
      <c r="F89" s="246">
        <f>VLOOKUP($A89,'Table 20 data'!$A$9:$W$184,$B$4+'Table 20 data'!F$4,0)</f>
        <v>65.400000000000006</v>
      </c>
      <c r="G89" s="245">
        <f>VLOOKUP($A89,'Table 20 data'!$A$9:$W$184,$B$4+'Table 20 data'!G$4,0)</f>
        <v>2432</v>
      </c>
      <c r="H89" s="246">
        <f>VLOOKUP($A89,'Table 20 data'!$A$9:$W$184,$B$4+'Table 20 data'!H$4,0)</f>
        <v>72.3</v>
      </c>
      <c r="I89" s="245">
        <f>VLOOKUP($A89,'Table 20 data'!$A$9:$W$184,$B$4+'Table 20 data'!I$4,0)</f>
        <v>2518</v>
      </c>
      <c r="J89" s="246">
        <f>VLOOKUP($A89,'Table 20 data'!$A$9:$W$184,$B$4+'Table 20 data'!J$4,0)</f>
        <v>69.8</v>
      </c>
      <c r="K89" s="245">
        <f>VLOOKUP($A89,'Table 20 data'!$A$9:$W$184,$B$4+'Table 20 data'!K$4,0)</f>
        <v>2549</v>
      </c>
      <c r="L89" s="246">
        <f>VLOOKUP($A89,'Table 20 data'!$A$9:$W$184,$B$4+'Table 20 data'!L$4,0)</f>
        <v>71</v>
      </c>
      <c r="M89" s="136"/>
    </row>
    <row r="90" spans="1:13" ht="11.25" customHeight="1" x14ac:dyDescent="0.2">
      <c r="A90" s="125" t="s">
        <v>164</v>
      </c>
      <c r="B90" s="142" t="s">
        <v>165</v>
      </c>
      <c r="C90" s="245">
        <f>VLOOKUP($A90,'Table 20 data'!$A$9:$W$184,$B$4+'Table 20 data'!C$4,0)</f>
        <v>6076</v>
      </c>
      <c r="D90" s="246">
        <f>VLOOKUP($A90,'Table 20 data'!$A$9:$W$184,$B$4+'Table 20 data'!D$4,0)</f>
        <v>63.3</v>
      </c>
      <c r="E90" s="245">
        <f>VLOOKUP($A90,'Table 20 data'!$A$9:$W$184,$B$4+'Table 20 data'!E$4,0)</f>
        <v>5954</v>
      </c>
      <c r="F90" s="246">
        <f>VLOOKUP($A90,'Table 20 data'!$A$9:$W$184,$B$4+'Table 20 data'!F$4,0)</f>
        <v>69</v>
      </c>
      <c r="G90" s="245">
        <f>VLOOKUP($A90,'Table 20 data'!$A$9:$W$184,$B$4+'Table 20 data'!G$4,0)</f>
        <v>5849</v>
      </c>
      <c r="H90" s="246">
        <f>VLOOKUP($A90,'Table 20 data'!$A$9:$W$184,$B$4+'Table 20 data'!H$4,0)</f>
        <v>72.099999999999994</v>
      </c>
      <c r="I90" s="245">
        <f>VLOOKUP($A90,'Table 20 data'!$A$9:$W$184,$B$4+'Table 20 data'!I$4,0)</f>
        <v>5891</v>
      </c>
      <c r="J90" s="246">
        <f>VLOOKUP($A90,'Table 20 data'!$A$9:$W$184,$B$4+'Table 20 data'!J$4,0)</f>
        <v>69.900000000000006</v>
      </c>
      <c r="K90" s="245">
        <f>VLOOKUP($A90,'Table 20 data'!$A$9:$W$184,$B$4+'Table 20 data'!K$4,0)</f>
        <v>5946</v>
      </c>
      <c r="L90" s="246">
        <f>VLOOKUP($A90,'Table 20 data'!$A$9:$W$184,$B$4+'Table 20 data'!L$4,0)</f>
        <v>73.3</v>
      </c>
      <c r="M90" s="136"/>
    </row>
    <row r="91" spans="1:13" ht="11.25" customHeight="1" x14ac:dyDescent="0.2">
      <c r="A91" s="3"/>
      <c r="B91" s="142"/>
      <c r="C91" s="247"/>
      <c r="D91" s="256"/>
      <c r="E91" s="247"/>
      <c r="F91" s="256"/>
      <c r="G91" s="247"/>
      <c r="H91" s="249"/>
      <c r="I91" s="250"/>
      <c r="J91" s="250"/>
      <c r="K91" s="250"/>
      <c r="L91" s="250"/>
      <c r="M91" s="136"/>
    </row>
    <row r="92" spans="1:13" s="98" customFormat="1" ht="11.25" customHeight="1" x14ac:dyDescent="0.2">
      <c r="A92" s="17" t="s">
        <v>383</v>
      </c>
      <c r="B92" s="92" t="s">
        <v>166</v>
      </c>
      <c r="C92" s="243">
        <f>VLOOKUP($A92,'Table 20 data'!$A$9:$W$184,$B$4+'Table 20 data'!C$4,0)</f>
        <v>63607</v>
      </c>
      <c r="D92" s="244">
        <f>VLOOKUP($A92,'Table 20 data'!$A$9:$W$184,$B$4+'Table 20 data'!D$4,0)</f>
        <v>65.8</v>
      </c>
      <c r="E92" s="243">
        <f>VLOOKUP($A92,'Table 20 data'!$A$9:$W$184,$B$4+'Table 20 data'!E$4,0)</f>
        <v>64219</v>
      </c>
      <c r="F92" s="244">
        <f>VLOOKUP($A92,'Table 20 data'!$A$9:$W$184,$B$4+'Table 20 data'!F$4,0)</f>
        <v>70.2</v>
      </c>
      <c r="G92" s="243">
        <f>VLOOKUP($A92,'Table 20 data'!$A$9:$W$184,$B$4+'Table 20 data'!G$4,0)</f>
        <v>62297</v>
      </c>
      <c r="H92" s="244">
        <f>VLOOKUP($A92,'Table 20 data'!$A$9:$W$184,$B$4+'Table 20 data'!H$4,0)</f>
        <v>71.8</v>
      </c>
      <c r="I92" s="243">
        <f>VLOOKUP($A92,'Table 20 data'!$A$9:$W$184,$B$4+'Table 20 data'!I$4,0)</f>
        <v>61788</v>
      </c>
      <c r="J92" s="244">
        <f>VLOOKUP($A92,'Table 20 data'!$A$9:$W$184,$B$4+'Table 20 data'!J$4,0)</f>
        <v>66.5</v>
      </c>
      <c r="K92" s="243">
        <f>VLOOKUP($A92,'Table 20 data'!$A$9:$W$184,$B$4+'Table 20 data'!K$4,0)</f>
        <v>63261</v>
      </c>
      <c r="L92" s="244">
        <f>VLOOKUP($A92,'Table 20 data'!$A$9:$W$184,$B$4+'Table 20 data'!L$4,0)</f>
        <v>68.900000000000006</v>
      </c>
      <c r="M92" s="136"/>
    </row>
    <row r="93" spans="1:13" ht="11.25" customHeight="1" x14ac:dyDescent="0.2">
      <c r="A93" s="125" t="s">
        <v>167</v>
      </c>
      <c r="B93" s="126" t="s">
        <v>168</v>
      </c>
      <c r="C93" s="245">
        <f>VLOOKUP($A93,'Table 20 data'!$A$9:$W$184,$B$4+'Table 20 data'!C$4,0)</f>
        <v>1784</v>
      </c>
      <c r="D93" s="246">
        <f>VLOOKUP($A93,'Table 20 data'!$A$9:$W$184,$B$4+'Table 20 data'!D$4,0)</f>
        <v>65.3</v>
      </c>
      <c r="E93" s="245">
        <f>VLOOKUP($A93,'Table 20 data'!$A$9:$W$184,$B$4+'Table 20 data'!E$4,0)</f>
        <v>1777</v>
      </c>
      <c r="F93" s="246">
        <f>VLOOKUP($A93,'Table 20 data'!$A$9:$W$184,$B$4+'Table 20 data'!F$4,0)</f>
        <v>69</v>
      </c>
      <c r="G93" s="245">
        <f>VLOOKUP($A93,'Table 20 data'!$A$9:$W$184,$B$4+'Table 20 data'!G$4,0)</f>
        <v>1714</v>
      </c>
      <c r="H93" s="246">
        <f>VLOOKUP($A93,'Table 20 data'!$A$9:$W$184,$B$4+'Table 20 data'!H$4,0)</f>
        <v>75.3</v>
      </c>
      <c r="I93" s="245">
        <f>VLOOKUP($A93,'Table 20 data'!$A$9:$W$184,$B$4+'Table 20 data'!I$4,0)</f>
        <v>1767</v>
      </c>
      <c r="J93" s="246">
        <f>VLOOKUP($A93,'Table 20 data'!$A$9:$W$184,$B$4+'Table 20 data'!J$4,0)</f>
        <v>65.8</v>
      </c>
      <c r="K93" s="245">
        <f>VLOOKUP($A93,'Table 20 data'!$A$9:$W$184,$B$4+'Table 20 data'!K$4,0)</f>
        <v>1809</v>
      </c>
      <c r="L93" s="246">
        <f>VLOOKUP($A93,'Table 20 data'!$A$9:$W$184,$B$4+'Table 20 data'!L$4,0)</f>
        <v>70.400000000000006</v>
      </c>
      <c r="M93" s="136"/>
    </row>
    <row r="94" spans="1:13" ht="11.25" customHeight="1" x14ac:dyDescent="0.2">
      <c r="A94" s="125" t="s">
        <v>169</v>
      </c>
      <c r="B94" s="142" t="s">
        <v>170</v>
      </c>
      <c r="C94" s="245">
        <f>VLOOKUP($A94,'Table 20 data'!$A$9:$W$184,$B$4+'Table 20 data'!C$4,0)</f>
        <v>5703</v>
      </c>
      <c r="D94" s="246">
        <f>VLOOKUP($A94,'Table 20 data'!$A$9:$W$184,$B$4+'Table 20 data'!D$4,0)</f>
        <v>69</v>
      </c>
      <c r="E94" s="245">
        <f>VLOOKUP($A94,'Table 20 data'!$A$9:$W$184,$B$4+'Table 20 data'!E$4,0)</f>
        <v>5931</v>
      </c>
      <c r="F94" s="246">
        <f>VLOOKUP($A94,'Table 20 data'!$A$9:$W$184,$B$4+'Table 20 data'!F$4,0)</f>
        <v>71.400000000000006</v>
      </c>
      <c r="G94" s="245">
        <f>VLOOKUP($A94,'Table 20 data'!$A$9:$W$184,$B$4+'Table 20 data'!G$4,0)</f>
        <v>5774</v>
      </c>
      <c r="H94" s="246">
        <f>VLOOKUP($A94,'Table 20 data'!$A$9:$W$184,$B$4+'Table 20 data'!H$4,0)</f>
        <v>72.400000000000006</v>
      </c>
      <c r="I94" s="245">
        <f>VLOOKUP($A94,'Table 20 data'!$A$9:$W$184,$B$4+'Table 20 data'!I$4,0)</f>
        <v>5719</v>
      </c>
      <c r="J94" s="246">
        <f>VLOOKUP($A94,'Table 20 data'!$A$9:$W$184,$B$4+'Table 20 data'!J$4,0)</f>
        <v>68</v>
      </c>
      <c r="K94" s="245">
        <f>VLOOKUP($A94,'Table 20 data'!$A$9:$W$184,$B$4+'Table 20 data'!K$4,0)</f>
        <v>5910</v>
      </c>
      <c r="L94" s="246">
        <f>VLOOKUP($A94,'Table 20 data'!$A$9:$W$184,$B$4+'Table 20 data'!L$4,0)</f>
        <v>70.5</v>
      </c>
      <c r="M94" s="136"/>
    </row>
    <row r="95" spans="1:13" ht="11.25" customHeight="1" x14ac:dyDescent="0.2">
      <c r="A95" s="125" t="s">
        <v>171</v>
      </c>
      <c r="B95" s="126" t="s">
        <v>172</v>
      </c>
      <c r="C95" s="245">
        <f>VLOOKUP($A95,'Table 20 data'!$A$9:$W$184,$B$4+'Table 20 data'!C$4,0)</f>
        <v>2821</v>
      </c>
      <c r="D95" s="246">
        <f>VLOOKUP($A95,'Table 20 data'!$A$9:$W$184,$B$4+'Table 20 data'!D$4,0)</f>
        <v>63.6</v>
      </c>
      <c r="E95" s="245">
        <f>VLOOKUP($A95,'Table 20 data'!$A$9:$W$184,$B$4+'Table 20 data'!E$4,0)</f>
        <v>2944</v>
      </c>
      <c r="F95" s="246">
        <f>VLOOKUP($A95,'Table 20 data'!$A$9:$W$184,$B$4+'Table 20 data'!F$4,0)</f>
        <v>67.5</v>
      </c>
      <c r="G95" s="245">
        <f>VLOOKUP($A95,'Table 20 data'!$A$9:$W$184,$B$4+'Table 20 data'!G$4,0)</f>
        <v>2780</v>
      </c>
      <c r="H95" s="246">
        <f>VLOOKUP($A95,'Table 20 data'!$A$9:$W$184,$B$4+'Table 20 data'!H$4,0)</f>
        <v>71.099999999999994</v>
      </c>
      <c r="I95" s="245">
        <f>VLOOKUP($A95,'Table 20 data'!$A$9:$W$184,$B$4+'Table 20 data'!I$4,0)</f>
        <v>2861</v>
      </c>
      <c r="J95" s="246">
        <f>VLOOKUP($A95,'Table 20 data'!$A$9:$W$184,$B$4+'Table 20 data'!J$4,0)</f>
        <v>63.9</v>
      </c>
      <c r="K95" s="245">
        <f>VLOOKUP($A95,'Table 20 data'!$A$9:$W$184,$B$4+'Table 20 data'!K$4,0)</f>
        <v>2793</v>
      </c>
      <c r="L95" s="246">
        <f>VLOOKUP($A95,'Table 20 data'!$A$9:$W$184,$B$4+'Table 20 data'!L$4,0)</f>
        <v>64.2</v>
      </c>
      <c r="M95" s="136"/>
    </row>
    <row r="96" spans="1:13" ht="11.25" customHeight="1" x14ac:dyDescent="0.2">
      <c r="A96" s="125" t="s">
        <v>173</v>
      </c>
      <c r="B96" s="142" t="s">
        <v>174</v>
      </c>
      <c r="C96" s="245">
        <f>VLOOKUP($A96,'Table 20 data'!$A$9:$W$184,$B$4+'Table 20 data'!C$4,0)</f>
        <v>15833</v>
      </c>
      <c r="D96" s="246">
        <f>VLOOKUP($A96,'Table 20 data'!$A$9:$W$184,$B$4+'Table 20 data'!D$4,0)</f>
        <v>63.3</v>
      </c>
      <c r="E96" s="245">
        <f>VLOOKUP($A96,'Table 20 data'!$A$9:$W$184,$B$4+'Table 20 data'!E$4,0)</f>
        <v>15921</v>
      </c>
      <c r="F96" s="246">
        <f>VLOOKUP($A96,'Table 20 data'!$A$9:$W$184,$B$4+'Table 20 data'!F$4,0)</f>
        <v>68.599999999999994</v>
      </c>
      <c r="G96" s="245">
        <f>VLOOKUP($A96,'Table 20 data'!$A$9:$W$184,$B$4+'Table 20 data'!G$4,0)</f>
        <v>15281</v>
      </c>
      <c r="H96" s="246">
        <f>VLOOKUP($A96,'Table 20 data'!$A$9:$W$184,$B$4+'Table 20 data'!H$4,0)</f>
        <v>71.599999999999994</v>
      </c>
      <c r="I96" s="245">
        <f>VLOOKUP($A96,'Table 20 data'!$A$9:$W$184,$B$4+'Table 20 data'!I$4,0)</f>
        <v>15143</v>
      </c>
      <c r="J96" s="246">
        <f>VLOOKUP($A96,'Table 20 data'!$A$9:$W$184,$B$4+'Table 20 data'!J$4,0)</f>
        <v>66.5</v>
      </c>
      <c r="K96" s="245">
        <f>VLOOKUP($A96,'Table 20 data'!$A$9:$W$184,$B$4+'Table 20 data'!K$4,0)</f>
        <v>15315</v>
      </c>
      <c r="L96" s="246">
        <f>VLOOKUP($A96,'Table 20 data'!$A$9:$W$184,$B$4+'Table 20 data'!L$4,0)</f>
        <v>69.2</v>
      </c>
      <c r="M96" s="136"/>
    </row>
    <row r="97" spans="1:13" ht="11.25" customHeight="1" x14ac:dyDescent="0.2">
      <c r="A97" s="125" t="s">
        <v>175</v>
      </c>
      <c r="B97" s="142" t="s">
        <v>176</v>
      </c>
      <c r="C97" s="245">
        <f>VLOOKUP($A97,'Table 20 data'!$A$9:$W$184,$B$4+'Table 20 data'!C$4,0)</f>
        <v>12715</v>
      </c>
      <c r="D97" s="246">
        <f>VLOOKUP($A97,'Table 20 data'!$A$9:$W$184,$B$4+'Table 20 data'!D$4,0)</f>
        <v>70.5</v>
      </c>
      <c r="E97" s="245">
        <f>VLOOKUP($A97,'Table 20 data'!$A$9:$W$184,$B$4+'Table 20 data'!E$4,0)</f>
        <v>12800</v>
      </c>
      <c r="F97" s="246">
        <f>VLOOKUP($A97,'Table 20 data'!$A$9:$W$184,$B$4+'Table 20 data'!F$4,0)</f>
        <v>75.5</v>
      </c>
      <c r="G97" s="245">
        <f>VLOOKUP($A97,'Table 20 data'!$A$9:$W$184,$B$4+'Table 20 data'!G$4,0)</f>
        <v>12568</v>
      </c>
      <c r="H97" s="246">
        <f>VLOOKUP($A97,'Table 20 data'!$A$9:$W$184,$B$4+'Table 20 data'!H$4,0)</f>
        <v>76</v>
      </c>
      <c r="I97" s="245">
        <f>VLOOKUP($A97,'Table 20 data'!$A$9:$W$184,$B$4+'Table 20 data'!I$4,0)</f>
        <v>12331</v>
      </c>
      <c r="J97" s="246">
        <f>VLOOKUP($A97,'Table 20 data'!$A$9:$W$184,$B$4+'Table 20 data'!J$4,0)</f>
        <v>70</v>
      </c>
      <c r="K97" s="245">
        <f>VLOOKUP($A97,'Table 20 data'!$A$9:$W$184,$B$4+'Table 20 data'!K$4,0)</f>
        <v>12693</v>
      </c>
      <c r="L97" s="246">
        <f>VLOOKUP($A97,'Table 20 data'!$A$9:$W$184,$B$4+'Table 20 data'!L$4,0)</f>
        <v>72.099999999999994</v>
      </c>
      <c r="M97" s="136"/>
    </row>
    <row r="98" spans="1:13" ht="11.25" customHeight="1" x14ac:dyDescent="0.2">
      <c r="A98" s="125" t="s">
        <v>177</v>
      </c>
      <c r="B98" s="142" t="s">
        <v>178</v>
      </c>
      <c r="C98" s="245">
        <f>VLOOKUP($A98,'Table 20 data'!$A$9:$W$184,$B$4+'Table 20 data'!C$4,0)</f>
        <v>2258</v>
      </c>
      <c r="D98" s="246">
        <f>VLOOKUP($A98,'Table 20 data'!$A$9:$W$184,$B$4+'Table 20 data'!D$4,0)</f>
        <v>63</v>
      </c>
      <c r="E98" s="245">
        <f>VLOOKUP($A98,'Table 20 data'!$A$9:$W$184,$B$4+'Table 20 data'!E$4,0)</f>
        <v>2251</v>
      </c>
      <c r="F98" s="246">
        <f>VLOOKUP($A98,'Table 20 data'!$A$9:$W$184,$B$4+'Table 20 data'!F$4,0)</f>
        <v>70.900000000000006</v>
      </c>
      <c r="G98" s="245">
        <f>VLOOKUP($A98,'Table 20 data'!$A$9:$W$184,$B$4+'Table 20 data'!G$4,0)</f>
        <v>2230</v>
      </c>
      <c r="H98" s="246">
        <f>VLOOKUP($A98,'Table 20 data'!$A$9:$W$184,$B$4+'Table 20 data'!H$4,0)</f>
        <v>68.8</v>
      </c>
      <c r="I98" s="245">
        <f>VLOOKUP($A98,'Table 20 data'!$A$9:$W$184,$B$4+'Table 20 data'!I$4,0)</f>
        <v>2307</v>
      </c>
      <c r="J98" s="246">
        <f>VLOOKUP($A98,'Table 20 data'!$A$9:$W$184,$B$4+'Table 20 data'!J$4,0)</f>
        <v>69.2</v>
      </c>
      <c r="K98" s="245">
        <f>VLOOKUP($A98,'Table 20 data'!$A$9:$W$184,$B$4+'Table 20 data'!K$4,0)</f>
        <v>2314</v>
      </c>
      <c r="L98" s="246">
        <f>VLOOKUP($A98,'Table 20 data'!$A$9:$W$184,$B$4+'Table 20 data'!L$4,0)</f>
        <v>72.900000000000006</v>
      </c>
      <c r="M98" s="136"/>
    </row>
    <row r="99" spans="1:13" ht="11.25" customHeight="1" x14ac:dyDescent="0.2">
      <c r="A99" s="125" t="s">
        <v>179</v>
      </c>
      <c r="B99" s="142" t="s">
        <v>180</v>
      </c>
      <c r="C99" s="245">
        <f>VLOOKUP($A99,'Table 20 data'!$A$9:$W$184,$B$4+'Table 20 data'!C$4,0)</f>
        <v>8692</v>
      </c>
      <c r="D99" s="246">
        <f>VLOOKUP($A99,'Table 20 data'!$A$9:$W$184,$B$4+'Table 20 data'!D$4,0)</f>
        <v>64.400000000000006</v>
      </c>
      <c r="E99" s="245">
        <f>VLOOKUP($A99,'Table 20 data'!$A$9:$W$184,$B$4+'Table 20 data'!E$4,0)</f>
        <v>8896</v>
      </c>
      <c r="F99" s="246">
        <f>VLOOKUP($A99,'Table 20 data'!$A$9:$W$184,$B$4+'Table 20 data'!F$4,0)</f>
        <v>66.599999999999994</v>
      </c>
      <c r="G99" s="245">
        <f>VLOOKUP($A99,'Table 20 data'!$A$9:$W$184,$B$4+'Table 20 data'!G$4,0)</f>
        <v>8636</v>
      </c>
      <c r="H99" s="246">
        <f>VLOOKUP($A99,'Table 20 data'!$A$9:$W$184,$B$4+'Table 20 data'!H$4,0)</f>
        <v>69.2</v>
      </c>
      <c r="I99" s="245">
        <f>VLOOKUP($A99,'Table 20 data'!$A$9:$W$184,$B$4+'Table 20 data'!I$4,0)</f>
        <v>8390</v>
      </c>
      <c r="J99" s="246">
        <f>VLOOKUP($A99,'Table 20 data'!$A$9:$W$184,$B$4+'Table 20 data'!J$4,0)</f>
        <v>66.7</v>
      </c>
      <c r="K99" s="245">
        <f>VLOOKUP($A99,'Table 20 data'!$A$9:$W$184,$B$4+'Table 20 data'!K$4,0)</f>
        <v>8722</v>
      </c>
      <c r="L99" s="246">
        <f>VLOOKUP($A99,'Table 20 data'!$A$9:$W$184,$B$4+'Table 20 data'!L$4,0)</f>
        <v>66.099999999999994</v>
      </c>
      <c r="M99" s="136"/>
    </row>
    <row r="100" spans="1:13" ht="11.25" customHeight="1" x14ac:dyDescent="0.2">
      <c r="A100" s="125" t="s">
        <v>181</v>
      </c>
      <c r="B100" s="142" t="s">
        <v>182</v>
      </c>
      <c r="C100" s="245">
        <f>VLOOKUP($A100,'Table 20 data'!$A$9:$W$184,$B$4+'Table 20 data'!C$4,0)</f>
        <v>2193</v>
      </c>
      <c r="D100" s="246">
        <f>VLOOKUP($A100,'Table 20 data'!$A$9:$W$184,$B$4+'Table 20 data'!D$4,0)</f>
        <v>54.7</v>
      </c>
      <c r="E100" s="245">
        <f>VLOOKUP($A100,'Table 20 data'!$A$9:$W$184,$B$4+'Table 20 data'!E$4,0)</f>
        <v>2158</v>
      </c>
      <c r="F100" s="246">
        <f>VLOOKUP($A100,'Table 20 data'!$A$9:$W$184,$B$4+'Table 20 data'!F$4,0)</f>
        <v>62.8</v>
      </c>
      <c r="G100" s="245">
        <f>VLOOKUP($A100,'Table 20 data'!$A$9:$W$184,$B$4+'Table 20 data'!G$4,0)</f>
        <v>2113</v>
      </c>
      <c r="H100" s="246">
        <f>VLOOKUP($A100,'Table 20 data'!$A$9:$W$184,$B$4+'Table 20 data'!H$4,0)</f>
        <v>63.1</v>
      </c>
      <c r="I100" s="245">
        <f>VLOOKUP($A100,'Table 20 data'!$A$9:$W$184,$B$4+'Table 20 data'!I$4,0)</f>
        <v>2099</v>
      </c>
      <c r="J100" s="246">
        <f>VLOOKUP($A100,'Table 20 data'!$A$9:$W$184,$B$4+'Table 20 data'!J$4,0)</f>
        <v>60.6</v>
      </c>
      <c r="K100" s="245">
        <f>VLOOKUP($A100,'Table 20 data'!$A$9:$W$184,$B$4+'Table 20 data'!K$4,0)</f>
        <v>2130</v>
      </c>
      <c r="L100" s="246">
        <f>VLOOKUP($A100,'Table 20 data'!$A$9:$W$184,$B$4+'Table 20 data'!L$4,0)</f>
        <v>67.3</v>
      </c>
      <c r="M100" s="136"/>
    </row>
    <row r="101" spans="1:13" ht="11.25" customHeight="1" x14ac:dyDescent="0.2">
      <c r="A101" s="125" t="s">
        <v>183</v>
      </c>
      <c r="B101" s="142" t="s">
        <v>184</v>
      </c>
      <c r="C101" s="245">
        <f>VLOOKUP($A101,'Table 20 data'!$A$9:$W$184,$B$4+'Table 20 data'!C$4,0)</f>
        <v>2152</v>
      </c>
      <c r="D101" s="246">
        <f>VLOOKUP($A101,'Table 20 data'!$A$9:$W$184,$B$4+'Table 20 data'!D$4,0)</f>
        <v>72.900000000000006</v>
      </c>
      <c r="E101" s="245">
        <f>VLOOKUP($A101,'Table 20 data'!$A$9:$W$184,$B$4+'Table 20 data'!E$4,0)</f>
        <v>2180</v>
      </c>
      <c r="F101" s="246">
        <f>VLOOKUP($A101,'Table 20 data'!$A$9:$W$184,$B$4+'Table 20 data'!F$4,0)</f>
        <v>75.7</v>
      </c>
      <c r="G101" s="245">
        <f>VLOOKUP($A101,'Table 20 data'!$A$9:$W$184,$B$4+'Table 20 data'!G$4,0)</f>
        <v>1999</v>
      </c>
      <c r="H101" s="246">
        <f>VLOOKUP($A101,'Table 20 data'!$A$9:$W$184,$B$4+'Table 20 data'!H$4,0)</f>
        <v>75.900000000000006</v>
      </c>
      <c r="I101" s="245">
        <f>VLOOKUP($A101,'Table 20 data'!$A$9:$W$184,$B$4+'Table 20 data'!I$4,0)</f>
        <v>2122</v>
      </c>
      <c r="J101" s="246">
        <f>VLOOKUP($A101,'Table 20 data'!$A$9:$W$184,$B$4+'Table 20 data'!J$4,0)</f>
        <v>68.5</v>
      </c>
      <c r="K101" s="245">
        <f>VLOOKUP($A101,'Table 20 data'!$A$9:$W$184,$B$4+'Table 20 data'!K$4,0)</f>
        <v>2166</v>
      </c>
      <c r="L101" s="246">
        <f>VLOOKUP($A101,'Table 20 data'!$A$9:$W$184,$B$4+'Table 20 data'!L$4,0)</f>
        <v>67.599999999999994</v>
      </c>
      <c r="M101" s="136"/>
    </row>
    <row r="102" spans="1:13" ht="11.25" customHeight="1" x14ac:dyDescent="0.2">
      <c r="A102" s="125" t="s">
        <v>185</v>
      </c>
      <c r="B102" s="142" t="s">
        <v>186</v>
      </c>
      <c r="C102" s="245">
        <f>VLOOKUP($A102,'Table 20 data'!$A$9:$W$184,$B$4+'Table 20 data'!C$4,0)</f>
        <v>7623</v>
      </c>
      <c r="D102" s="246">
        <f>VLOOKUP($A102,'Table 20 data'!$A$9:$W$184,$B$4+'Table 20 data'!D$4,0)</f>
        <v>65.7</v>
      </c>
      <c r="E102" s="245">
        <f>VLOOKUP($A102,'Table 20 data'!$A$9:$W$184,$B$4+'Table 20 data'!E$4,0)</f>
        <v>7611</v>
      </c>
      <c r="F102" s="246">
        <f>VLOOKUP($A102,'Table 20 data'!$A$9:$W$184,$B$4+'Table 20 data'!F$4,0)</f>
        <v>69.3</v>
      </c>
      <c r="G102" s="245">
        <f>VLOOKUP($A102,'Table 20 data'!$A$9:$W$184,$B$4+'Table 20 data'!G$4,0)</f>
        <v>7488</v>
      </c>
      <c r="H102" s="246">
        <f>VLOOKUP($A102,'Table 20 data'!$A$9:$W$184,$B$4+'Table 20 data'!H$4,0)</f>
        <v>69.7</v>
      </c>
      <c r="I102" s="245">
        <f>VLOOKUP($A102,'Table 20 data'!$A$9:$W$184,$B$4+'Table 20 data'!I$4,0)</f>
        <v>7373</v>
      </c>
      <c r="J102" s="246">
        <f>VLOOKUP($A102,'Table 20 data'!$A$9:$W$184,$B$4+'Table 20 data'!J$4,0)</f>
        <v>61.1</v>
      </c>
      <c r="K102" s="245">
        <f>VLOOKUP($A102,'Table 20 data'!$A$9:$W$184,$B$4+'Table 20 data'!K$4,0)</f>
        <v>7613</v>
      </c>
      <c r="L102" s="246">
        <f>VLOOKUP($A102,'Table 20 data'!$A$9:$W$184,$B$4+'Table 20 data'!L$4,0)</f>
        <v>65.400000000000006</v>
      </c>
      <c r="M102" s="136"/>
    </row>
    <row r="103" spans="1:13" ht="11.25" customHeight="1" x14ac:dyDescent="0.2">
      <c r="A103" s="125" t="s">
        <v>187</v>
      </c>
      <c r="B103" s="142" t="s">
        <v>188</v>
      </c>
      <c r="C103" s="245">
        <f>VLOOKUP($A103,'Table 20 data'!$A$9:$W$184,$B$4+'Table 20 data'!C$4,0)</f>
        <v>1833</v>
      </c>
      <c r="D103" s="246">
        <f>VLOOKUP($A103,'Table 20 data'!$A$9:$W$184,$B$4+'Table 20 data'!D$4,0)</f>
        <v>63.3</v>
      </c>
      <c r="E103" s="245">
        <f>VLOOKUP($A103,'Table 20 data'!$A$9:$W$184,$B$4+'Table 20 data'!E$4,0)</f>
        <v>1750</v>
      </c>
      <c r="F103" s="246">
        <f>VLOOKUP($A103,'Table 20 data'!$A$9:$W$184,$B$4+'Table 20 data'!F$4,0)</f>
        <v>71.3</v>
      </c>
      <c r="G103" s="245">
        <f>VLOOKUP($A103,'Table 20 data'!$A$9:$W$184,$B$4+'Table 20 data'!G$4,0)</f>
        <v>1714</v>
      </c>
      <c r="H103" s="246">
        <f>VLOOKUP($A103,'Table 20 data'!$A$9:$W$184,$B$4+'Table 20 data'!H$4,0)</f>
        <v>71.8</v>
      </c>
      <c r="I103" s="245">
        <f>VLOOKUP($A103,'Table 20 data'!$A$9:$W$184,$B$4+'Table 20 data'!I$4,0)</f>
        <v>1676</v>
      </c>
      <c r="J103" s="246">
        <f>VLOOKUP($A103,'Table 20 data'!$A$9:$W$184,$B$4+'Table 20 data'!J$4,0)</f>
        <v>67.099999999999994</v>
      </c>
      <c r="K103" s="245">
        <f>VLOOKUP($A103,'Table 20 data'!$A$9:$W$184,$B$4+'Table 20 data'!K$4,0)</f>
        <v>1796</v>
      </c>
      <c r="L103" s="246">
        <f>VLOOKUP($A103,'Table 20 data'!$A$9:$W$184,$B$4+'Table 20 data'!L$4,0)</f>
        <v>72.3</v>
      </c>
      <c r="M103" s="136"/>
    </row>
    <row r="104" spans="1:13" ht="11.25" customHeight="1" x14ac:dyDescent="0.2">
      <c r="A104" s="3"/>
      <c r="B104" s="142"/>
      <c r="C104" s="247"/>
      <c r="D104" s="256"/>
      <c r="E104" s="247"/>
      <c r="F104" s="256"/>
      <c r="G104" s="247"/>
      <c r="H104" s="249"/>
      <c r="I104" s="250"/>
      <c r="J104" s="250"/>
      <c r="K104" s="250"/>
      <c r="L104" s="250"/>
      <c r="M104" s="136"/>
    </row>
    <row r="105" spans="1:13" s="98" customFormat="1" ht="11.25" customHeight="1" x14ac:dyDescent="0.2">
      <c r="A105" s="17" t="s">
        <v>384</v>
      </c>
      <c r="B105" s="92" t="s">
        <v>189</v>
      </c>
      <c r="C105" s="243">
        <f>VLOOKUP($A105,'Table 20 data'!$A$9:$W$184,$B$4+'Table 20 data'!C$4,0)</f>
        <v>68991</v>
      </c>
      <c r="D105" s="244">
        <f>VLOOKUP($A105,'Table 20 data'!$A$9:$W$184,$B$4+'Table 20 data'!D$4,0)</f>
        <v>70.599999999999994</v>
      </c>
      <c r="E105" s="243">
        <f>VLOOKUP($A105,'Table 20 data'!$A$9:$W$184,$B$4+'Table 20 data'!E$4,0)</f>
        <v>69901</v>
      </c>
      <c r="F105" s="244">
        <f>VLOOKUP($A105,'Table 20 data'!$A$9:$W$184,$B$4+'Table 20 data'!F$4,0)</f>
        <v>74.599999999999994</v>
      </c>
      <c r="G105" s="243">
        <f>VLOOKUP($A105,'Table 20 data'!$A$9:$W$184,$B$4+'Table 20 data'!G$4,0)</f>
        <v>69227</v>
      </c>
      <c r="H105" s="244">
        <f>VLOOKUP($A105,'Table 20 data'!$A$9:$W$184,$B$4+'Table 20 data'!H$4,0)</f>
        <v>77.099999999999994</v>
      </c>
      <c r="I105" s="243">
        <f>VLOOKUP($A105,'Table 20 data'!$A$9:$W$184,$B$4+'Table 20 data'!I$4,0)</f>
        <v>70028</v>
      </c>
      <c r="J105" s="244">
        <f>VLOOKUP($A105,'Table 20 data'!$A$9:$W$184,$B$4+'Table 20 data'!J$4,0)</f>
        <v>73.8</v>
      </c>
      <c r="K105" s="243">
        <f>VLOOKUP($A105,'Table 20 data'!$A$9:$W$184,$B$4+'Table 20 data'!K$4,0)</f>
        <v>72176</v>
      </c>
      <c r="L105" s="244">
        <f>VLOOKUP($A105,'Table 20 data'!$A$9:$W$184,$B$4+'Table 20 data'!L$4,0)</f>
        <v>77</v>
      </c>
      <c r="M105" s="136"/>
    </row>
    <row r="106" spans="1:13" s="98" customFormat="1" ht="11.25" customHeight="1" x14ac:dyDescent="0.2">
      <c r="A106" s="16" t="s">
        <v>190</v>
      </c>
      <c r="B106" s="92" t="s">
        <v>191</v>
      </c>
      <c r="C106" s="243">
        <f>VLOOKUP($A106,'Table 20 data'!$A$9:$W$184,$B$4+'Table 20 data'!C$4,0)</f>
        <v>21201</v>
      </c>
      <c r="D106" s="244">
        <f>VLOOKUP($A106,'Table 20 data'!$A$9:$W$184,$B$4+'Table 20 data'!D$4,0)</f>
        <v>68.599999999999994</v>
      </c>
      <c r="E106" s="243">
        <f>VLOOKUP($A106,'Table 20 data'!$A$9:$W$184,$B$4+'Table 20 data'!E$4,0)</f>
        <v>21402</v>
      </c>
      <c r="F106" s="244">
        <f>VLOOKUP($A106,'Table 20 data'!$A$9:$W$184,$B$4+'Table 20 data'!F$4,0)</f>
        <v>72.3</v>
      </c>
      <c r="G106" s="243">
        <f>VLOOKUP($A106,'Table 20 data'!$A$9:$W$184,$B$4+'Table 20 data'!G$4,0)</f>
        <v>21423</v>
      </c>
      <c r="H106" s="244">
        <f>VLOOKUP($A106,'Table 20 data'!$A$9:$W$184,$B$4+'Table 20 data'!H$4,0)</f>
        <v>76.2</v>
      </c>
      <c r="I106" s="243">
        <f>VLOOKUP($A106,'Table 20 data'!$A$9:$W$184,$B$4+'Table 20 data'!I$4,0)</f>
        <v>22207</v>
      </c>
      <c r="J106" s="244">
        <f>VLOOKUP($A106,'Table 20 data'!$A$9:$W$184,$B$4+'Table 20 data'!J$4,0)</f>
        <v>74</v>
      </c>
      <c r="K106" s="243">
        <f>VLOOKUP($A106,'Table 20 data'!$A$9:$W$184,$B$4+'Table 20 data'!K$4,0)</f>
        <v>22913</v>
      </c>
      <c r="L106" s="244">
        <f>VLOOKUP($A106,'Table 20 data'!$A$9:$W$184,$B$4+'Table 20 data'!L$4,0)</f>
        <v>76.900000000000006</v>
      </c>
      <c r="M106" s="136"/>
    </row>
    <row r="107" spans="1:13" ht="11.25" customHeight="1" x14ac:dyDescent="0.2">
      <c r="A107" s="125" t="s">
        <v>192</v>
      </c>
      <c r="B107" s="142" t="s">
        <v>193</v>
      </c>
      <c r="C107" s="245">
        <f>VLOOKUP($A107,'Table 20 data'!$A$9:$W$184,$B$4+'Table 20 data'!C$4,0)</f>
        <v>1382</v>
      </c>
      <c r="D107" s="246">
        <f>VLOOKUP($A107,'Table 20 data'!$A$9:$W$184,$B$4+'Table 20 data'!D$4,0)</f>
        <v>71.599999999999994</v>
      </c>
      <c r="E107" s="245">
        <f>VLOOKUP($A107,'Table 20 data'!$A$9:$W$184,$B$4+'Table 20 data'!E$4,0)</f>
        <v>1450</v>
      </c>
      <c r="F107" s="246">
        <f>VLOOKUP($A107,'Table 20 data'!$A$9:$W$184,$B$4+'Table 20 data'!F$4,0)</f>
        <v>72.8</v>
      </c>
      <c r="G107" s="245">
        <f>VLOOKUP($A107,'Table 20 data'!$A$9:$W$184,$B$4+'Table 20 data'!G$4,0)</f>
        <v>1420</v>
      </c>
      <c r="H107" s="246">
        <f>VLOOKUP($A107,'Table 20 data'!$A$9:$W$184,$B$4+'Table 20 data'!H$4,0)</f>
        <v>77</v>
      </c>
      <c r="I107" s="245">
        <f>VLOOKUP($A107,'Table 20 data'!$A$9:$W$184,$B$4+'Table 20 data'!I$4,0)</f>
        <v>1431</v>
      </c>
      <c r="J107" s="246">
        <f>VLOOKUP($A107,'Table 20 data'!$A$9:$W$184,$B$4+'Table 20 data'!J$4,0)</f>
        <v>73.599999999999994</v>
      </c>
      <c r="K107" s="245">
        <f>VLOOKUP($A107,'Table 20 data'!$A$9:$W$184,$B$4+'Table 20 data'!K$4,0)</f>
        <v>1462</v>
      </c>
      <c r="L107" s="246">
        <f>VLOOKUP($A107,'Table 20 data'!$A$9:$W$184,$B$4+'Table 20 data'!L$4,0)</f>
        <v>73.900000000000006</v>
      </c>
      <c r="M107" s="136"/>
    </row>
    <row r="108" spans="1:13" ht="11.25" customHeight="1" x14ac:dyDescent="0.2">
      <c r="A108" s="125" t="s">
        <v>194</v>
      </c>
      <c r="B108" s="142" t="s">
        <v>195</v>
      </c>
      <c r="C108" s="245" t="str">
        <f>VLOOKUP($A108,'Table 20 data'!$A$9:$W$184,$B$4+'Table 20 data'!C$4,0)</f>
        <v>.</v>
      </c>
      <c r="D108" s="246" t="str">
        <f>VLOOKUP($A108,'Table 20 data'!$A$9:$W$184,$B$4+'Table 20 data'!D$4,0)</f>
        <v>.</v>
      </c>
      <c r="E108" s="245" t="str">
        <f>VLOOKUP($A108,'Table 20 data'!$A$9:$W$184,$B$4+'Table 20 data'!E$4,0)</f>
        <v>.</v>
      </c>
      <c r="F108" s="246" t="str">
        <f>VLOOKUP($A108,'Table 20 data'!$A$9:$W$184,$B$4+'Table 20 data'!F$4,0)</f>
        <v>.</v>
      </c>
      <c r="G108" s="245" t="str">
        <f>VLOOKUP($A108,'Table 20 data'!$A$9:$W$184,$B$4+'Table 20 data'!G$4,0)</f>
        <v>.</v>
      </c>
      <c r="H108" s="246" t="str">
        <f>VLOOKUP($A108,'Table 20 data'!$A$9:$W$184,$B$4+'Table 20 data'!H$4,0)</f>
        <v>.</v>
      </c>
      <c r="I108" s="245" t="str">
        <f>VLOOKUP($A108,'Table 20 data'!$A$9:$W$184,$B$4+'Table 20 data'!I$4,0)</f>
        <v>.</v>
      </c>
      <c r="J108" s="246" t="str">
        <f>VLOOKUP($A108,'Table 20 data'!$A$9:$W$184,$B$4+'Table 20 data'!J$4,0)</f>
        <v>.</v>
      </c>
      <c r="K108" s="245" t="str">
        <f>VLOOKUP($A108,'Table 20 data'!$A$9:$W$184,$B$4+'Table 20 data'!K$4,0)</f>
        <v>.</v>
      </c>
      <c r="L108" s="246" t="str">
        <f>VLOOKUP($A108,'Table 20 data'!$A$9:$W$184,$B$4+'Table 20 data'!L$4,0)</f>
        <v>.</v>
      </c>
      <c r="M108" s="136"/>
    </row>
    <row r="109" spans="1:13" ht="11.25" customHeight="1" x14ac:dyDescent="0.2">
      <c r="A109" s="125" t="s">
        <v>197</v>
      </c>
      <c r="B109" s="142" t="s">
        <v>198</v>
      </c>
      <c r="C109" s="245">
        <f>VLOOKUP($A109,'Table 20 data'!$A$9:$W$184,$B$4+'Table 20 data'!C$4,0)</f>
        <v>1268</v>
      </c>
      <c r="D109" s="246">
        <f>VLOOKUP($A109,'Table 20 data'!$A$9:$W$184,$B$4+'Table 20 data'!D$4,0)</f>
        <v>69.7</v>
      </c>
      <c r="E109" s="245">
        <f>VLOOKUP($A109,'Table 20 data'!$A$9:$W$184,$B$4+'Table 20 data'!E$4,0)</f>
        <v>1254</v>
      </c>
      <c r="F109" s="246">
        <f>VLOOKUP($A109,'Table 20 data'!$A$9:$W$184,$B$4+'Table 20 data'!F$4,0)</f>
        <v>77.400000000000006</v>
      </c>
      <c r="G109" s="245">
        <f>VLOOKUP($A109,'Table 20 data'!$A$9:$W$184,$B$4+'Table 20 data'!G$4,0)</f>
        <v>1388</v>
      </c>
      <c r="H109" s="246">
        <f>VLOOKUP($A109,'Table 20 data'!$A$9:$W$184,$B$4+'Table 20 data'!H$4,0)</f>
        <v>77.099999999999994</v>
      </c>
      <c r="I109" s="245">
        <f>VLOOKUP($A109,'Table 20 data'!$A$9:$W$184,$B$4+'Table 20 data'!I$4,0)</f>
        <v>1488</v>
      </c>
      <c r="J109" s="246">
        <f>VLOOKUP($A109,'Table 20 data'!$A$9:$W$184,$B$4+'Table 20 data'!J$4,0)</f>
        <v>76.900000000000006</v>
      </c>
      <c r="K109" s="245">
        <f>VLOOKUP($A109,'Table 20 data'!$A$9:$W$184,$B$4+'Table 20 data'!K$4,0)</f>
        <v>1569</v>
      </c>
      <c r="L109" s="246">
        <f>VLOOKUP($A109,'Table 20 data'!$A$9:$W$184,$B$4+'Table 20 data'!L$4,0)</f>
        <v>76.400000000000006</v>
      </c>
      <c r="M109" s="136"/>
    </row>
    <row r="110" spans="1:13" ht="11.25" customHeight="1" x14ac:dyDescent="0.2">
      <c r="A110" s="125" t="s">
        <v>199</v>
      </c>
      <c r="B110" s="142" t="s">
        <v>200</v>
      </c>
      <c r="C110" s="245">
        <f>VLOOKUP($A110,'Table 20 data'!$A$9:$W$184,$B$4+'Table 20 data'!C$4,0)</f>
        <v>974</v>
      </c>
      <c r="D110" s="246">
        <f>VLOOKUP($A110,'Table 20 data'!$A$9:$W$184,$B$4+'Table 20 data'!D$4,0)</f>
        <v>76.400000000000006</v>
      </c>
      <c r="E110" s="245">
        <f>VLOOKUP($A110,'Table 20 data'!$A$9:$W$184,$B$4+'Table 20 data'!E$4,0)</f>
        <v>956</v>
      </c>
      <c r="F110" s="246">
        <f>VLOOKUP($A110,'Table 20 data'!$A$9:$W$184,$B$4+'Table 20 data'!F$4,0)</f>
        <v>85</v>
      </c>
      <c r="G110" s="245">
        <f>VLOOKUP($A110,'Table 20 data'!$A$9:$W$184,$B$4+'Table 20 data'!G$4,0)</f>
        <v>979</v>
      </c>
      <c r="H110" s="246">
        <f>VLOOKUP($A110,'Table 20 data'!$A$9:$W$184,$B$4+'Table 20 data'!H$4,0)</f>
        <v>81.7</v>
      </c>
      <c r="I110" s="245">
        <f>VLOOKUP($A110,'Table 20 data'!$A$9:$W$184,$B$4+'Table 20 data'!I$4,0)</f>
        <v>1035</v>
      </c>
      <c r="J110" s="246">
        <f>VLOOKUP($A110,'Table 20 data'!$A$9:$W$184,$B$4+'Table 20 data'!J$4,0)</f>
        <v>74.599999999999994</v>
      </c>
      <c r="K110" s="245">
        <f>VLOOKUP($A110,'Table 20 data'!$A$9:$W$184,$B$4+'Table 20 data'!K$4,0)</f>
        <v>1089</v>
      </c>
      <c r="L110" s="246">
        <f>VLOOKUP($A110,'Table 20 data'!$A$9:$W$184,$B$4+'Table 20 data'!L$4,0)</f>
        <v>71.599999999999994</v>
      </c>
      <c r="M110" s="136"/>
    </row>
    <row r="111" spans="1:13" ht="11.25" customHeight="1" x14ac:dyDescent="0.2">
      <c r="A111" s="125" t="s">
        <v>201</v>
      </c>
      <c r="B111" s="142" t="s">
        <v>202</v>
      </c>
      <c r="C111" s="245">
        <f>VLOOKUP($A111,'Table 20 data'!$A$9:$W$184,$B$4+'Table 20 data'!C$4,0)</f>
        <v>1977</v>
      </c>
      <c r="D111" s="246">
        <f>VLOOKUP($A111,'Table 20 data'!$A$9:$W$184,$B$4+'Table 20 data'!D$4,0)</f>
        <v>66.900000000000006</v>
      </c>
      <c r="E111" s="245">
        <f>VLOOKUP($A111,'Table 20 data'!$A$9:$W$184,$B$4+'Table 20 data'!E$4,0)</f>
        <v>1971</v>
      </c>
      <c r="F111" s="246">
        <f>VLOOKUP($A111,'Table 20 data'!$A$9:$W$184,$B$4+'Table 20 data'!F$4,0)</f>
        <v>69.3</v>
      </c>
      <c r="G111" s="245">
        <f>VLOOKUP($A111,'Table 20 data'!$A$9:$W$184,$B$4+'Table 20 data'!G$4,0)</f>
        <v>1865</v>
      </c>
      <c r="H111" s="246">
        <f>VLOOKUP($A111,'Table 20 data'!$A$9:$W$184,$B$4+'Table 20 data'!H$4,0)</f>
        <v>77.5</v>
      </c>
      <c r="I111" s="245">
        <f>VLOOKUP($A111,'Table 20 data'!$A$9:$W$184,$B$4+'Table 20 data'!I$4,0)</f>
        <v>1960</v>
      </c>
      <c r="J111" s="246">
        <f>VLOOKUP($A111,'Table 20 data'!$A$9:$W$184,$B$4+'Table 20 data'!J$4,0)</f>
        <v>73.8</v>
      </c>
      <c r="K111" s="245">
        <f>VLOOKUP($A111,'Table 20 data'!$A$9:$W$184,$B$4+'Table 20 data'!K$4,0)</f>
        <v>2029</v>
      </c>
      <c r="L111" s="246">
        <f>VLOOKUP($A111,'Table 20 data'!$A$9:$W$184,$B$4+'Table 20 data'!L$4,0)</f>
        <v>77.599999999999994</v>
      </c>
      <c r="M111" s="136"/>
    </row>
    <row r="112" spans="1:13" ht="11.25" customHeight="1" x14ac:dyDescent="0.2">
      <c r="A112" s="125" t="s">
        <v>203</v>
      </c>
      <c r="B112" s="142" t="s">
        <v>204</v>
      </c>
      <c r="C112" s="245">
        <f>VLOOKUP($A112,'Table 20 data'!$A$9:$W$184,$B$4+'Table 20 data'!C$4,0)</f>
        <v>1308</v>
      </c>
      <c r="D112" s="246">
        <f>VLOOKUP($A112,'Table 20 data'!$A$9:$W$184,$B$4+'Table 20 data'!D$4,0)</f>
        <v>69.3</v>
      </c>
      <c r="E112" s="245">
        <f>VLOOKUP($A112,'Table 20 data'!$A$9:$W$184,$B$4+'Table 20 data'!E$4,0)</f>
        <v>1310</v>
      </c>
      <c r="F112" s="246">
        <f>VLOOKUP($A112,'Table 20 data'!$A$9:$W$184,$B$4+'Table 20 data'!F$4,0)</f>
        <v>69.400000000000006</v>
      </c>
      <c r="G112" s="245">
        <f>VLOOKUP($A112,'Table 20 data'!$A$9:$W$184,$B$4+'Table 20 data'!G$4,0)</f>
        <v>1242</v>
      </c>
      <c r="H112" s="246">
        <f>VLOOKUP($A112,'Table 20 data'!$A$9:$W$184,$B$4+'Table 20 data'!H$4,0)</f>
        <v>67.2</v>
      </c>
      <c r="I112" s="245">
        <f>VLOOKUP($A112,'Table 20 data'!$A$9:$W$184,$B$4+'Table 20 data'!I$4,0)</f>
        <v>1374</v>
      </c>
      <c r="J112" s="246">
        <f>VLOOKUP($A112,'Table 20 data'!$A$9:$W$184,$B$4+'Table 20 data'!J$4,0)</f>
        <v>68.599999999999994</v>
      </c>
      <c r="K112" s="245">
        <f>VLOOKUP($A112,'Table 20 data'!$A$9:$W$184,$B$4+'Table 20 data'!K$4,0)</f>
        <v>1356</v>
      </c>
      <c r="L112" s="246">
        <f>VLOOKUP($A112,'Table 20 data'!$A$9:$W$184,$B$4+'Table 20 data'!L$4,0)</f>
        <v>78.2</v>
      </c>
      <c r="M112" s="136"/>
    </row>
    <row r="113" spans="1:13" ht="11.25" customHeight="1" x14ac:dyDescent="0.2">
      <c r="A113" s="125" t="s">
        <v>205</v>
      </c>
      <c r="B113" s="142" t="s">
        <v>206</v>
      </c>
      <c r="C113" s="245">
        <f>VLOOKUP($A113,'Table 20 data'!$A$9:$W$184,$B$4+'Table 20 data'!C$4,0)</f>
        <v>555</v>
      </c>
      <c r="D113" s="246">
        <f>VLOOKUP($A113,'Table 20 data'!$A$9:$W$184,$B$4+'Table 20 data'!D$4,0)</f>
        <v>74.2</v>
      </c>
      <c r="E113" s="245">
        <f>VLOOKUP($A113,'Table 20 data'!$A$9:$W$184,$B$4+'Table 20 data'!E$4,0)</f>
        <v>536</v>
      </c>
      <c r="F113" s="246">
        <f>VLOOKUP($A113,'Table 20 data'!$A$9:$W$184,$B$4+'Table 20 data'!F$4,0)</f>
        <v>79.900000000000006</v>
      </c>
      <c r="G113" s="245">
        <f>VLOOKUP($A113,'Table 20 data'!$A$9:$W$184,$B$4+'Table 20 data'!G$4,0)</f>
        <v>565</v>
      </c>
      <c r="H113" s="246">
        <f>VLOOKUP($A113,'Table 20 data'!$A$9:$W$184,$B$4+'Table 20 data'!H$4,0)</f>
        <v>84.2</v>
      </c>
      <c r="I113" s="245">
        <f>VLOOKUP($A113,'Table 20 data'!$A$9:$W$184,$B$4+'Table 20 data'!I$4,0)</f>
        <v>591</v>
      </c>
      <c r="J113" s="246">
        <f>VLOOKUP($A113,'Table 20 data'!$A$9:$W$184,$B$4+'Table 20 data'!J$4,0)</f>
        <v>84.6</v>
      </c>
      <c r="K113" s="245">
        <f>VLOOKUP($A113,'Table 20 data'!$A$9:$W$184,$B$4+'Table 20 data'!K$4,0)</f>
        <v>598</v>
      </c>
      <c r="L113" s="246">
        <f>VLOOKUP($A113,'Table 20 data'!$A$9:$W$184,$B$4+'Table 20 data'!L$4,0)</f>
        <v>86</v>
      </c>
      <c r="M113" s="136"/>
    </row>
    <row r="114" spans="1:13" ht="11.25" customHeight="1" x14ac:dyDescent="0.2">
      <c r="A114" s="125" t="s">
        <v>207</v>
      </c>
      <c r="B114" s="142" t="s">
        <v>208</v>
      </c>
      <c r="C114" s="245">
        <f>VLOOKUP($A114,'Table 20 data'!$A$9:$W$184,$B$4+'Table 20 data'!C$4,0)</f>
        <v>1437</v>
      </c>
      <c r="D114" s="246">
        <f>VLOOKUP($A114,'Table 20 data'!$A$9:$W$184,$B$4+'Table 20 data'!D$4,0)</f>
        <v>68.900000000000006</v>
      </c>
      <c r="E114" s="245">
        <f>VLOOKUP($A114,'Table 20 data'!$A$9:$W$184,$B$4+'Table 20 data'!E$4,0)</f>
        <v>1514</v>
      </c>
      <c r="F114" s="246">
        <f>VLOOKUP($A114,'Table 20 data'!$A$9:$W$184,$B$4+'Table 20 data'!F$4,0)</f>
        <v>68.3</v>
      </c>
      <c r="G114" s="245">
        <f>VLOOKUP($A114,'Table 20 data'!$A$9:$W$184,$B$4+'Table 20 data'!G$4,0)</f>
        <v>1508</v>
      </c>
      <c r="H114" s="246">
        <f>VLOOKUP($A114,'Table 20 data'!$A$9:$W$184,$B$4+'Table 20 data'!H$4,0)</f>
        <v>73</v>
      </c>
      <c r="I114" s="245">
        <f>VLOOKUP($A114,'Table 20 data'!$A$9:$W$184,$B$4+'Table 20 data'!I$4,0)</f>
        <v>1679</v>
      </c>
      <c r="J114" s="246">
        <f>VLOOKUP($A114,'Table 20 data'!$A$9:$W$184,$B$4+'Table 20 data'!J$4,0)</f>
        <v>74.3</v>
      </c>
      <c r="K114" s="245">
        <f>VLOOKUP($A114,'Table 20 data'!$A$9:$W$184,$B$4+'Table 20 data'!K$4,0)</f>
        <v>1777</v>
      </c>
      <c r="L114" s="246">
        <f>VLOOKUP($A114,'Table 20 data'!$A$9:$W$184,$B$4+'Table 20 data'!L$4,0)</f>
        <v>76.599999999999994</v>
      </c>
      <c r="M114" s="136"/>
    </row>
    <row r="115" spans="1:13" ht="11.25" customHeight="1" x14ac:dyDescent="0.2">
      <c r="A115" s="125" t="s">
        <v>209</v>
      </c>
      <c r="B115" s="142" t="s">
        <v>210</v>
      </c>
      <c r="C115" s="245">
        <f>VLOOKUP($A115,'Table 20 data'!$A$9:$W$184,$B$4+'Table 20 data'!C$4,0)</f>
        <v>1977</v>
      </c>
      <c r="D115" s="246">
        <f>VLOOKUP($A115,'Table 20 data'!$A$9:$W$184,$B$4+'Table 20 data'!D$4,0)</f>
        <v>67.900000000000006</v>
      </c>
      <c r="E115" s="245">
        <f>VLOOKUP($A115,'Table 20 data'!$A$9:$W$184,$B$4+'Table 20 data'!E$4,0)</f>
        <v>2026</v>
      </c>
      <c r="F115" s="246">
        <f>VLOOKUP($A115,'Table 20 data'!$A$9:$W$184,$B$4+'Table 20 data'!F$4,0)</f>
        <v>67</v>
      </c>
      <c r="G115" s="245">
        <f>VLOOKUP($A115,'Table 20 data'!$A$9:$W$184,$B$4+'Table 20 data'!G$4,0)</f>
        <v>2012</v>
      </c>
      <c r="H115" s="246">
        <f>VLOOKUP($A115,'Table 20 data'!$A$9:$W$184,$B$4+'Table 20 data'!H$4,0)</f>
        <v>73.2</v>
      </c>
      <c r="I115" s="245">
        <f>VLOOKUP($A115,'Table 20 data'!$A$9:$W$184,$B$4+'Table 20 data'!I$4,0)</f>
        <v>2094</v>
      </c>
      <c r="J115" s="246">
        <f>VLOOKUP($A115,'Table 20 data'!$A$9:$W$184,$B$4+'Table 20 data'!J$4,0)</f>
        <v>69.599999999999994</v>
      </c>
      <c r="K115" s="245">
        <f>VLOOKUP($A115,'Table 20 data'!$A$9:$W$184,$B$4+'Table 20 data'!K$4,0)</f>
        <v>2197</v>
      </c>
      <c r="L115" s="246">
        <f>VLOOKUP($A115,'Table 20 data'!$A$9:$W$184,$B$4+'Table 20 data'!L$4,0)</f>
        <v>72</v>
      </c>
      <c r="M115" s="136"/>
    </row>
    <row r="116" spans="1:13" ht="11.25" customHeight="1" x14ac:dyDescent="0.2">
      <c r="A116" s="125" t="s">
        <v>211</v>
      </c>
      <c r="B116" s="142" t="s">
        <v>212</v>
      </c>
      <c r="C116" s="245">
        <f>VLOOKUP($A116,'Table 20 data'!$A$9:$W$184,$B$4+'Table 20 data'!C$4,0)</f>
        <v>3080</v>
      </c>
      <c r="D116" s="246">
        <f>VLOOKUP($A116,'Table 20 data'!$A$9:$W$184,$B$4+'Table 20 data'!D$4,0)</f>
        <v>68.5</v>
      </c>
      <c r="E116" s="245">
        <f>VLOOKUP($A116,'Table 20 data'!$A$9:$W$184,$B$4+'Table 20 data'!E$4,0)</f>
        <v>3020</v>
      </c>
      <c r="F116" s="246">
        <f>VLOOKUP($A116,'Table 20 data'!$A$9:$W$184,$B$4+'Table 20 data'!F$4,0)</f>
        <v>69.3</v>
      </c>
      <c r="G116" s="245">
        <f>VLOOKUP($A116,'Table 20 data'!$A$9:$W$184,$B$4+'Table 20 data'!G$4,0)</f>
        <v>2960</v>
      </c>
      <c r="H116" s="246">
        <f>VLOOKUP($A116,'Table 20 data'!$A$9:$W$184,$B$4+'Table 20 data'!H$4,0)</f>
        <v>75.3</v>
      </c>
      <c r="I116" s="245">
        <f>VLOOKUP($A116,'Table 20 data'!$A$9:$W$184,$B$4+'Table 20 data'!I$4,0)</f>
        <v>3182</v>
      </c>
      <c r="J116" s="246">
        <f>VLOOKUP($A116,'Table 20 data'!$A$9:$W$184,$B$4+'Table 20 data'!J$4,0)</f>
        <v>76.099999999999994</v>
      </c>
      <c r="K116" s="245">
        <f>VLOOKUP($A116,'Table 20 data'!$A$9:$W$184,$B$4+'Table 20 data'!K$4,0)</f>
        <v>3201</v>
      </c>
      <c r="L116" s="246">
        <f>VLOOKUP($A116,'Table 20 data'!$A$9:$W$184,$B$4+'Table 20 data'!L$4,0)</f>
        <v>77.400000000000006</v>
      </c>
      <c r="M116" s="136"/>
    </row>
    <row r="117" spans="1:13" ht="11.25" customHeight="1" x14ac:dyDescent="0.2">
      <c r="A117" s="125" t="s">
        <v>213</v>
      </c>
      <c r="B117" s="142" t="s">
        <v>214</v>
      </c>
      <c r="C117" s="245">
        <f>VLOOKUP($A117,'Table 20 data'!$A$9:$W$184,$B$4+'Table 20 data'!C$4,0)</f>
        <v>2155</v>
      </c>
      <c r="D117" s="246">
        <f>VLOOKUP($A117,'Table 20 data'!$A$9:$W$184,$B$4+'Table 20 data'!D$4,0)</f>
        <v>65.3</v>
      </c>
      <c r="E117" s="245">
        <f>VLOOKUP($A117,'Table 20 data'!$A$9:$W$184,$B$4+'Table 20 data'!E$4,0)</f>
        <v>2130</v>
      </c>
      <c r="F117" s="246">
        <f>VLOOKUP($A117,'Table 20 data'!$A$9:$W$184,$B$4+'Table 20 data'!F$4,0)</f>
        <v>73.8</v>
      </c>
      <c r="G117" s="245">
        <f>VLOOKUP($A117,'Table 20 data'!$A$9:$W$184,$B$4+'Table 20 data'!G$4,0)</f>
        <v>2115</v>
      </c>
      <c r="H117" s="246">
        <f>VLOOKUP($A117,'Table 20 data'!$A$9:$W$184,$B$4+'Table 20 data'!H$4,0)</f>
        <v>74.8</v>
      </c>
      <c r="I117" s="245">
        <f>VLOOKUP($A117,'Table 20 data'!$A$9:$W$184,$B$4+'Table 20 data'!I$4,0)</f>
        <v>2102</v>
      </c>
      <c r="J117" s="246">
        <f>VLOOKUP($A117,'Table 20 data'!$A$9:$W$184,$B$4+'Table 20 data'!J$4,0)</f>
        <v>75</v>
      </c>
      <c r="K117" s="245">
        <f>VLOOKUP($A117,'Table 20 data'!$A$9:$W$184,$B$4+'Table 20 data'!K$4,0)</f>
        <v>2161</v>
      </c>
      <c r="L117" s="246">
        <f>VLOOKUP($A117,'Table 20 data'!$A$9:$W$184,$B$4+'Table 20 data'!L$4,0)</f>
        <v>80.099999999999994</v>
      </c>
      <c r="M117" s="136"/>
    </row>
    <row r="118" spans="1:13" ht="11.25" customHeight="1" x14ac:dyDescent="0.2">
      <c r="A118" s="125" t="s">
        <v>215</v>
      </c>
      <c r="B118" s="142" t="s">
        <v>216</v>
      </c>
      <c r="C118" s="245">
        <f>VLOOKUP($A118,'Table 20 data'!$A$9:$W$184,$B$4+'Table 20 data'!C$4,0)</f>
        <v>2188</v>
      </c>
      <c r="D118" s="246">
        <f>VLOOKUP($A118,'Table 20 data'!$A$9:$W$184,$B$4+'Table 20 data'!D$4,0)</f>
        <v>62.8</v>
      </c>
      <c r="E118" s="245">
        <f>VLOOKUP($A118,'Table 20 data'!$A$9:$W$184,$B$4+'Table 20 data'!E$4,0)</f>
        <v>2255</v>
      </c>
      <c r="F118" s="246">
        <f>VLOOKUP($A118,'Table 20 data'!$A$9:$W$184,$B$4+'Table 20 data'!F$4,0)</f>
        <v>68.599999999999994</v>
      </c>
      <c r="G118" s="245">
        <f>VLOOKUP($A118,'Table 20 data'!$A$9:$W$184,$B$4+'Table 20 data'!G$4,0)</f>
        <v>2379</v>
      </c>
      <c r="H118" s="246">
        <f>VLOOKUP($A118,'Table 20 data'!$A$9:$W$184,$B$4+'Table 20 data'!H$4,0)</f>
        <v>75.5</v>
      </c>
      <c r="I118" s="245">
        <f>VLOOKUP($A118,'Table 20 data'!$A$9:$W$184,$B$4+'Table 20 data'!I$4,0)</f>
        <v>2275</v>
      </c>
      <c r="J118" s="246">
        <f>VLOOKUP($A118,'Table 20 data'!$A$9:$W$184,$B$4+'Table 20 data'!J$4,0)</f>
        <v>72.400000000000006</v>
      </c>
      <c r="K118" s="245">
        <f>VLOOKUP($A118,'Table 20 data'!$A$9:$W$184,$B$4+'Table 20 data'!K$4,0)</f>
        <v>2412</v>
      </c>
      <c r="L118" s="246">
        <f>VLOOKUP($A118,'Table 20 data'!$A$9:$W$184,$B$4+'Table 20 data'!L$4,0)</f>
        <v>77.5</v>
      </c>
      <c r="M118" s="136"/>
    </row>
    <row r="119" spans="1:13" ht="11.25" customHeight="1" x14ac:dyDescent="0.2">
      <c r="A119" s="125" t="s">
        <v>217</v>
      </c>
      <c r="B119" s="142" t="s">
        <v>218</v>
      </c>
      <c r="C119" s="245">
        <f>VLOOKUP($A119,'Table 20 data'!$A$9:$W$184,$B$4+'Table 20 data'!C$4,0)</f>
        <v>1706</v>
      </c>
      <c r="D119" s="246">
        <f>VLOOKUP($A119,'Table 20 data'!$A$9:$W$184,$B$4+'Table 20 data'!D$4,0)</f>
        <v>70.8</v>
      </c>
      <c r="E119" s="245">
        <f>VLOOKUP($A119,'Table 20 data'!$A$9:$W$184,$B$4+'Table 20 data'!E$4,0)</f>
        <v>1706</v>
      </c>
      <c r="F119" s="246">
        <f>VLOOKUP($A119,'Table 20 data'!$A$9:$W$184,$B$4+'Table 20 data'!F$4,0)</f>
        <v>75.3</v>
      </c>
      <c r="G119" s="245">
        <f>VLOOKUP($A119,'Table 20 data'!$A$9:$W$184,$B$4+'Table 20 data'!G$4,0)</f>
        <v>1715</v>
      </c>
      <c r="H119" s="246">
        <f>VLOOKUP($A119,'Table 20 data'!$A$9:$W$184,$B$4+'Table 20 data'!H$4,0)</f>
        <v>77.400000000000006</v>
      </c>
      <c r="I119" s="245">
        <f>VLOOKUP($A119,'Table 20 data'!$A$9:$W$184,$B$4+'Table 20 data'!I$4,0)</f>
        <v>1703</v>
      </c>
      <c r="J119" s="246">
        <f>VLOOKUP($A119,'Table 20 data'!$A$9:$W$184,$B$4+'Table 20 data'!J$4,0)</f>
        <v>69.599999999999994</v>
      </c>
      <c r="K119" s="245">
        <f>VLOOKUP($A119,'Table 20 data'!$A$9:$W$184,$B$4+'Table 20 data'!K$4,0)</f>
        <v>1724</v>
      </c>
      <c r="L119" s="246">
        <f>VLOOKUP($A119,'Table 20 data'!$A$9:$W$184,$B$4+'Table 20 data'!L$4,0)</f>
        <v>72.900000000000006</v>
      </c>
      <c r="M119" s="136"/>
    </row>
    <row r="120" spans="1:13" ht="11.25" customHeight="1" x14ac:dyDescent="0.2">
      <c r="A120" s="125" t="s">
        <v>219</v>
      </c>
      <c r="B120" s="142" t="s">
        <v>220</v>
      </c>
      <c r="C120" s="245">
        <f>VLOOKUP($A120,'Table 20 data'!$A$9:$W$184,$B$4+'Table 20 data'!C$4,0)</f>
        <v>1194</v>
      </c>
      <c r="D120" s="246">
        <f>VLOOKUP($A120,'Table 20 data'!$A$9:$W$184,$B$4+'Table 20 data'!D$4,0)</f>
        <v>70.900000000000006</v>
      </c>
      <c r="E120" s="245">
        <f>VLOOKUP($A120,'Table 20 data'!$A$9:$W$184,$B$4+'Table 20 data'!E$4,0)</f>
        <v>1274</v>
      </c>
      <c r="F120" s="246">
        <f>VLOOKUP($A120,'Table 20 data'!$A$9:$W$184,$B$4+'Table 20 data'!F$4,0)</f>
        <v>81.3</v>
      </c>
      <c r="G120" s="245">
        <f>VLOOKUP($A120,'Table 20 data'!$A$9:$W$184,$B$4+'Table 20 data'!G$4,0)</f>
        <v>1275</v>
      </c>
      <c r="H120" s="246">
        <f>VLOOKUP($A120,'Table 20 data'!$A$9:$W$184,$B$4+'Table 20 data'!H$4,0)</f>
        <v>84.9</v>
      </c>
      <c r="I120" s="245">
        <f>VLOOKUP($A120,'Table 20 data'!$A$9:$W$184,$B$4+'Table 20 data'!I$4,0)</f>
        <v>1293</v>
      </c>
      <c r="J120" s="246">
        <f>VLOOKUP($A120,'Table 20 data'!$A$9:$W$184,$B$4+'Table 20 data'!J$4,0)</f>
        <v>81.099999999999994</v>
      </c>
      <c r="K120" s="245">
        <f>VLOOKUP($A120,'Table 20 data'!$A$9:$W$184,$B$4+'Table 20 data'!K$4,0)</f>
        <v>1338</v>
      </c>
      <c r="L120" s="246">
        <f>VLOOKUP($A120,'Table 20 data'!$A$9:$W$184,$B$4+'Table 20 data'!L$4,0)</f>
        <v>84.8</v>
      </c>
      <c r="M120" s="136"/>
    </row>
    <row r="121" spans="1:13" ht="11.25" customHeight="1" x14ac:dyDescent="0.2">
      <c r="A121" s="3"/>
      <c r="B121" s="142"/>
      <c r="C121" s="247"/>
      <c r="D121" s="248"/>
      <c r="E121" s="247"/>
      <c r="F121" s="248"/>
      <c r="G121" s="247"/>
      <c r="H121" s="249"/>
      <c r="I121" s="250"/>
      <c r="J121" s="250"/>
      <c r="K121" s="250"/>
      <c r="L121" s="250"/>
      <c r="M121" s="136"/>
    </row>
    <row r="122" spans="1:13" s="98" customFormat="1" ht="11.25" customHeight="1" x14ac:dyDescent="0.2">
      <c r="A122" s="17" t="s">
        <v>221</v>
      </c>
      <c r="B122" s="92" t="s">
        <v>222</v>
      </c>
      <c r="C122" s="243">
        <f>VLOOKUP($A122,'Table 20 data'!$A$9:$W$184,$B$4+'Table 20 data'!C$4,0)</f>
        <v>47790</v>
      </c>
      <c r="D122" s="244">
        <f>VLOOKUP($A122,'Table 20 data'!$A$9:$W$184,$B$4+'Table 20 data'!D$4,0)</f>
        <v>71.5</v>
      </c>
      <c r="E122" s="243">
        <f>VLOOKUP($A122,'Table 20 data'!$A$9:$W$184,$B$4+'Table 20 data'!E$4,0)</f>
        <v>48499</v>
      </c>
      <c r="F122" s="244">
        <f>VLOOKUP($A122,'Table 20 data'!$A$9:$W$184,$B$4+'Table 20 data'!F$4,0)</f>
        <v>75.599999999999994</v>
      </c>
      <c r="G122" s="243">
        <f>VLOOKUP($A122,'Table 20 data'!$A$9:$W$184,$B$4+'Table 20 data'!G$4,0)</f>
        <v>47804</v>
      </c>
      <c r="H122" s="244">
        <f>VLOOKUP($A122,'Table 20 data'!$A$9:$W$184,$B$4+'Table 20 data'!H$4,0)</f>
        <v>77.5</v>
      </c>
      <c r="I122" s="243">
        <f>VLOOKUP($A122,'Table 20 data'!$A$9:$W$184,$B$4+'Table 20 data'!I$4,0)</f>
        <v>47821</v>
      </c>
      <c r="J122" s="244">
        <f>VLOOKUP($A122,'Table 20 data'!$A$9:$W$184,$B$4+'Table 20 data'!J$4,0)</f>
        <v>73.7</v>
      </c>
      <c r="K122" s="243">
        <f>VLOOKUP($A122,'Table 20 data'!$A$9:$W$184,$B$4+'Table 20 data'!K$4,0)</f>
        <v>49263</v>
      </c>
      <c r="L122" s="244">
        <f>VLOOKUP($A122,'Table 20 data'!$A$9:$W$184,$B$4+'Table 20 data'!L$4,0)</f>
        <v>77</v>
      </c>
      <c r="M122" s="136"/>
    </row>
    <row r="123" spans="1:13" ht="11.25" customHeight="1" x14ac:dyDescent="0.2">
      <c r="A123" s="125" t="s">
        <v>223</v>
      </c>
      <c r="B123" s="142" t="s">
        <v>224</v>
      </c>
      <c r="C123" s="245">
        <f>VLOOKUP($A123,'Table 20 data'!$A$9:$W$184,$B$4+'Table 20 data'!C$4,0)</f>
        <v>1924</v>
      </c>
      <c r="D123" s="246">
        <f>VLOOKUP($A123,'Table 20 data'!$A$9:$W$184,$B$4+'Table 20 data'!D$4,0)</f>
        <v>63.5</v>
      </c>
      <c r="E123" s="245">
        <f>VLOOKUP($A123,'Table 20 data'!$A$9:$W$184,$B$4+'Table 20 data'!E$4,0)</f>
        <v>2013</v>
      </c>
      <c r="F123" s="246">
        <f>VLOOKUP($A123,'Table 20 data'!$A$9:$W$184,$B$4+'Table 20 data'!F$4,0)</f>
        <v>69.7</v>
      </c>
      <c r="G123" s="245">
        <f>VLOOKUP($A123,'Table 20 data'!$A$9:$W$184,$B$4+'Table 20 data'!G$4,0)</f>
        <v>1941</v>
      </c>
      <c r="H123" s="246">
        <f>VLOOKUP($A123,'Table 20 data'!$A$9:$W$184,$B$4+'Table 20 data'!H$4,0)</f>
        <v>73.2</v>
      </c>
      <c r="I123" s="245">
        <f>VLOOKUP($A123,'Table 20 data'!$A$9:$W$184,$B$4+'Table 20 data'!I$4,0)</f>
        <v>1990</v>
      </c>
      <c r="J123" s="246">
        <f>VLOOKUP($A123,'Table 20 data'!$A$9:$W$184,$B$4+'Table 20 data'!J$4,0)</f>
        <v>70.8</v>
      </c>
      <c r="K123" s="245">
        <f>VLOOKUP($A123,'Table 20 data'!$A$9:$W$184,$B$4+'Table 20 data'!K$4,0)</f>
        <v>2106</v>
      </c>
      <c r="L123" s="246">
        <f>VLOOKUP($A123,'Table 20 data'!$A$9:$W$184,$B$4+'Table 20 data'!L$4,0)</f>
        <v>78.5</v>
      </c>
      <c r="M123" s="136"/>
    </row>
    <row r="124" spans="1:13" ht="11.25" customHeight="1" x14ac:dyDescent="0.2">
      <c r="A124" s="125" t="s">
        <v>225</v>
      </c>
      <c r="B124" s="142" t="s">
        <v>226</v>
      </c>
      <c r="C124" s="245">
        <f>VLOOKUP($A124,'Table 20 data'!$A$9:$W$184,$B$4+'Table 20 data'!C$4,0)</f>
        <v>3044</v>
      </c>
      <c r="D124" s="246">
        <f>VLOOKUP($A124,'Table 20 data'!$A$9:$W$184,$B$4+'Table 20 data'!D$4,0)</f>
        <v>78.5</v>
      </c>
      <c r="E124" s="245">
        <f>VLOOKUP($A124,'Table 20 data'!$A$9:$W$184,$B$4+'Table 20 data'!E$4,0)</f>
        <v>3193</v>
      </c>
      <c r="F124" s="246">
        <f>VLOOKUP($A124,'Table 20 data'!$A$9:$W$184,$B$4+'Table 20 data'!F$4,0)</f>
        <v>82.2</v>
      </c>
      <c r="G124" s="245">
        <f>VLOOKUP($A124,'Table 20 data'!$A$9:$W$184,$B$4+'Table 20 data'!G$4,0)</f>
        <v>3162</v>
      </c>
      <c r="H124" s="246">
        <f>VLOOKUP($A124,'Table 20 data'!$A$9:$W$184,$B$4+'Table 20 data'!H$4,0)</f>
        <v>82.8</v>
      </c>
      <c r="I124" s="245">
        <f>VLOOKUP($A124,'Table 20 data'!$A$9:$W$184,$B$4+'Table 20 data'!I$4,0)</f>
        <v>3084</v>
      </c>
      <c r="J124" s="246">
        <f>VLOOKUP($A124,'Table 20 data'!$A$9:$W$184,$B$4+'Table 20 data'!J$4,0)</f>
        <v>81.5</v>
      </c>
      <c r="K124" s="245">
        <f>VLOOKUP($A124,'Table 20 data'!$A$9:$W$184,$B$4+'Table 20 data'!K$4,0)</f>
        <v>3288</v>
      </c>
      <c r="L124" s="246">
        <f>VLOOKUP($A124,'Table 20 data'!$A$9:$W$184,$B$4+'Table 20 data'!L$4,0)</f>
        <v>81.8</v>
      </c>
      <c r="M124" s="136"/>
    </row>
    <row r="125" spans="1:13" ht="11.25" customHeight="1" x14ac:dyDescent="0.2">
      <c r="A125" s="125" t="s">
        <v>227</v>
      </c>
      <c r="B125" s="142" t="s">
        <v>228</v>
      </c>
      <c r="C125" s="245">
        <f>VLOOKUP($A125,'Table 20 data'!$A$9:$W$184,$B$4+'Table 20 data'!C$4,0)</f>
        <v>3103</v>
      </c>
      <c r="D125" s="246">
        <f>VLOOKUP($A125,'Table 20 data'!$A$9:$W$184,$B$4+'Table 20 data'!D$4,0)</f>
        <v>68.900000000000006</v>
      </c>
      <c r="E125" s="245">
        <f>VLOOKUP($A125,'Table 20 data'!$A$9:$W$184,$B$4+'Table 20 data'!E$4,0)</f>
        <v>3185</v>
      </c>
      <c r="F125" s="246">
        <f>VLOOKUP($A125,'Table 20 data'!$A$9:$W$184,$B$4+'Table 20 data'!F$4,0)</f>
        <v>71.3</v>
      </c>
      <c r="G125" s="245">
        <f>VLOOKUP($A125,'Table 20 data'!$A$9:$W$184,$B$4+'Table 20 data'!G$4,0)</f>
        <v>3177</v>
      </c>
      <c r="H125" s="246">
        <f>VLOOKUP($A125,'Table 20 data'!$A$9:$W$184,$B$4+'Table 20 data'!H$4,0)</f>
        <v>74.400000000000006</v>
      </c>
      <c r="I125" s="245">
        <f>VLOOKUP($A125,'Table 20 data'!$A$9:$W$184,$B$4+'Table 20 data'!I$4,0)</f>
        <v>3211</v>
      </c>
      <c r="J125" s="246">
        <f>VLOOKUP($A125,'Table 20 data'!$A$9:$W$184,$B$4+'Table 20 data'!J$4,0)</f>
        <v>68.599999999999994</v>
      </c>
      <c r="K125" s="245">
        <f>VLOOKUP($A125,'Table 20 data'!$A$9:$W$184,$B$4+'Table 20 data'!K$4,0)</f>
        <v>3119</v>
      </c>
      <c r="L125" s="246">
        <f>VLOOKUP($A125,'Table 20 data'!$A$9:$W$184,$B$4+'Table 20 data'!L$4,0)</f>
        <v>69.900000000000006</v>
      </c>
      <c r="M125" s="136"/>
    </row>
    <row r="126" spans="1:13" ht="11.25" customHeight="1" x14ac:dyDescent="0.2">
      <c r="A126" s="125" t="s">
        <v>229</v>
      </c>
      <c r="B126" s="142" t="s">
        <v>230</v>
      </c>
      <c r="C126" s="245">
        <f>VLOOKUP($A126,'Table 20 data'!$A$9:$W$184,$B$4+'Table 20 data'!C$4,0)</f>
        <v>2474</v>
      </c>
      <c r="D126" s="246">
        <f>VLOOKUP($A126,'Table 20 data'!$A$9:$W$184,$B$4+'Table 20 data'!D$4,0)</f>
        <v>75.900000000000006</v>
      </c>
      <c r="E126" s="245">
        <f>VLOOKUP($A126,'Table 20 data'!$A$9:$W$184,$B$4+'Table 20 data'!E$4,0)</f>
        <v>2581</v>
      </c>
      <c r="F126" s="246">
        <f>VLOOKUP($A126,'Table 20 data'!$A$9:$W$184,$B$4+'Table 20 data'!F$4,0)</f>
        <v>78.5</v>
      </c>
      <c r="G126" s="245">
        <f>VLOOKUP($A126,'Table 20 data'!$A$9:$W$184,$B$4+'Table 20 data'!G$4,0)</f>
        <v>2496</v>
      </c>
      <c r="H126" s="246">
        <f>VLOOKUP($A126,'Table 20 data'!$A$9:$W$184,$B$4+'Table 20 data'!H$4,0)</f>
        <v>80.599999999999994</v>
      </c>
      <c r="I126" s="245">
        <f>VLOOKUP($A126,'Table 20 data'!$A$9:$W$184,$B$4+'Table 20 data'!I$4,0)</f>
        <v>2554</v>
      </c>
      <c r="J126" s="246">
        <f>VLOOKUP($A126,'Table 20 data'!$A$9:$W$184,$B$4+'Table 20 data'!J$4,0)</f>
        <v>73.8</v>
      </c>
      <c r="K126" s="245">
        <f>VLOOKUP($A126,'Table 20 data'!$A$9:$W$184,$B$4+'Table 20 data'!K$4,0)</f>
        <v>2603</v>
      </c>
      <c r="L126" s="246">
        <f>VLOOKUP($A126,'Table 20 data'!$A$9:$W$184,$B$4+'Table 20 data'!L$4,0)</f>
        <v>77.900000000000006</v>
      </c>
      <c r="M126" s="136"/>
    </row>
    <row r="127" spans="1:13" ht="11.25" customHeight="1" x14ac:dyDescent="0.2">
      <c r="A127" s="125" t="s">
        <v>231</v>
      </c>
      <c r="B127" s="142" t="s">
        <v>232</v>
      </c>
      <c r="C127" s="245">
        <f>VLOOKUP($A127,'Table 20 data'!$A$9:$W$184,$B$4+'Table 20 data'!C$4,0)</f>
        <v>3436</v>
      </c>
      <c r="D127" s="246">
        <f>VLOOKUP($A127,'Table 20 data'!$A$9:$W$184,$B$4+'Table 20 data'!D$4,0)</f>
        <v>74.900000000000006</v>
      </c>
      <c r="E127" s="245">
        <f>VLOOKUP($A127,'Table 20 data'!$A$9:$W$184,$B$4+'Table 20 data'!E$4,0)</f>
        <v>3347</v>
      </c>
      <c r="F127" s="246">
        <f>VLOOKUP($A127,'Table 20 data'!$A$9:$W$184,$B$4+'Table 20 data'!F$4,0)</f>
        <v>77.400000000000006</v>
      </c>
      <c r="G127" s="245">
        <f>VLOOKUP($A127,'Table 20 data'!$A$9:$W$184,$B$4+'Table 20 data'!G$4,0)</f>
        <v>3352</v>
      </c>
      <c r="H127" s="246">
        <f>VLOOKUP($A127,'Table 20 data'!$A$9:$W$184,$B$4+'Table 20 data'!H$4,0)</f>
        <v>79.8</v>
      </c>
      <c r="I127" s="245">
        <f>VLOOKUP($A127,'Table 20 data'!$A$9:$W$184,$B$4+'Table 20 data'!I$4,0)</f>
        <v>3267</v>
      </c>
      <c r="J127" s="246">
        <f>VLOOKUP($A127,'Table 20 data'!$A$9:$W$184,$B$4+'Table 20 data'!J$4,0)</f>
        <v>76.400000000000006</v>
      </c>
      <c r="K127" s="245">
        <f>VLOOKUP($A127,'Table 20 data'!$A$9:$W$184,$B$4+'Table 20 data'!K$4,0)</f>
        <v>3343</v>
      </c>
      <c r="L127" s="246">
        <f>VLOOKUP($A127,'Table 20 data'!$A$9:$W$184,$B$4+'Table 20 data'!L$4,0)</f>
        <v>81.5</v>
      </c>
      <c r="M127" s="136"/>
    </row>
    <row r="128" spans="1:13" ht="11.25" customHeight="1" x14ac:dyDescent="0.2">
      <c r="A128" s="125" t="s">
        <v>233</v>
      </c>
      <c r="B128" s="142" t="s">
        <v>234</v>
      </c>
      <c r="C128" s="245">
        <f>VLOOKUP($A128,'Table 20 data'!$A$9:$W$184,$B$4+'Table 20 data'!C$4,0)</f>
        <v>3462</v>
      </c>
      <c r="D128" s="246">
        <f>VLOOKUP($A128,'Table 20 data'!$A$9:$W$184,$B$4+'Table 20 data'!D$4,0)</f>
        <v>66.8</v>
      </c>
      <c r="E128" s="245">
        <f>VLOOKUP($A128,'Table 20 data'!$A$9:$W$184,$B$4+'Table 20 data'!E$4,0)</f>
        <v>3493</v>
      </c>
      <c r="F128" s="246">
        <f>VLOOKUP($A128,'Table 20 data'!$A$9:$W$184,$B$4+'Table 20 data'!F$4,0)</f>
        <v>70.7</v>
      </c>
      <c r="G128" s="245">
        <f>VLOOKUP($A128,'Table 20 data'!$A$9:$W$184,$B$4+'Table 20 data'!G$4,0)</f>
        <v>3512</v>
      </c>
      <c r="H128" s="246">
        <f>VLOOKUP($A128,'Table 20 data'!$A$9:$W$184,$B$4+'Table 20 data'!H$4,0)</f>
        <v>73.7</v>
      </c>
      <c r="I128" s="245">
        <f>VLOOKUP($A128,'Table 20 data'!$A$9:$W$184,$B$4+'Table 20 data'!I$4,0)</f>
        <v>3404</v>
      </c>
      <c r="J128" s="246">
        <f>VLOOKUP($A128,'Table 20 data'!$A$9:$W$184,$B$4+'Table 20 data'!J$4,0)</f>
        <v>73.099999999999994</v>
      </c>
      <c r="K128" s="245">
        <f>VLOOKUP($A128,'Table 20 data'!$A$9:$W$184,$B$4+'Table 20 data'!K$4,0)</f>
        <v>3561</v>
      </c>
      <c r="L128" s="246">
        <f>VLOOKUP($A128,'Table 20 data'!$A$9:$W$184,$B$4+'Table 20 data'!L$4,0)</f>
        <v>75.900000000000006</v>
      </c>
      <c r="M128" s="136"/>
    </row>
    <row r="129" spans="1:13" ht="11.25" customHeight="1" x14ac:dyDescent="0.2">
      <c r="A129" s="125" t="s">
        <v>235</v>
      </c>
      <c r="B129" s="142" t="s">
        <v>236</v>
      </c>
      <c r="C129" s="245">
        <f>VLOOKUP($A129,'Table 20 data'!$A$9:$W$184,$B$4+'Table 20 data'!C$4,0)</f>
        <v>2546</v>
      </c>
      <c r="D129" s="246">
        <f>VLOOKUP($A129,'Table 20 data'!$A$9:$W$184,$B$4+'Table 20 data'!D$4,0)</f>
        <v>74.5</v>
      </c>
      <c r="E129" s="245">
        <f>VLOOKUP($A129,'Table 20 data'!$A$9:$W$184,$B$4+'Table 20 data'!E$4,0)</f>
        <v>2635</v>
      </c>
      <c r="F129" s="246">
        <f>VLOOKUP($A129,'Table 20 data'!$A$9:$W$184,$B$4+'Table 20 data'!F$4,0)</f>
        <v>79</v>
      </c>
      <c r="G129" s="245">
        <f>VLOOKUP($A129,'Table 20 data'!$A$9:$W$184,$B$4+'Table 20 data'!G$4,0)</f>
        <v>2492</v>
      </c>
      <c r="H129" s="246">
        <f>VLOOKUP($A129,'Table 20 data'!$A$9:$W$184,$B$4+'Table 20 data'!H$4,0)</f>
        <v>77.7</v>
      </c>
      <c r="I129" s="245">
        <f>VLOOKUP($A129,'Table 20 data'!$A$9:$W$184,$B$4+'Table 20 data'!I$4,0)</f>
        <v>2583</v>
      </c>
      <c r="J129" s="246">
        <f>VLOOKUP($A129,'Table 20 data'!$A$9:$W$184,$B$4+'Table 20 data'!J$4,0)</f>
        <v>76.2</v>
      </c>
      <c r="K129" s="245">
        <f>VLOOKUP($A129,'Table 20 data'!$A$9:$W$184,$B$4+'Table 20 data'!K$4,0)</f>
        <v>2649</v>
      </c>
      <c r="L129" s="246">
        <f>VLOOKUP($A129,'Table 20 data'!$A$9:$W$184,$B$4+'Table 20 data'!L$4,0)</f>
        <v>77.5</v>
      </c>
      <c r="M129" s="136"/>
    </row>
    <row r="130" spans="1:13" ht="11.25" customHeight="1" x14ac:dyDescent="0.2">
      <c r="A130" s="125" t="s">
        <v>237</v>
      </c>
      <c r="B130" s="142" t="s">
        <v>238</v>
      </c>
      <c r="C130" s="245">
        <f>VLOOKUP($A130,'Table 20 data'!$A$9:$W$184,$B$4+'Table 20 data'!C$4,0)</f>
        <v>3434</v>
      </c>
      <c r="D130" s="246">
        <f>VLOOKUP($A130,'Table 20 data'!$A$9:$W$184,$B$4+'Table 20 data'!D$4,0)</f>
        <v>68.5</v>
      </c>
      <c r="E130" s="245">
        <f>VLOOKUP($A130,'Table 20 data'!$A$9:$W$184,$B$4+'Table 20 data'!E$4,0)</f>
        <v>3449</v>
      </c>
      <c r="F130" s="246">
        <f>VLOOKUP($A130,'Table 20 data'!$A$9:$W$184,$B$4+'Table 20 data'!F$4,0)</f>
        <v>75.3</v>
      </c>
      <c r="G130" s="245">
        <f>VLOOKUP($A130,'Table 20 data'!$A$9:$W$184,$B$4+'Table 20 data'!G$4,0)</f>
        <v>3334</v>
      </c>
      <c r="H130" s="246">
        <f>VLOOKUP($A130,'Table 20 data'!$A$9:$W$184,$B$4+'Table 20 data'!H$4,0)</f>
        <v>75.099999999999994</v>
      </c>
      <c r="I130" s="245">
        <f>VLOOKUP($A130,'Table 20 data'!$A$9:$W$184,$B$4+'Table 20 data'!I$4,0)</f>
        <v>3541</v>
      </c>
      <c r="J130" s="246">
        <f>VLOOKUP($A130,'Table 20 data'!$A$9:$W$184,$B$4+'Table 20 data'!J$4,0)</f>
        <v>70.400000000000006</v>
      </c>
      <c r="K130" s="245">
        <f>VLOOKUP($A130,'Table 20 data'!$A$9:$W$184,$B$4+'Table 20 data'!K$4,0)</f>
        <v>3609</v>
      </c>
      <c r="L130" s="246">
        <f>VLOOKUP($A130,'Table 20 data'!$A$9:$W$184,$B$4+'Table 20 data'!L$4,0)</f>
        <v>75.400000000000006</v>
      </c>
      <c r="M130" s="136"/>
    </row>
    <row r="131" spans="1:13" ht="11.25" customHeight="1" x14ac:dyDescent="0.2">
      <c r="A131" s="125" t="s">
        <v>239</v>
      </c>
      <c r="B131" s="142" t="s">
        <v>240</v>
      </c>
      <c r="C131" s="245">
        <f>VLOOKUP($A131,'Table 20 data'!$A$9:$W$184,$B$4+'Table 20 data'!C$4,0)</f>
        <v>2207</v>
      </c>
      <c r="D131" s="246">
        <f>VLOOKUP($A131,'Table 20 data'!$A$9:$W$184,$B$4+'Table 20 data'!D$4,0)</f>
        <v>63.8</v>
      </c>
      <c r="E131" s="245">
        <f>VLOOKUP($A131,'Table 20 data'!$A$9:$W$184,$B$4+'Table 20 data'!E$4,0)</f>
        <v>2130</v>
      </c>
      <c r="F131" s="246">
        <f>VLOOKUP($A131,'Table 20 data'!$A$9:$W$184,$B$4+'Table 20 data'!F$4,0)</f>
        <v>72.3</v>
      </c>
      <c r="G131" s="245">
        <f>VLOOKUP($A131,'Table 20 data'!$A$9:$W$184,$B$4+'Table 20 data'!G$4,0)</f>
        <v>2076</v>
      </c>
      <c r="H131" s="246">
        <f>VLOOKUP($A131,'Table 20 data'!$A$9:$W$184,$B$4+'Table 20 data'!H$4,0)</f>
        <v>73.599999999999994</v>
      </c>
      <c r="I131" s="245">
        <f>VLOOKUP($A131,'Table 20 data'!$A$9:$W$184,$B$4+'Table 20 data'!I$4,0)</f>
        <v>2004</v>
      </c>
      <c r="J131" s="246">
        <f>VLOOKUP($A131,'Table 20 data'!$A$9:$W$184,$B$4+'Table 20 data'!J$4,0)</f>
        <v>75.599999999999994</v>
      </c>
      <c r="K131" s="245">
        <f>VLOOKUP($A131,'Table 20 data'!$A$9:$W$184,$B$4+'Table 20 data'!K$4,0)</f>
        <v>1990</v>
      </c>
      <c r="L131" s="246">
        <f>VLOOKUP($A131,'Table 20 data'!$A$9:$W$184,$B$4+'Table 20 data'!L$4,0)</f>
        <v>79.400000000000006</v>
      </c>
      <c r="M131" s="136"/>
    </row>
    <row r="132" spans="1:13" ht="11.25" customHeight="1" x14ac:dyDescent="0.2">
      <c r="A132" s="125" t="s">
        <v>241</v>
      </c>
      <c r="B132" s="142" t="s">
        <v>242</v>
      </c>
      <c r="C132" s="245">
        <f>VLOOKUP($A132,'Table 20 data'!$A$9:$W$184,$B$4+'Table 20 data'!C$4,0)</f>
        <v>1930</v>
      </c>
      <c r="D132" s="246">
        <f>VLOOKUP($A132,'Table 20 data'!$A$9:$W$184,$B$4+'Table 20 data'!D$4,0)</f>
        <v>77.400000000000006</v>
      </c>
      <c r="E132" s="245">
        <f>VLOOKUP($A132,'Table 20 data'!$A$9:$W$184,$B$4+'Table 20 data'!E$4,0)</f>
        <v>1992</v>
      </c>
      <c r="F132" s="246">
        <f>VLOOKUP($A132,'Table 20 data'!$A$9:$W$184,$B$4+'Table 20 data'!F$4,0)</f>
        <v>79</v>
      </c>
      <c r="G132" s="245">
        <f>VLOOKUP($A132,'Table 20 data'!$A$9:$W$184,$B$4+'Table 20 data'!G$4,0)</f>
        <v>1954</v>
      </c>
      <c r="H132" s="246">
        <f>VLOOKUP($A132,'Table 20 data'!$A$9:$W$184,$B$4+'Table 20 data'!H$4,0)</f>
        <v>79.3</v>
      </c>
      <c r="I132" s="245">
        <f>VLOOKUP($A132,'Table 20 data'!$A$9:$W$184,$B$4+'Table 20 data'!I$4,0)</f>
        <v>1933</v>
      </c>
      <c r="J132" s="246">
        <f>VLOOKUP($A132,'Table 20 data'!$A$9:$W$184,$B$4+'Table 20 data'!J$4,0)</f>
        <v>81.2</v>
      </c>
      <c r="K132" s="245">
        <f>VLOOKUP($A132,'Table 20 data'!$A$9:$W$184,$B$4+'Table 20 data'!K$4,0)</f>
        <v>1992</v>
      </c>
      <c r="L132" s="246">
        <f>VLOOKUP($A132,'Table 20 data'!$A$9:$W$184,$B$4+'Table 20 data'!L$4,0)</f>
        <v>78.3</v>
      </c>
      <c r="M132" s="136"/>
    </row>
    <row r="133" spans="1:13" ht="11.25" customHeight="1" x14ac:dyDescent="0.2">
      <c r="A133" s="125" t="s">
        <v>243</v>
      </c>
      <c r="B133" s="142" t="s">
        <v>244</v>
      </c>
      <c r="C133" s="245">
        <f>VLOOKUP($A133,'Table 20 data'!$A$9:$W$184,$B$4+'Table 20 data'!C$4,0)</f>
        <v>2973</v>
      </c>
      <c r="D133" s="246">
        <f>VLOOKUP($A133,'Table 20 data'!$A$9:$W$184,$B$4+'Table 20 data'!D$4,0)</f>
        <v>68.5</v>
      </c>
      <c r="E133" s="245">
        <f>VLOOKUP($A133,'Table 20 data'!$A$9:$W$184,$B$4+'Table 20 data'!E$4,0)</f>
        <v>3030</v>
      </c>
      <c r="F133" s="246">
        <f>VLOOKUP($A133,'Table 20 data'!$A$9:$W$184,$B$4+'Table 20 data'!F$4,0)</f>
        <v>70.3</v>
      </c>
      <c r="G133" s="245">
        <f>VLOOKUP($A133,'Table 20 data'!$A$9:$W$184,$B$4+'Table 20 data'!G$4,0)</f>
        <v>3004</v>
      </c>
      <c r="H133" s="246">
        <f>VLOOKUP($A133,'Table 20 data'!$A$9:$W$184,$B$4+'Table 20 data'!H$4,0)</f>
        <v>74.7</v>
      </c>
      <c r="I133" s="245">
        <f>VLOOKUP($A133,'Table 20 data'!$A$9:$W$184,$B$4+'Table 20 data'!I$4,0)</f>
        <v>2954</v>
      </c>
      <c r="J133" s="246">
        <f>VLOOKUP($A133,'Table 20 data'!$A$9:$W$184,$B$4+'Table 20 data'!J$4,0)</f>
        <v>64.400000000000006</v>
      </c>
      <c r="K133" s="245">
        <f>VLOOKUP($A133,'Table 20 data'!$A$9:$W$184,$B$4+'Table 20 data'!K$4,0)</f>
        <v>2983</v>
      </c>
      <c r="L133" s="246">
        <f>VLOOKUP($A133,'Table 20 data'!$A$9:$W$184,$B$4+'Table 20 data'!L$4,0)</f>
        <v>71.900000000000006</v>
      </c>
      <c r="M133" s="136"/>
    </row>
    <row r="134" spans="1:13" ht="11.25" customHeight="1" x14ac:dyDescent="0.2">
      <c r="A134" s="125" t="s">
        <v>245</v>
      </c>
      <c r="B134" s="142" t="s">
        <v>246</v>
      </c>
      <c r="C134" s="245">
        <f>VLOOKUP($A134,'Table 20 data'!$A$9:$W$184,$B$4+'Table 20 data'!C$4,0)</f>
        <v>2724</v>
      </c>
      <c r="D134" s="246">
        <f>VLOOKUP($A134,'Table 20 data'!$A$9:$W$184,$B$4+'Table 20 data'!D$4,0)</f>
        <v>65.7</v>
      </c>
      <c r="E134" s="245">
        <f>VLOOKUP($A134,'Table 20 data'!$A$9:$W$184,$B$4+'Table 20 data'!E$4,0)</f>
        <v>2859</v>
      </c>
      <c r="F134" s="246">
        <f>VLOOKUP($A134,'Table 20 data'!$A$9:$W$184,$B$4+'Table 20 data'!F$4,0)</f>
        <v>72.3</v>
      </c>
      <c r="G134" s="245">
        <f>VLOOKUP($A134,'Table 20 data'!$A$9:$W$184,$B$4+'Table 20 data'!G$4,0)</f>
        <v>2812</v>
      </c>
      <c r="H134" s="246">
        <f>VLOOKUP($A134,'Table 20 data'!$A$9:$W$184,$B$4+'Table 20 data'!H$4,0)</f>
        <v>74.3</v>
      </c>
      <c r="I134" s="245">
        <f>VLOOKUP($A134,'Table 20 data'!$A$9:$W$184,$B$4+'Table 20 data'!I$4,0)</f>
        <v>2804</v>
      </c>
      <c r="J134" s="246">
        <f>VLOOKUP($A134,'Table 20 data'!$A$9:$W$184,$B$4+'Table 20 data'!J$4,0)</f>
        <v>69.7</v>
      </c>
      <c r="K134" s="245">
        <f>VLOOKUP($A134,'Table 20 data'!$A$9:$W$184,$B$4+'Table 20 data'!K$4,0)</f>
        <v>2893</v>
      </c>
      <c r="L134" s="246">
        <f>VLOOKUP($A134,'Table 20 data'!$A$9:$W$184,$B$4+'Table 20 data'!L$4,0)</f>
        <v>72.599999999999994</v>
      </c>
      <c r="M134" s="136"/>
    </row>
    <row r="135" spans="1:13" ht="11.25" customHeight="1" x14ac:dyDescent="0.2">
      <c r="A135" s="125" t="s">
        <v>247</v>
      </c>
      <c r="B135" s="142" t="s">
        <v>248</v>
      </c>
      <c r="C135" s="245">
        <f>VLOOKUP($A135,'Table 20 data'!$A$9:$W$184,$B$4+'Table 20 data'!C$4,0)</f>
        <v>2343</v>
      </c>
      <c r="D135" s="246">
        <f>VLOOKUP($A135,'Table 20 data'!$A$9:$W$184,$B$4+'Table 20 data'!D$4,0)</f>
        <v>72.8</v>
      </c>
      <c r="E135" s="245">
        <f>VLOOKUP($A135,'Table 20 data'!$A$9:$W$184,$B$4+'Table 20 data'!E$4,0)</f>
        <v>2406</v>
      </c>
      <c r="F135" s="246">
        <f>VLOOKUP($A135,'Table 20 data'!$A$9:$W$184,$B$4+'Table 20 data'!F$4,0)</f>
        <v>78.099999999999994</v>
      </c>
      <c r="G135" s="245">
        <f>VLOOKUP($A135,'Table 20 data'!$A$9:$W$184,$B$4+'Table 20 data'!G$4,0)</f>
        <v>2370</v>
      </c>
      <c r="H135" s="246">
        <f>VLOOKUP($A135,'Table 20 data'!$A$9:$W$184,$B$4+'Table 20 data'!H$4,0)</f>
        <v>80.7</v>
      </c>
      <c r="I135" s="245">
        <f>VLOOKUP($A135,'Table 20 data'!$A$9:$W$184,$B$4+'Table 20 data'!I$4,0)</f>
        <v>2316</v>
      </c>
      <c r="J135" s="246">
        <f>VLOOKUP($A135,'Table 20 data'!$A$9:$W$184,$B$4+'Table 20 data'!J$4,0)</f>
        <v>74.8</v>
      </c>
      <c r="K135" s="245">
        <f>VLOOKUP($A135,'Table 20 data'!$A$9:$W$184,$B$4+'Table 20 data'!K$4,0)</f>
        <v>2518</v>
      </c>
      <c r="L135" s="246">
        <f>VLOOKUP($A135,'Table 20 data'!$A$9:$W$184,$B$4+'Table 20 data'!L$4,0)</f>
        <v>78.2</v>
      </c>
      <c r="M135" s="136"/>
    </row>
    <row r="136" spans="1:13" ht="11.25" customHeight="1" x14ac:dyDescent="0.2">
      <c r="A136" s="125" t="s">
        <v>249</v>
      </c>
      <c r="B136" s="142" t="s">
        <v>250</v>
      </c>
      <c r="C136" s="245">
        <f>VLOOKUP($A136,'Table 20 data'!$A$9:$W$184,$B$4+'Table 20 data'!C$4,0)</f>
        <v>1426</v>
      </c>
      <c r="D136" s="246">
        <f>VLOOKUP($A136,'Table 20 data'!$A$9:$W$184,$B$4+'Table 20 data'!D$4,0)</f>
        <v>79.3</v>
      </c>
      <c r="E136" s="245">
        <f>VLOOKUP($A136,'Table 20 data'!$A$9:$W$184,$B$4+'Table 20 data'!E$4,0)</f>
        <v>1388</v>
      </c>
      <c r="F136" s="246">
        <f>VLOOKUP($A136,'Table 20 data'!$A$9:$W$184,$B$4+'Table 20 data'!F$4,0)</f>
        <v>80.900000000000006</v>
      </c>
      <c r="G136" s="245">
        <f>VLOOKUP($A136,'Table 20 data'!$A$9:$W$184,$B$4+'Table 20 data'!G$4,0)</f>
        <v>1451</v>
      </c>
      <c r="H136" s="246">
        <f>VLOOKUP($A136,'Table 20 data'!$A$9:$W$184,$B$4+'Table 20 data'!H$4,0)</f>
        <v>82.1</v>
      </c>
      <c r="I136" s="245">
        <f>VLOOKUP($A136,'Table 20 data'!$A$9:$W$184,$B$4+'Table 20 data'!I$4,0)</f>
        <v>1456</v>
      </c>
      <c r="J136" s="246">
        <f>VLOOKUP($A136,'Table 20 data'!$A$9:$W$184,$B$4+'Table 20 data'!J$4,0)</f>
        <v>77.900000000000006</v>
      </c>
      <c r="K136" s="245">
        <f>VLOOKUP($A136,'Table 20 data'!$A$9:$W$184,$B$4+'Table 20 data'!K$4,0)</f>
        <v>1525</v>
      </c>
      <c r="L136" s="246">
        <f>VLOOKUP($A136,'Table 20 data'!$A$9:$W$184,$B$4+'Table 20 data'!L$4,0)</f>
        <v>79.900000000000006</v>
      </c>
      <c r="M136" s="136"/>
    </row>
    <row r="137" spans="1:13" ht="11.25" customHeight="1" x14ac:dyDescent="0.2">
      <c r="A137" s="125" t="s">
        <v>251</v>
      </c>
      <c r="B137" s="142" t="s">
        <v>252</v>
      </c>
      <c r="C137" s="245">
        <f>VLOOKUP($A137,'Table 20 data'!$A$9:$W$184,$B$4+'Table 20 data'!C$4,0)</f>
        <v>1420</v>
      </c>
      <c r="D137" s="246">
        <f>VLOOKUP($A137,'Table 20 data'!$A$9:$W$184,$B$4+'Table 20 data'!D$4,0)</f>
        <v>69.3</v>
      </c>
      <c r="E137" s="245">
        <f>VLOOKUP($A137,'Table 20 data'!$A$9:$W$184,$B$4+'Table 20 data'!E$4,0)</f>
        <v>1444</v>
      </c>
      <c r="F137" s="246">
        <f>VLOOKUP($A137,'Table 20 data'!$A$9:$W$184,$B$4+'Table 20 data'!F$4,0)</f>
        <v>67.8</v>
      </c>
      <c r="G137" s="245">
        <f>VLOOKUP($A137,'Table 20 data'!$A$9:$W$184,$B$4+'Table 20 data'!G$4,0)</f>
        <v>1371</v>
      </c>
      <c r="H137" s="246">
        <f>VLOOKUP($A137,'Table 20 data'!$A$9:$W$184,$B$4+'Table 20 data'!H$4,0)</f>
        <v>74.7</v>
      </c>
      <c r="I137" s="245">
        <f>VLOOKUP($A137,'Table 20 data'!$A$9:$W$184,$B$4+'Table 20 data'!I$4,0)</f>
        <v>1430</v>
      </c>
      <c r="J137" s="246">
        <f>VLOOKUP($A137,'Table 20 data'!$A$9:$W$184,$B$4+'Table 20 data'!J$4,0)</f>
        <v>70.900000000000006</v>
      </c>
      <c r="K137" s="245">
        <f>VLOOKUP($A137,'Table 20 data'!$A$9:$W$184,$B$4+'Table 20 data'!K$4,0)</f>
        <v>1481</v>
      </c>
      <c r="L137" s="246">
        <f>VLOOKUP($A137,'Table 20 data'!$A$9:$W$184,$B$4+'Table 20 data'!L$4,0)</f>
        <v>75.3</v>
      </c>
      <c r="M137" s="136"/>
    </row>
    <row r="138" spans="1:13" ht="11.25" customHeight="1" x14ac:dyDescent="0.2">
      <c r="A138" s="125" t="s">
        <v>253</v>
      </c>
      <c r="B138" s="142" t="s">
        <v>254</v>
      </c>
      <c r="C138" s="245">
        <f>VLOOKUP($A138,'Table 20 data'!$A$9:$W$184,$B$4+'Table 20 data'!C$4,0)</f>
        <v>3044</v>
      </c>
      <c r="D138" s="246">
        <f>VLOOKUP($A138,'Table 20 data'!$A$9:$W$184,$B$4+'Table 20 data'!D$4,0)</f>
        <v>79.5</v>
      </c>
      <c r="E138" s="245">
        <f>VLOOKUP($A138,'Table 20 data'!$A$9:$W$184,$B$4+'Table 20 data'!E$4,0)</f>
        <v>3032</v>
      </c>
      <c r="F138" s="246">
        <f>VLOOKUP($A138,'Table 20 data'!$A$9:$W$184,$B$4+'Table 20 data'!F$4,0)</f>
        <v>83.7</v>
      </c>
      <c r="G138" s="245">
        <f>VLOOKUP($A138,'Table 20 data'!$A$9:$W$184,$B$4+'Table 20 data'!G$4,0)</f>
        <v>3118</v>
      </c>
      <c r="H138" s="246">
        <f>VLOOKUP($A138,'Table 20 data'!$A$9:$W$184,$B$4+'Table 20 data'!H$4,0)</f>
        <v>82.8</v>
      </c>
      <c r="I138" s="245">
        <f>VLOOKUP($A138,'Table 20 data'!$A$9:$W$184,$B$4+'Table 20 data'!I$4,0)</f>
        <v>3166</v>
      </c>
      <c r="J138" s="246">
        <f>VLOOKUP($A138,'Table 20 data'!$A$9:$W$184,$B$4+'Table 20 data'!J$4,0)</f>
        <v>79.2</v>
      </c>
      <c r="K138" s="245">
        <f>VLOOKUP($A138,'Table 20 data'!$A$9:$W$184,$B$4+'Table 20 data'!K$4,0)</f>
        <v>3290</v>
      </c>
      <c r="L138" s="246">
        <f>VLOOKUP($A138,'Table 20 data'!$A$9:$W$184,$B$4+'Table 20 data'!L$4,0)</f>
        <v>80.400000000000006</v>
      </c>
      <c r="M138" s="136"/>
    </row>
    <row r="139" spans="1:13" ht="11.25" customHeight="1" x14ac:dyDescent="0.2">
      <c r="A139" s="125" t="s">
        <v>255</v>
      </c>
      <c r="B139" s="142" t="s">
        <v>256</v>
      </c>
      <c r="C139" s="245">
        <f>VLOOKUP($A139,'Table 20 data'!$A$9:$W$184,$B$4+'Table 20 data'!C$4,0)</f>
        <v>1349</v>
      </c>
      <c r="D139" s="246">
        <f>VLOOKUP($A139,'Table 20 data'!$A$9:$W$184,$B$4+'Table 20 data'!D$4,0)</f>
        <v>69.8</v>
      </c>
      <c r="E139" s="245">
        <f>VLOOKUP($A139,'Table 20 data'!$A$9:$W$184,$B$4+'Table 20 data'!E$4,0)</f>
        <v>1276</v>
      </c>
      <c r="F139" s="246">
        <f>VLOOKUP($A139,'Table 20 data'!$A$9:$W$184,$B$4+'Table 20 data'!F$4,0)</f>
        <v>73</v>
      </c>
      <c r="G139" s="245">
        <f>VLOOKUP($A139,'Table 20 data'!$A$9:$W$184,$B$4+'Table 20 data'!G$4,0)</f>
        <v>1320</v>
      </c>
      <c r="H139" s="246">
        <f>VLOOKUP($A139,'Table 20 data'!$A$9:$W$184,$B$4+'Table 20 data'!H$4,0)</f>
        <v>75.599999999999994</v>
      </c>
      <c r="I139" s="245">
        <f>VLOOKUP($A139,'Table 20 data'!$A$9:$W$184,$B$4+'Table 20 data'!I$4,0)</f>
        <v>1223</v>
      </c>
      <c r="J139" s="246">
        <f>VLOOKUP($A139,'Table 20 data'!$A$9:$W$184,$B$4+'Table 20 data'!J$4,0)</f>
        <v>68.400000000000006</v>
      </c>
      <c r="K139" s="245">
        <f>VLOOKUP($A139,'Table 20 data'!$A$9:$W$184,$B$4+'Table 20 data'!K$4,0)</f>
        <v>1271</v>
      </c>
      <c r="L139" s="246">
        <f>VLOOKUP($A139,'Table 20 data'!$A$9:$W$184,$B$4+'Table 20 data'!L$4,0)</f>
        <v>74.7</v>
      </c>
      <c r="M139" s="136"/>
    </row>
    <row r="140" spans="1:13" ht="11.25" customHeight="1" x14ac:dyDescent="0.2">
      <c r="A140" s="125" t="s">
        <v>257</v>
      </c>
      <c r="B140" s="142" t="s">
        <v>258</v>
      </c>
      <c r="C140" s="245">
        <f>VLOOKUP($A140,'Table 20 data'!$A$9:$W$184,$B$4+'Table 20 data'!C$4,0)</f>
        <v>2543</v>
      </c>
      <c r="D140" s="246">
        <f>VLOOKUP($A140,'Table 20 data'!$A$9:$W$184,$B$4+'Table 20 data'!D$4,0)</f>
        <v>75.400000000000006</v>
      </c>
      <c r="E140" s="245">
        <f>VLOOKUP($A140,'Table 20 data'!$A$9:$W$184,$B$4+'Table 20 data'!E$4,0)</f>
        <v>2594</v>
      </c>
      <c r="F140" s="246">
        <f>VLOOKUP($A140,'Table 20 data'!$A$9:$W$184,$B$4+'Table 20 data'!F$4,0)</f>
        <v>79.3</v>
      </c>
      <c r="G140" s="245">
        <f>VLOOKUP($A140,'Table 20 data'!$A$9:$W$184,$B$4+'Table 20 data'!G$4,0)</f>
        <v>2559</v>
      </c>
      <c r="H140" s="246">
        <f>VLOOKUP($A140,'Table 20 data'!$A$9:$W$184,$B$4+'Table 20 data'!H$4,0)</f>
        <v>82.3</v>
      </c>
      <c r="I140" s="245">
        <f>VLOOKUP($A140,'Table 20 data'!$A$9:$W$184,$B$4+'Table 20 data'!I$4,0)</f>
        <v>2578</v>
      </c>
      <c r="J140" s="246">
        <f>VLOOKUP($A140,'Table 20 data'!$A$9:$W$184,$B$4+'Table 20 data'!J$4,0)</f>
        <v>78.7</v>
      </c>
      <c r="K140" s="245">
        <f>VLOOKUP($A140,'Table 20 data'!$A$9:$W$184,$B$4+'Table 20 data'!K$4,0)</f>
        <v>2648</v>
      </c>
      <c r="L140" s="246">
        <f>VLOOKUP($A140,'Table 20 data'!$A$9:$W$184,$B$4+'Table 20 data'!L$4,0)</f>
        <v>83.2</v>
      </c>
      <c r="M140" s="136"/>
    </row>
    <row r="141" spans="1:13" ht="11.25" customHeight="1" x14ac:dyDescent="0.2">
      <c r="A141" s="125" t="s">
        <v>259</v>
      </c>
      <c r="B141" s="142" t="s">
        <v>260</v>
      </c>
      <c r="C141" s="245">
        <f>VLOOKUP($A141,'Table 20 data'!$A$9:$W$184,$B$4+'Table 20 data'!C$4,0)</f>
        <v>2408</v>
      </c>
      <c r="D141" s="246">
        <f>VLOOKUP($A141,'Table 20 data'!$A$9:$W$184,$B$4+'Table 20 data'!D$4,0)</f>
        <v>66.099999999999994</v>
      </c>
      <c r="E141" s="245">
        <f>VLOOKUP($A141,'Table 20 data'!$A$9:$W$184,$B$4+'Table 20 data'!E$4,0)</f>
        <v>2452</v>
      </c>
      <c r="F141" s="246">
        <f>VLOOKUP($A141,'Table 20 data'!$A$9:$W$184,$B$4+'Table 20 data'!F$4,0)</f>
        <v>73.400000000000006</v>
      </c>
      <c r="G141" s="245">
        <f>VLOOKUP($A141,'Table 20 data'!$A$9:$W$184,$B$4+'Table 20 data'!G$4,0)</f>
        <v>2303</v>
      </c>
      <c r="H141" s="246">
        <f>VLOOKUP($A141,'Table 20 data'!$A$9:$W$184,$B$4+'Table 20 data'!H$4,0)</f>
        <v>74.2</v>
      </c>
      <c r="I141" s="245">
        <f>VLOOKUP($A141,'Table 20 data'!$A$9:$W$184,$B$4+'Table 20 data'!I$4,0)</f>
        <v>2323</v>
      </c>
      <c r="J141" s="246">
        <f>VLOOKUP($A141,'Table 20 data'!$A$9:$W$184,$B$4+'Table 20 data'!J$4,0)</f>
        <v>68.2</v>
      </c>
      <c r="K141" s="245">
        <f>VLOOKUP($A141,'Table 20 data'!$A$9:$W$184,$B$4+'Table 20 data'!K$4,0)</f>
        <v>2394</v>
      </c>
      <c r="L141" s="246">
        <f>VLOOKUP($A141,'Table 20 data'!$A$9:$W$184,$B$4+'Table 20 data'!L$4,0)</f>
        <v>71.3</v>
      </c>
      <c r="M141" s="136"/>
    </row>
    <row r="142" spans="1:13" ht="11.25" customHeight="1" x14ac:dyDescent="0.2">
      <c r="A142" s="3"/>
      <c r="B142" s="142"/>
      <c r="C142" s="247"/>
      <c r="D142" s="256"/>
      <c r="E142" s="247"/>
      <c r="F142" s="256"/>
      <c r="G142" s="247"/>
      <c r="H142" s="249"/>
      <c r="I142" s="250"/>
      <c r="J142" s="250"/>
      <c r="K142" s="250"/>
      <c r="L142" s="250"/>
      <c r="M142" s="136"/>
    </row>
    <row r="143" spans="1:13" s="98" customFormat="1" ht="11.25" customHeight="1" x14ac:dyDescent="0.2">
      <c r="A143" s="16" t="s">
        <v>387</v>
      </c>
      <c r="B143" s="92" t="s">
        <v>261</v>
      </c>
      <c r="C143" s="243">
        <f>VLOOKUP($A143,'Table 20 data'!$A$9:$W$184,$B$4+'Table 20 data'!C$4,0)</f>
        <v>86857</v>
      </c>
      <c r="D143" s="244">
        <f>VLOOKUP($A143,'Table 20 data'!$A$9:$W$184,$B$4+'Table 20 data'!D$4,0)</f>
        <v>67.5</v>
      </c>
      <c r="E143" s="243">
        <f>VLOOKUP($A143,'Table 20 data'!$A$9:$W$184,$B$4+'Table 20 data'!E$4,0)</f>
        <v>88474</v>
      </c>
      <c r="F143" s="244">
        <f>VLOOKUP($A143,'Table 20 data'!$A$9:$W$184,$B$4+'Table 20 data'!F$4,0)</f>
        <v>71.7</v>
      </c>
      <c r="G143" s="243">
        <f>VLOOKUP($A143,'Table 20 data'!$A$9:$W$184,$B$4+'Table 20 data'!G$4,0)</f>
        <v>85534</v>
      </c>
      <c r="H143" s="244">
        <f>VLOOKUP($A143,'Table 20 data'!$A$9:$W$184,$B$4+'Table 20 data'!H$4,0)</f>
        <v>72.2</v>
      </c>
      <c r="I143" s="243">
        <f>VLOOKUP($A143,'Table 20 data'!$A$9:$W$184,$B$4+'Table 20 data'!I$4,0)</f>
        <v>85179</v>
      </c>
      <c r="J143" s="244">
        <f>VLOOKUP($A143,'Table 20 data'!$A$9:$W$184,$B$4+'Table 20 data'!J$4,0)</f>
        <v>68.400000000000006</v>
      </c>
      <c r="K143" s="243">
        <f>VLOOKUP($A143,'Table 20 data'!$A$9:$W$184,$B$4+'Table 20 data'!K$4,0)</f>
        <v>87045</v>
      </c>
      <c r="L143" s="244">
        <f>VLOOKUP($A143,'Table 20 data'!$A$9:$W$184,$B$4+'Table 20 data'!L$4,0)</f>
        <v>72.3</v>
      </c>
      <c r="M143" s="136"/>
    </row>
    <row r="144" spans="1:13" ht="11.25" customHeight="1" x14ac:dyDescent="0.2">
      <c r="A144" s="125" t="s">
        <v>464</v>
      </c>
      <c r="B144" s="142" t="s">
        <v>262</v>
      </c>
      <c r="C144" s="245">
        <f>VLOOKUP($A144,'Table 20 data'!$A$9:$W$184,$B$4+'Table 20 data'!C$4,0)</f>
        <v>1071</v>
      </c>
      <c r="D144" s="246">
        <f>VLOOKUP($A144,'Table 20 data'!$A$9:$W$184,$B$4+'Table 20 data'!D$4,0)</f>
        <v>60.1</v>
      </c>
      <c r="E144" s="245">
        <f>VLOOKUP($A144,'Table 20 data'!$A$9:$W$184,$B$4+'Table 20 data'!E$4,0)</f>
        <v>1057</v>
      </c>
      <c r="F144" s="246">
        <f>VLOOKUP($A144,'Table 20 data'!$A$9:$W$184,$B$4+'Table 20 data'!F$4,0)</f>
        <v>71.2</v>
      </c>
      <c r="G144" s="245">
        <f>VLOOKUP($A144,'Table 20 data'!$A$9:$W$184,$B$4+'Table 20 data'!G$4,0)</f>
        <v>1048</v>
      </c>
      <c r="H144" s="246">
        <f>VLOOKUP($A144,'Table 20 data'!$A$9:$W$184,$B$4+'Table 20 data'!H$4,0)</f>
        <v>73.3</v>
      </c>
      <c r="I144" s="245">
        <f>VLOOKUP($A144,'Table 20 data'!$A$9:$W$184,$B$4+'Table 20 data'!I$4,0)</f>
        <v>1061</v>
      </c>
      <c r="J144" s="246">
        <f>VLOOKUP($A144,'Table 20 data'!$A$9:$W$184,$B$4+'Table 20 data'!J$4,0)</f>
        <v>71.099999999999994</v>
      </c>
      <c r="K144" s="245">
        <f>VLOOKUP($A144,'Table 20 data'!$A$9:$W$184,$B$4+'Table 20 data'!K$4,0)</f>
        <v>1049</v>
      </c>
      <c r="L144" s="246">
        <f>VLOOKUP($A144,'Table 20 data'!$A$9:$W$184,$B$4+'Table 20 data'!L$4,0)</f>
        <v>70.400000000000006</v>
      </c>
      <c r="M144" s="136"/>
    </row>
    <row r="145" spans="1:13" ht="11.25" customHeight="1" x14ac:dyDescent="0.2">
      <c r="A145" s="125" t="s">
        <v>263</v>
      </c>
      <c r="B145" s="142" t="s">
        <v>264</v>
      </c>
      <c r="C145" s="245">
        <f>VLOOKUP($A145,'Table 20 data'!$A$9:$W$184,$B$4+'Table 20 data'!C$4,0)</f>
        <v>2209</v>
      </c>
      <c r="D145" s="246">
        <f>VLOOKUP($A145,'Table 20 data'!$A$9:$W$184,$B$4+'Table 20 data'!D$4,0)</f>
        <v>61.5</v>
      </c>
      <c r="E145" s="245">
        <f>VLOOKUP($A145,'Table 20 data'!$A$9:$W$184,$B$4+'Table 20 data'!E$4,0)</f>
        <v>2283</v>
      </c>
      <c r="F145" s="246">
        <f>VLOOKUP($A145,'Table 20 data'!$A$9:$W$184,$B$4+'Table 20 data'!F$4,0)</f>
        <v>66.5</v>
      </c>
      <c r="G145" s="245">
        <f>VLOOKUP($A145,'Table 20 data'!$A$9:$W$184,$B$4+'Table 20 data'!G$4,0)</f>
        <v>2219</v>
      </c>
      <c r="H145" s="246">
        <f>VLOOKUP($A145,'Table 20 data'!$A$9:$W$184,$B$4+'Table 20 data'!H$4,0)</f>
        <v>64.099999999999994</v>
      </c>
      <c r="I145" s="245">
        <f>VLOOKUP($A145,'Table 20 data'!$A$9:$W$184,$B$4+'Table 20 data'!I$4,0)</f>
        <v>2124</v>
      </c>
      <c r="J145" s="246">
        <f>VLOOKUP($A145,'Table 20 data'!$A$9:$W$184,$B$4+'Table 20 data'!J$4,0)</f>
        <v>70.400000000000006</v>
      </c>
      <c r="K145" s="245">
        <f>VLOOKUP($A145,'Table 20 data'!$A$9:$W$184,$B$4+'Table 20 data'!K$4,0)</f>
        <v>2204</v>
      </c>
      <c r="L145" s="246">
        <f>VLOOKUP($A145,'Table 20 data'!$A$9:$W$184,$B$4+'Table 20 data'!L$4,0)</f>
        <v>73.2</v>
      </c>
      <c r="M145" s="136"/>
    </row>
    <row r="146" spans="1:13" ht="11.25" customHeight="1" x14ac:dyDescent="0.2">
      <c r="A146" s="125" t="s">
        <v>265</v>
      </c>
      <c r="B146" s="142" t="s">
        <v>266</v>
      </c>
      <c r="C146" s="245">
        <f>VLOOKUP($A146,'Table 20 data'!$A$9:$W$184,$B$4+'Table 20 data'!C$4,0)</f>
        <v>5479</v>
      </c>
      <c r="D146" s="246">
        <f>VLOOKUP($A146,'Table 20 data'!$A$9:$W$184,$B$4+'Table 20 data'!D$4,0)</f>
        <v>75.5</v>
      </c>
      <c r="E146" s="245">
        <f>VLOOKUP($A146,'Table 20 data'!$A$9:$W$184,$B$4+'Table 20 data'!E$4,0)</f>
        <v>5627</v>
      </c>
      <c r="F146" s="246">
        <f>VLOOKUP($A146,'Table 20 data'!$A$9:$W$184,$B$4+'Table 20 data'!F$4,0)</f>
        <v>76.400000000000006</v>
      </c>
      <c r="G146" s="245">
        <f>VLOOKUP($A146,'Table 20 data'!$A$9:$W$184,$B$4+'Table 20 data'!G$4,0)</f>
        <v>5373</v>
      </c>
      <c r="H146" s="246">
        <f>VLOOKUP($A146,'Table 20 data'!$A$9:$W$184,$B$4+'Table 20 data'!H$4,0)</f>
        <v>77.400000000000006</v>
      </c>
      <c r="I146" s="245">
        <f>VLOOKUP($A146,'Table 20 data'!$A$9:$W$184,$B$4+'Table 20 data'!I$4,0)</f>
        <v>5353</v>
      </c>
      <c r="J146" s="246">
        <f>VLOOKUP($A146,'Table 20 data'!$A$9:$W$184,$B$4+'Table 20 data'!J$4,0)</f>
        <v>74.599999999999994</v>
      </c>
      <c r="K146" s="245">
        <f>VLOOKUP($A146,'Table 20 data'!$A$9:$W$184,$B$4+'Table 20 data'!K$4,0)</f>
        <v>5432</v>
      </c>
      <c r="L146" s="246">
        <f>VLOOKUP($A146,'Table 20 data'!$A$9:$W$184,$B$4+'Table 20 data'!L$4,0)</f>
        <v>78.099999999999994</v>
      </c>
      <c r="M146" s="136"/>
    </row>
    <row r="147" spans="1:13" ht="11.25" customHeight="1" x14ac:dyDescent="0.2">
      <c r="A147" s="125" t="s">
        <v>267</v>
      </c>
      <c r="B147" s="142" t="s">
        <v>268</v>
      </c>
      <c r="C147" s="245">
        <f>VLOOKUP($A147,'Table 20 data'!$A$9:$W$184,$B$4+'Table 20 data'!C$4,0)</f>
        <v>5069</v>
      </c>
      <c r="D147" s="246">
        <f>VLOOKUP($A147,'Table 20 data'!$A$9:$W$184,$B$4+'Table 20 data'!D$4,0)</f>
        <v>63</v>
      </c>
      <c r="E147" s="245">
        <f>VLOOKUP($A147,'Table 20 data'!$A$9:$W$184,$B$4+'Table 20 data'!E$4,0)</f>
        <v>5254</v>
      </c>
      <c r="F147" s="246">
        <f>VLOOKUP($A147,'Table 20 data'!$A$9:$W$184,$B$4+'Table 20 data'!F$4,0)</f>
        <v>68.2</v>
      </c>
      <c r="G147" s="245">
        <f>VLOOKUP($A147,'Table 20 data'!$A$9:$W$184,$B$4+'Table 20 data'!G$4,0)</f>
        <v>5046</v>
      </c>
      <c r="H147" s="246">
        <f>VLOOKUP($A147,'Table 20 data'!$A$9:$W$184,$B$4+'Table 20 data'!H$4,0)</f>
        <v>70</v>
      </c>
      <c r="I147" s="245">
        <f>VLOOKUP($A147,'Table 20 data'!$A$9:$W$184,$B$4+'Table 20 data'!I$4,0)</f>
        <v>4922</v>
      </c>
      <c r="J147" s="246">
        <f>VLOOKUP($A147,'Table 20 data'!$A$9:$W$184,$B$4+'Table 20 data'!J$4,0)</f>
        <v>65.900000000000006</v>
      </c>
      <c r="K147" s="245">
        <f>VLOOKUP($A147,'Table 20 data'!$A$9:$W$184,$B$4+'Table 20 data'!K$4,0)</f>
        <v>5206</v>
      </c>
      <c r="L147" s="246">
        <f>VLOOKUP($A147,'Table 20 data'!$A$9:$W$184,$B$4+'Table 20 data'!L$4,0)</f>
        <v>72.400000000000006</v>
      </c>
      <c r="M147" s="136"/>
    </row>
    <row r="148" spans="1:13" ht="11.25" customHeight="1" x14ac:dyDescent="0.2">
      <c r="A148" s="125" t="s">
        <v>269</v>
      </c>
      <c r="B148" s="142" t="s">
        <v>270</v>
      </c>
      <c r="C148" s="245">
        <f>VLOOKUP($A148,'Table 20 data'!$A$9:$W$184,$B$4+'Table 20 data'!C$4,0)</f>
        <v>13744</v>
      </c>
      <c r="D148" s="246">
        <f>VLOOKUP($A148,'Table 20 data'!$A$9:$W$184,$B$4+'Table 20 data'!D$4,0)</f>
        <v>69.8</v>
      </c>
      <c r="E148" s="245">
        <f>VLOOKUP($A148,'Table 20 data'!$A$9:$W$184,$B$4+'Table 20 data'!E$4,0)</f>
        <v>13828</v>
      </c>
      <c r="F148" s="246">
        <f>VLOOKUP($A148,'Table 20 data'!$A$9:$W$184,$B$4+'Table 20 data'!F$4,0)</f>
        <v>72.5</v>
      </c>
      <c r="G148" s="245">
        <f>VLOOKUP($A148,'Table 20 data'!$A$9:$W$184,$B$4+'Table 20 data'!G$4,0)</f>
        <v>13453</v>
      </c>
      <c r="H148" s="246">
        <f>VLOOKUP($A148,'Table 20 data'!$A$9:$W$184,$B$4+'Table 20 data'!H$4,0)</f>
        <v>73.2</v>
      </c>
      <c r="I148" s="245">
        <f>VLOOKUP($A148,'Table 20 data'!$A$9:$W$184,$B$4+'Table 20 data'!I$4,0)</f>
        <v>13489</v>
      </c>
      <c r="J148" s="246">
        <f>VLOOKUP($A148,'Table 20 data'!$A$9:$W$184,$B$4+'Table 20 data'!J$4,0)</f>
        <v>66.099999999999994</v>
      </c>
      <c r="K148" s="245">
        <f>VLOOKUP($A148,'Table 20 data'!$A$9:$W$184,$B$4+'Table 20 data'!K$4,0)</f>
        <v>13625</v>
      </c>
      <c r="L148" s="246">
        <f>VLOOKUP($A148,'Table 20 data'!$A$9:$W$184,$B$4+'Table 20 data'!L$4,0)</f>
        <v>69.3</v>
      </c>
      <c r="M148" s="136"/>
    </row>
    <row r="149" spans="1:13" ht="11.25" customHeight="1" x14ac:dyDescent="0.2">
      <c r="A149" s="125" t="s">
        <v>271</v>
      </c>
      <c r="B149" s="142" t="s">
        <v>272</v>
      </c>
      <c r="C149" s="245">
        <f>VLOOKUP($A149,'Table 20 data'!$A$9:$W$184,$B$4+'Table 20 data'!C$4,0)</f>
        <v>1497</v>
      </c>
      <c r="D149" s="246">
        <f>VLOOKUP($A149,'Table 20 data'!$A$9:$W$184,$B$4+'Table 20 data'!D$4,0)</f>
        <v>58.3</v>
      </c>
      <c r="E149" s="245">
        <f>VLOOKUP($A149,'Table 20 data'!$A$9:$W$184,$B$4+'Table 20 data'!E$4,0)</f>
        <v>1506</v>
      </c>
      <c r="F149" s="246">
        <f>VLOOKUP($A149,'Table 20 data'!$A$9:$W$184,$B$4+'Table 20 data'!F$4,0)</f>
        <v>64.2</v>
      </c>
      <c r="G149" s="245">
        <f>VLOOKUP($A149,'Table 20 data'!$A$9:$W$184,$B$4+'Table 20 data'!G$4,0)</f>
        <v>1434</v>
      </c>
      <c r="H149" s="246">
        <f>VLOOKUP($A149,'Table 20 data'!$A$9:$W$184,$B$4+'Table 20 data'!H$4,0)</f>
        <v>63.4</v>
      </c>
      <c r="I149" s="245">
        <f>VLOOKUP($A149,'Table 20 data'!$A$9:$W$184,$B$4+'Table 20 data'!I$4,0)</f>
        <v>1532</v>
      </c>
      <c r="J149" s="246">
        <f>VLOOKUP($A149,'Table 20 data'!$A$9:$W$184,$B$4+'Table 20 data'!J$4,0)</f>
        <v>52.3</v>
      </c>
      <c r="K149" s="245">
        <f>VLOOKUP($A149,'Table 20 data'!$A$9:$W$184,$B$4+'Table 20 data'!K$4,0)</f>
        <v>1443</v>
      </c>
      <c r="L149" s="246">
        <f>VLOOKUP($A149,'Table 20 data'!$A$9:$W$184,$B$4+'Table 20 data'!L$4,0)</f>
        <v>61</v>
      </c>
      <c r="M149" s="136"/>
    </row>
    <row r="150" spans="1:13" ht="11.25" customHeight="1" x14ac:dyDescent="0.2">
      <c r="A150" s="125" t="s">
        <v>273</v>
      </c>
      <c r="B150" s="142" t="s">
        <v>274</v>
      </c>
      <c r="C150" s="245">
        <f>VLOOKUP($A150,'Table 20 data'!$A$9:$W$184,$B$4+'Table 20 data'!C$4,0)</f>
        <v>16272</v>
      </c>
      <c r="D150" s="246">
        <f>VLOOKUP($A150,'Table 20 data'!$A$9:$W$184,$B$4+'Table 20 data'!D$4,0)</f>
        <v>64.7</v>
      </c>
      <c r="E150" s="245">
        <f>VLOOKUP($A150,'Table 20 data'!$A$9:$W$184,$B$4+'Table 20 data'!E$4,0)</f>
        <v>16434</v>
      </c>
      <c r="F150" s="246">
        <f>VLOOKUP($A150,'Table 20 data'!$A$9:$W$184,$B$4+'Table 20 data'!F$4,0)</f>
        <v>70.400000000000006</v>
      </c>
      <c r="G150" s="245">
        <f>VLOOKUP($A150,'Table 20 data'!$A$9:$W$184,$B$4+'Table 20 data'!G$4,0)</f>
        <v>15735</v>
      </c>
      <c r="H150" s="246">
        <f>VLOOKUP($A150,'Table 20 data'!$A$9:$W$184,$B$4+'Table 20 data'!H$4,0)</f>
        <v>71.2</v>
      </c>
      <c r="I150" s="245">
        <f>VLOOKUP($A150,'Table 20 data'!$A$9:$W$184,$B$4+'Table 20 data'!I$4,0)</f>
        <v>15876</v>
      </c>
      <c r="J150" s="246">
        <f>VLOOKUP($A150,'Table 20 data'!$A$9:$W$184,$B$4+'Table 20 data'!J$4,0)</f>
        <v>69</v>
      </c>
      <c r="K150" s="245">
        <f>VLOOKUP($A150,'Table 20 data'!$A$9:$W$184,$B$4+'Table 20 data'!K$4,0)</f>
        <v>16213</v>
      </c>
      <c r="L150" s="246">
        <f>VLOOKUP($A150,'Table 20 data'!$A$9:$W$184,$B$4+'Table 20 data'!L$4,0)</f>
        <v>73</v>
      </c>
      <c r="M150" s="136"/>
    </row>
    <row r="151" spans="1:13" ht="11.25" customHeight="1" x14ac:dyDescent="0.2">
      <c r="A151" s="125" t="s">
        <v>275</v>
      </c>
      <c r="B151" s="142" t="s">
        <v>276</v>
      </c>
      <c r="C151" s="245">
        <f>VLOOKUP($A151,'Table 20 data'!$A$9:$W$184,$B$4+'Table 20 data'!C$4,0)</f>
        <v>3313</v>
      </c>
      <c r="D151" s="246">
        <f>VLOOKUP($A151,'Table 20 data'!$A$9:$W$184,$B$4+'Table 20 data'!D$4,0)</f>
        <v>69.3</v>
      </c>
      <c r="E151" s="245">
        <f>VLOOKUP($A151,'Table 20 data'!$A$9:$W$184,$B$4+'Table 20 data'!E$4,0)</f>
        <v>3355</v>
      </c>
      <c r="F151" s="246">
        <f>VLOOKUP($A151,'Table 20 data'!$A$9:$W$184,$B$4+'Table 20 data'!F$4,0)</f>
        <v>68.099999999999994</v>
      </c>
      <c r="G151" s="245">
        <f>VLOOKUP($A151,'Table 20 data'!$A$9:$W$184,$B$4+'Table 20 data'!G$4,0)</f>
        <v>3144</v>
      </c>
      <c r="H151" s="246">
        <f>VLOOKUP($A151,'Table 20 data'!$A$9:$W$184,$B$4+'Table 20 data'!H$4,0)</f>
        <v>67.7</v>
      </c>
      <c r="I151" s="245">
        <f>VLOOKUP($A151,'Table 20 data'!$A$9:$W$184,$B$4+'Table 20 data'!I$4,0)</f>
        <v>3084</v>
      </c>
      <c r="J151" s="246">
        <f>VLOOKUP($A151,'Table 20 data'!$A$9:$W$184,$B$4+'Table 20 data'!J$4,0)</f>
        <v>72.8</v>
      </c>
      <c r="K151" s="245">
        <f>VLOOKUP($A151,'Table 20 data'!$A$9:$W$184,$B$4+'Table 20 data'!K$4,0)</f>
        <v>3168</v>
      </c>
      <c r="L151" s="246">
        <f>VLOOKUP($A151,'Table 20 data'!$A$9:$W$184,$B$4+'Table 20 data'!L$4,0)</f>
        <v>71.7</v>
      </c>
      <c r="M151" s="136"/>
    </row>
    <row r="152" spans="1:13" ht="11.25" customHeight="1" x14ac:dyDescent="0.2">
      <c r="A152" s="125" t="s">
        <v>277</v>
      </c>
      <c r="B152" s="142" t="s">
        <v>278</v>
      </c>
      <c r="C152" s="245">
        <f>VLOOKUP($A152,'Table 20 data'!$A$9:$W$184,$B$4+'Table 20 data'!C$4,0)</f>
        <v>2497</v>
      </c>
      <c r="D152" s="246">
        <f>VLOOKUP($A152,'Table 20 data'!$A$9:$W$184,$B$4+'Table 20 data'!D$4,0)</f>
        <v>66.900000000000006</v>
      </c>
      <c r="E152" s="245">
        <f>VLOOKUP($A152,'Table 20 data'!$A$9:$W$184,$B$4+'Table 20 data'!E$4,0)</f>
        <v>2659</v>
      </c>
      <c r="F152" s="246">
        <f>VLOOKUP($A152,'Table 20 data'!$A$9:$W$184,$B$4+'Table 20 data'!F$4,0)</f>
        <v>70.3</v>
      </c>
      <c r="G152" s="245">
        <f>VLOOKUP($A152,'Table 20 data'!$A$9:$W$184,$B$4+'Table 20 data'!G$4,0)</f>
        <v>2523</v>
      </c>
      <c r="H152" s="246">
        <f>VLOOKUP($A152,'Table 20 data'!$A$9:$W$184,$B$4+'Table 20 data'!H$4,0)</f>
        <v>69.5</v>
      </c>
      <c r="I152" s="245">
        <f>VLOOKUP($A152,'Table 20 data'!$A$9:$W$184,$B$4+'Table 20 data'!I$4,0)</f>
        <v>2615</v>
      </c>
      <c r="J152" s="246">
        <f>VLOOKUP($A152,'Table 20 data'!$A$9:$W$184,$B$4+'Table 20 data'!J$4,0)</f>
        <v>75.3</v>
      </c>
      <c r="K152" s="245">
        <f>VLOOKUP($A152,'Table 20 data'!$A$9:$W$184,$B$4+'Table 20 data'!K$4,0)</f>
        <v>2657</v>
      </c>
      <c r="L152" s="246">
        <f>VLOOKUP($A152,'Table 20 data'!$A$9:$W$184,$B$4+'Table 20 data'!L$4,0)</f>
        <v>73</v>
      </c>
      <c r="M152" s="136"/>
    </row>
    <row r="153" spans="1:13" ht="11.25" customHeight="1" x14ac:dyDescent="0.2">
      <c r="A153" s="125" t="s">
        <v>279</v>
      </c>
      <c r="B153" s="142" t="s">
        <v>280</v>
      </c>
      <c r="C153" s="245">
        <f>VLOOKUP($A153,'Table 20 data'!$A$9:$W$184,$B$4+'Table 20 data'!C$4,0)</f>
        <v>6038</v>
      </c>
      <c r="D153" s="246">
        <f>VLOOKUP($A153,'Table 20 data'!$A$9:$W$184,$B$4+'Table 20 data'!D$4,0)</f>
        <v>67</v>
      </c>
      <c r="E153" s="245">
        <f>VLOOKUP($A153,'Table 20 data'!$A$9:$W$184,$B$4+'Table 20 data'!E$4,0)</f>
        <v>6193</v>
      </c>
      <c r="F153" s="246">
        <f>VLOOKUP($A153,'Table 20 data'!$A$9:$W$184,$B$4+'Table 20 data'!F$4,0)</f>
        <v>70.7</v>
      </c>
      <c r="G153" s="245">
        <f>VLOOKUP($A153,'Table 20 data'!$A$9:$W$184,$B$4+'Table 20 data'!G$4,0)</f>
        <v>5952</v>
      </c>
      <c r="H153" s="246">
        <f>VLOOKUP($A153,'Table 20 data'!$A$9:$W$184,$B$4+'Table 20 data'!H$4,0)</f>
        <v>69.8</v>
      </c>
      <c r="I153" s="245">
        <f>VLOOKUP($A153,'Table 20 data'!$A$9:$W$184,$B$4+'Table 20 data'!I$4,0)</f>
        <v>5846</v>
      </c>
      <c r="J153" s="246">
        <f>VLOOKUP($A153,'Table 20 data'!$A$9:$W$184,$B$4+'Table 20 data'!J$4,0)</f>
        <v>65.2</v>
      </c>
      <c r="K153" s="245">
        <f>VLOOKUP($A153,'Table 20 data'!$A$9:$W$184,$B$4+'Table 20 data'!K$4,0)</f>
        <v>6090</v>
      </c>
      <c r="L153" s="246">
        <f>VLOOKUP($A153,'Table 20 data'!$A$9:$W$184,$B$4+'Table 20 data'!L$4,0)</f>
        <v>70.400000000000006</v>
      </c>
      <c r="M153" s="136"/>
    </row>
    <row r="154" spans="1:13" ht="11.25" customHeight="1" x14ac:dyDescent="0.2">
      <c r="A154" s="125" t="s">
        <v>281</v>
      </c>
      <c r="B154" s="142" t="s">
        <v>282</v>
      </c>
      <c r="C154" s="245">
        <f>VLOOKUP($A154,'Table 20 data'!$A$9:$W$184,$B$4+'Table 20 data'!C$4,0)</f>
        <v>1927</v>
      </c>
      <c r="D154" s="246">
        <f>VLOOKUP($A154,'Table 20 data'!$A$9:$W$184,$B$4+'Table 20 data'!D$4,0)</f>
        <v>56.1</v>
      </c>
      <c r="E154" s="245">
        <f>VLOOKUP($A154,'Table 20 data'!$A$9:$W$184,$B$4+'Table 20 data'!E$4,0)</f>
        <v>1865</v>
      </c>
      <c r="F154" s="246">
        <f>VLOOKUP($A154,'Table 20 data'!$A$9:$W$184,$B$4+'Table 20 data'!F$4,0)</f>
        <v>62.2</v>
      </c>
      <c r="G154" s="245">
        <f>VLOOKUP($A154,'Table 20 data'!$A$9:$W$184,$B$4+'Table 20 data'!G$4,0)</f>
        <v>1872</v>
      </c>
      <c r="H154" s="246">
        <f>VLOOKUP($A154,'Table 20 data'!$A$9:$W$184,$B$4+'Table 20 data'!H$4,0)</f>
        <v>63.7</v>
      </c>
      <c r="I154" s="245">
        <f>VLOOKUP($A154,'Table 20 data'!$A$9:$W$184,$B$4+'Table 20 data'!I$4,0)</f>
        <v>1763</v>
      </c>
      <c r="J154" s="246">
        <f>VLOOKUP($A154,'Table 20 data'!$A$9:$W$184,$B$4+'Table 20 data'!J$4,0)</f>
        <v>62.8</v>
      </c>
      <c r="K154" s="245">
        <f>VLOOKUP($A154,'Table 20 data'!$A$9:$W$184,$B$4+'Table 20 data'!K$4,0)</f>
        <v>1816</v>
      </c>
      <c r="L154" s="246">
        <f>VLOOKUP($A154,'Table 20 data'!$A$9:$W$184,$B$4+'Table 20 data'!L$4,0)</f>
        <v>57.3</v>
      </c>
      <c r="M154" s="136"/>
    </row>
    <row r="155" spans="1:13" ht="11.25" customHeight="1" x14ac:dyDescent="0.2">
      <c r="A155" s="125" t="s">
        <v>283</v>
      </c>
      <c r="B155" s="142" t="s">
        <v>284</v>
      </c>
      <c r="C155" s="245">
        <f>VLOOKUP($A155,'Table 20 data'!$A$9:$W$184,$B$4+'Table 20 data'!C$4,0)</f>
        <v>881</v>
      </c>
      <c r="D155" s="246">
        <f>VLOOKUP($A155,'Table 20 data'!$A$9:$W$184,$B$4+'Table 20 data'!D$4,0)</f>
        <v>66.599999999999994</v>
      </c>
      <c r="E155" s="245">
        <f>VLOOKUP($A155,'Table 20 data'!$A$9:$W$184,$B$4+'Table 20 data'!E$4,0)</f>
        <v>912</v>
      </c>
      <c r="F155" s="246">
        <f>VLOOKUP($A155,'Table 20 data'!$A$9:$W$184,$B$4+'Table 20 data'!F$4,0)</f>
        <v>72</v>
      </c>
      <c r="G155" s="245">
        <f>VLOOKUP($A155,'Table 20 data'!$A$9:$W$184,$B$4+'Table 20 data'!G$4,0)</f>
        <v>923</v>
      </c>
      <c r="H155" s="246">
        <f>VLOOKUP($A155,'Table 20 data'!$A$9:$W$184,$B$4+'Table 20 data'!H$4,0)</f>
        <v>66.5</v>
      </c>
      <c r="I155" s="245">
        <f>VLOOKUP($A155,'Table 20 data'!$A$9:$W$184,$B$4+'Table 20 data'!I$4,0)</f>
        <v>953</v>
      </c>
      <c r="J155" s="246">
        <f>VLOOKUP($A155,'Table 20 data'!$A$9:$W$184,$B$4+'Table 20 data'!J$4,0)</f>
        <v>69.900000000000006</v>
      </c>
      <c r="K155" s="245">
        <f>VLOOKUP($A155,'Table 20 data'!$A$9:$W$184,$B$4+'Table 20 data'!K$4,0)</f>
        <v>1023</v>
      </c>
      <c r="L155" s="246">
        <f>VLOOKUP($A155,'Table 20 data'!$A$9:$W$184,$B$4+'Table 20 data'!L$4,0)</f>
        <v>72.8</v>
      </c>
      <c r="M155" s="136"/>
    </row>
    <row r="156" spans="1:13" ht="11.25" customHeight="1" x14ac:dyDescent="0.2">
      <c r="A156" s="125" t="s">
        <v>285</v>
      </c>
      <c r="B156" s="142" t="s">
        <v>286</v>
      </c>
      <c r="C156" s="245">
        <f>VLOOKUP($A156,'Table 20 data'!$A$9:$W$184,$B$4+'Table 20 data'!C$4,0)</f>
        <v>1380</v>
      </c>
      <c r="D156" s="246">
        <f>VLOOKUP($A156,'Table 20 data'!$A$9:$W$184,$B$4+'Table 20 data'!D$4,0)</f>
        <v>75.8</v>
      </c>
      <c r="E156" s="245">
        <f>VLOOKUP($A156,'Table 20 data'!$A$9:$W$184,$B$4+'Table 20 data'!E$4,0)</f>
        <v>1474</v>
      </c>
      <c r="F156" s="246">
        <f>VLOOKUP($A156,'Table 20 data'!$A$9:$W$184,$B$4+'Table 20 data'!F$4,0)</f>
        <v>80.099999999999994</v>
      </c>
      <c r="G156" s="245">
        <f>VLOOKUP($A156,'Table 20 data'!$A$9:$W$184,$B$4+'Table 20 data'!G$4,0)</f>
        <v>1458</v>
      </c>
      <c r="H156" s="246">
        <f>VLOOKUP($A156,'Table 20 data'!$A$9:$W$184,$B$4+'Table 20 data'!H$4,0)</f>
        <v>79.599999999999994</v>
      </c>
      <c r="I156" s="245">
        <f>VLOOKUP($A156,'Table 20 data'!$A$9:$W$184,$B$4+'Table 20 data'!I$4,0)</f>
        <v>1492</v>
      </c>
      <c r="J156" s="246">
        <f>VLOOKUP($A156,'Table 20 data'!$A$9:$W$184,$B$4+'Table 20 data'!J$4,0)</f>
        <v>75.3</v>
      </c>
      <c r="K156" s="245">
        <f>VLOOKUP($A156,'Table 20 data'!$A$9:$W$184,$B$4+'Table 20 data'!K$4,0)</f>
        <v>1603</v>
      </c>
      <c r="L156" s="246">
        <f>VLOOKUP($A156,'Table 20 data'!$A$9:$W$184,$B$4+'Table 20 data'!L$4,0)</f>
        <v>83.5</v>
      </c>
      <c r="M156" s="136"/>
    </row>
    <row r="157" spans="1:13" ht="11.25" customHeight="1" x14ac:dyDescent="0.2">
      <c r="A157" s="125" t="s">
        <v>287</v>
      </c>
      <c r="B157" s="142" t="s">
        <v>288</v>
      </c>
      <c r="C157" s="245">
        <f>VLOOKUP($A157,'Table 20 data'!$A$9:$W$184,$B$4+'Table 20 data'!C$4,0)</f>
        <v>2165</v>
      </c>
      <c r="D157" s="246">
        <f>VLOOKUP($A157,'Table 20 data'!$A$9:$W$184,$B$4+'Table 20 data'!D$4,0)</f>
        <v>62.1</v>
      </c>
      <c r="E157" s="245">
        <f>VLOOKUP($A157,'Table 20 data'!$A$9:$W$184,$B$4+'Table 20 data'!E$4,0)</f>
        <v>2022</v>
      </c>
      <c r="F157" s="246">
        <f>VLOOKUP($A157,'Table 20 data'!$A$9:$W$184,$B$4+'Table 20 data'!F$4,0)</f>
        <v>62.6</v>
      </c>
      <c r="G157" s="245">
        <f>VLOOKUP($A157,'Table 20 data'!$A$9:$W$184,$B$4+'Table 20 data'!G$4,0)</f>
        <v>1940</v>
      </c>
      <c r="H157" s="246">
        <f>VLOOKUP($A157,'Table 20 data'!$A$9:$W$184,$B$4+'Table 20 data'!H$4,0)</f>
        <v>67.2</v>
      </c>
      <c r="I157" s="245">
        <f>VLOOKUP($A157,'Table 20 data'!$A$9:$W$184,$B$4+'Table 20 data'!I$4,0)</f>
        <v>1821</v>
      </c>
      <c r="J157" s="246">
        <f>VLOOKUP($A157,'Table 20 data'!$A$9:$W$184,$B$4+'Table 20 data'!J$4,0)</f>
        <v>67.5</v>
      </c>
      <c r="K157" s="245">
        <f>VLOOKUP($A157,'Table 20 data'!$A$9:$W$184,$B$4+'Table 20 data'!K$4,0)</f>
        <v>1991</v>
      </c>
      <c r="L157" s="246">
        <f>VLOOKUP($A157,'Table 20 data'!$A$9:$W$184,$B$4+'Table 20 data'!L$4,0)</f>
        <v>71.599999999999994</v>
      </c>
      <c r="M157" s="136"/>
    </row>
    <row r="158" spans="1:13" ht="11.25" customHeight="1" x14ac:dyDescent="0.2">
      <c r="A158" s="125" t="s">
        <v>289</v>
      </c>
      <c r="B158" s="142" t="s">
        <v>290</v>
      </c>
      <c r="C158" s="245">
        <f>VLOOKUP($A158,'Table 20 data'!$A$9:$W$184,$B$4+'Table 20 data'!C$4,0)</f>
        <v>10233</v>
      </c>
      <c r="D158" s="246">
        <f>VLOOKUP($A158,'Table 20 data'!$A$9:$W$184,$B$4+'Table 20 data'!D$4,0)</f>
        <v>70</v>
      </c>
      <c r="E158" s="245">
        <f>VLOOKUP($A158,'Table 20 data'!$A$9:$W$184,$B$4+'Table 20 data'!E$4,0)</f>
        <v>10491</v>
      </c>
      <c r="F158" s="246">
        <f>VLOOKUP($A158,'Table 20 data'!$A$9:$W$184,$B$4+'Table 20 data'!F$4,0)</f>
        <v>74.599999999999994</v>
      </c>
      <c r="G158" s="245">
        <f>VLOOKUP($A158,'Table 20 data'!$A$9:$W$184,$B$4+'Table 20 data'!G$4,0)</f>
        <v>10434</v>
      </c>
      <c r="H158" s="246">
        <f>VLOOKUP($A158,'Table 20 data'!$A$9:$W$184,$B$4+'Table 20 data'!H$4,0)</f>
        <v>75.2</v>
      </c>
      <c r="I158" s="245">
        <f>VLOOKUP($A158,'Table 20 data'!$A$9:$W$184,$B$4+'Table 20 data'!I$4,0)</f>
        <v>10320</v>
      </c>
      <c r="J158" s="246">
        <f>VLOOKUP($A158,'Table 20 data'!$A$9:$W$184,$B$4+'Table 20 data'!J$4,0)</f>
        <v>70.900000000000006</v>
      </c>
      <c r="K158" s="245">
        <f>VLOOKUP($A158,'Table 20 data'!$A$9:$W$184,$B$4+'Table 20 data'!K$4,0)</f>
        <v>10370</v>
      </c>
      <c r="L158" s="246">
        <f>VLOOKUP($A158,'Table 20 data'!$A$9:$W$184,$B$4+'Table 20 data'!L$4,0)</f>
        <v>76.400000000000006</v>
      </c>
      <c r="M158" s="136"/>
    </row>
    <row r="159" spans="1:13" ht="11.25" customHeight="1" x14ac:dyDescent="0.2">
      <c r="A159" s="125" t="s">
        <v>291</v>
      </c>
      <c r="B159" s="142" t="s">
        <v>292</v>
      </c>
      <c r="C159" s="245">
        <f>VLOOKUP($A159,'Table 20 data'!$A$9:$W$184,$B$4+'Table 20 data'!C$4,0)</f>
        <v>1952</v>
      </c>
      <c r="D159" s="246">
        <f>VLOOKUP($A159,'Table 20 data'!$A$9:$W$184,$B$4+'Table 20 data'!D$4,0)</f>
        <v>67.400000000000006</v>
      </c>
      <c r="E159" s="245">
        <f>VLOOKUP($A159,'Table 20 data'!$A$9:$W$184,$B$4+'Table 20 data'!E$4,0)</f>
        <v>1956</v>
      </c>
      <c r="F159" s="246">
        <f>VLOOKUP($A159,'Table 20 data'!$A$9:$W$184,$B$4+'Table 20 data'!F$4,0)</f>
        <v>76.3</v>
      </c>
      <c r="G159" s="245">
        <f>VLOOKUP($A159,'Table 20 data'!$A$9:$W$184,$B$4+'Table 20 data'!G$4,0)</f>
        <v>1927</v>
      </c>
      <c r="H159" s="246">
        <f>VLOOKUP($A159,'Table 20 data'!$A$9:$W$184,$B$4+'Table 20 data'!H$4,0)</f>
        <v>76.3</v>
      </c>
      <c r="I159" s="245">
        <f>VLOOKUP($A159,'Table 20 data'!$A$9:$W$184,$B$4+'Table 20 data'!I$4,0)</f>
        <v>1857</v>
      </c>
      <c r="J159" s="246">
        <f>VLOOKUP($A159,'Table 20 data'!$A$9:$W$184,$B$4+'Table 20 data'!J$4,0)</f>
        <v>62.5</v>
      </c>
      <c r="K159" s="245">
        <f>VLOOKUP($A159,'Table 20 data'!$A$9:$W$184,$B$4+'Table 20 data'!K$4,0)</f>
        <v>1923</v>
      </c>
      <c r="L159" s="246">
        <f>VLOOKUP($A159,'Table 20 data'!$A$9:$W$184,$B$4+'Table 20 data'!L$4,0)</f>
        <v>70.8</v>
      </c>
      <c r="M159" s="136"/>
    </row>
    <row r="160" spans="1:13" ht="11.25" customHeight="1" x14ac:dyDescent="0.2">
      <c r="A160" s="125" t="s">
        <v>293</v>
      </c>
      <c r="B160" s="142" t="s">
        <v>294</v>
      </c>
      <c r="C160" s="245">
        <f>VLOOKUP($A160,'Table 20 data'!$A$9:$W$184,$B$4+'Table 20 data'!C$4,0)</f>
        <v>7992</v>
      </c>
      <c r="D160" s="246">
        <f>VLOOKUP($A160,'Table 20 data'!$A$9:$W$184,$B$4+'Table 20 data'!D$4,0)</f>
        <v>68.400000000000006</v>
      </c>
      <c r="E160" s="245">
        <f>VLOOKUP($A160,'Table 20 data'!$A$9:$W$184,$B$4+'Table 20 data'!E$4,0)</f>
        <v>8288</v>
      </c>
      <c r="F160" s="246">
        <f>VLOOKUP($A160,'Table 20 data'!$A$9:$W$184,$B$4+'Table 20 data'!F$4,0)</f>
        <v>73.599999999999994</v>
      </c>
      <c r="G160" s="245">
        <f>VLOOKUP($A160,'Table 20 data'!$A$9:$W$184,$B$4+'Table 20 data'!G$4,0)</f>
        <v>7957</v>
      </c>
      <c r="H160" s="246">
        <f>VLOOKUP($A160,'Table 20 data'!$A$9:$W$184,$B$4+'Table 20 data'!H$4,0)</f>
        <v>74.599999999999994</v>
      </c>
      <c r="I160" s="245">
        <f>VLOOKUP($A160,'Table 20 data'!$A$9:$W$184,$B$4+'Table 20 data'!I$4,0)</f>
        <v>8007</v>
      </c>
      <c r="J160" s="246">
        <f>VLOOKUP($A160,'Table 20 data'!$A$9:$W$184,$B$4+'Table 20 data'!J$4,0)</f>
        <v>66.7</v>
      </c>
      <c r="K160" s="245">
        <f>VLOOKUP($A160,'Table 20 data'!$A$9:$W$184,$B$4+'Table 20 data'!K$4,0)</f>
        <v>8071</v>
      </c>
      <c r="L160" s="246">
        <f>VLOOKUP($A160,'Table 20 data'!$A$9:$W$184,$B$4+'Table 20 data'!L$4,0)</f>
        <v>70.8</v>
      </c>
      <c r="M160" s="136"/>
    </row>
    <row r="161" spans="1:13" ht="11.25" customHeight="1" x14ac:dyDescent="0.2">
      <c r="A161" s="125" t="s">
        <v>295</v>
      </c>
      <c r="B161" s="142" t="s">
        <v>296</v>
      </c>
      <c r="C161" s="245">
        <f>VLOOKUP($A161,'Table 20 data'!$A$9:$W$184,$B$4+'Table 20 data'!C$4,0)</f>
        <v>1477</v>
      </c>
      <c r="D161" s="246">
        <f>VLOOKUP($A161,'Table 20 data'!$A$9:$W$184,$B$4+'Table 20 data'!D$4,0)</f>
        <v>71</v>
      </c>
      <c r="E161" s="245">
        <f>VLOOKUP($A161,'Table 20 data'!$A$9:$W$184,$B$4+'Table 20 data'!E$4,0)</f>
        <v>1491</v>
      </c>
      <c r="F161" s="246">
        <f>VLOOKUP($A161,'Table 20 data'!$A$9:$W$184,$B$4+'Table 20 data'!F$4,0)</f>
        <v>74.599999999999994</v>
      </c>
      <c r="G161" s="245">
        <f>VLOOKUP($A161,'Table 20 data'!$A$9:$W$184,$B$4+'Table 20 data'!G$4,0)</f>
        <v>1444</v>
      </c>
      <c r="H161" s="246">
        <f>VLOOKUP($A161,'Table 20 data'!$A$9:$W$184,$B$4+'Table 20 data'!H$4,0)</f>
        <v>75.099999999999994</v>
      </c>
      <c r="I161" s="245">
        <f>VLOOKUP($A161,'Table 20 data'!$A$9:$W$184,$B$4+'Table 20 data'!I$4,0)</f>
        <v>1461</v>
      </c>
      <c r="J161" s="246">
        <f>VLOOKUP($A161,'Table 20 data'!$A$9:$W$184,$B$4+'Table 20 data'!J$4,0)</f>
        <v>70.2</v>
      </c>
      <c r="K161" s="245">
        <f>VLOOKUP($A161,'Table 20 data'!$A$9:$W$184,$B$4+'Table 20 data'!K$4,0)</f>
        <v>1520</v>
      </c>
      <c r="L161" s="246">
        <f>VLOOKUP($A161,'Table 20 data'!$A$9:$W$184,$B$4+'Table 20 data'!L$4,0)</f>
        <v>77</v>
      </c>
      <c r="M161" s="136"/>
    </row>
    <row r="162" spans="1:13" ht="11.25" customHeight="1" x14ac:dyDescent="0.2">
      <c r="A162" s="125" t="s">
        <v>297</v>
      </c>
      <c r="B162" s="142" t="s">
        <v>298</v>
      </c>
      <c r="C162" s="245">
        <f>VLOOKUP($A162,'Table 20 data'!$A$9:$W$184,$B$4+'Table 20 data'!C$4,0)</f>
        <v>1661</v>
      </c>
      <c r="D162" s="246">
        <f>VLOOKUP($A162,'Table 20 data'!$A$9:$W$184,$B$4+'Table 20 data'!D$4,0)</f>
        <v>75.099999999999994</v>
      </c>
      <c r="E162" s="245">
        <f>VLOOKUP($A162,'Table 20 data'!$A$9:$W$184,$B$4+'Table 20 data'!E$4,0)</f>
        <v>1779</v>
      </c>
      <c r="F162" s="246">
        <f>VLOOKUP($A162,'Table 20 data'!$A$9:$W$184,$B$4+'Table 20 data'!F$4,0)</f>
        <v>79.599999999999994</v>
      </c>
      <c r="G162" s="245">
        <f>VLOOKUP($A162,'Table 20 data'!$A$9:$W$184,$B$4+'Table 20 data'!G$4,0)</f>
        <v>1652</v>
      </c>
      <c r="H162" s="246">
        <f>VLOOKUP($A162,'Table 20 data'!$A$9:$W$184,$B$4+'Table 20 data'!H$4,0)</f>
        <v>77.599999999999994</v>
      </c>
      <c r="I162" s="245">
        <f>VLOOKUP($A162,'Table 20 data'!$A$9:$W$184,$B$4+'Table 20 data'!I$4,0)</f>
        <v>1603</v>
      </c>
      <c r="J162" s="246">
        <f>VLOOKUP($A162,'Table 20 data'!$A$9:$W$184,$B$4+'Table 20 data'!J$4,0)</f>
        <v>70.2</v>
      </c>
      <c r="K162" s="245">
        <f>VLOOKUP($A162,'Table 20 data'!$A$9:$W$184,$B$4+'Table 20 data'!K$4,0)</f>
        <v>1641</v>
      </c>
      <c r="L162" s="246">
        <f>VLOOKUP($A162,'Table 20 data'!$A$9:$W$184,$B$4+'Table 20 data'!L$4,0)</f>
        <v>75.7</v>
      </c>
      <c r="M162" s="136"/>
    </row>
    <row r="163" spans="1:13" ht="11.25" customHeight="1" x14ac:dyDescent="0.2">
      <c r="A163" s="3"/>
      <c r="B163" s="142"/>
      <c r="C163" s="247"/>
      <c r="D163" s="256"/>
      <c r="E163" s="247"/>
      <c r="F163" s="256"/>
      <c r="G163" s="247"/>
      <c r="H163" s="249"/>
      <c r="I163" s="250"/>
      <c r="J163" s="250"/>
      <c r="K163" s="250"/>
      <c r="L163" s="250"/>
      <c r="M163" s="136"/>
    </row>
    <row r="164" spans="1:13" s="98" customFormat="1" ht="11.25" customHeight="1" x14ac:dyDescent="0.2">
      <c r="A164" s="16" t="s">
        <v>388</v>
      </c>
      <c r="B164" s="92" t="s">
        <v>299</v>
      </c>
      <c r="C164" s="243">
        <f>VLOOKUP($A164,'Table 20 data'!$A$9:$W$184,$B$4+'Table 20 data'!C$4,0)</f>
        <v>55425</v>
      </c>
      <c r="D164" s="244">
        <f>VLOOKUP($A164,'Table 20 data'!$A$9:$W$184,$B$4+'Table 20 data'!D$4,0)</f>
        <v>66.900000000000006</v>
      </c>
      <c r="E164" s="243">
        <f>VLOOKUP($A164,'Table 20 data'!$A$9:$W$184,$B$4+'Table 20 data'!E$4,0)</f>
        <v>55678</v>
      </c>
      <c r="F164" s="244">
        <f>VLOOKUP($A164,'Table 20 data'!$A$9:$W$184,$B$4+'Table 20 data'!F$4,0)</f>
        <v>70.599999999999994</v>
      </c>
      <c r="G164" s="243">
        <f>VLOOKUP($A164,'Table 20 data'!$A$9:$W$184,$B$4+'Table 20 data'!G$4,0)</f>
        <v>53903</v>
      </c>
      <c r="H164" s="244">
        <f>VLOOKUP($A164,'Table 20 data'!$A$9:$W$184,$B$4+'Table 20 data'!H$4,0)</f>
        <v>72.400000000000006</v>
      </c>
      <c r="I164" s="243">
        <f>VLOOKUP($A164,'Table 20 data'!$A$9:$W$184,$B$4+'Table 20 data'!I$4,0)</f>
        <v>53276</v>
      </c>
      <c r="J164" s="244">
        <f>VLOOKUP($A164,'Table 20 data'!$A$9:$W$184,$B$4+'Table 20 data'!J$4,0)</f>
        <v>67</v>
      </c>
      <c r="K164" s="243">
        <f>VLOOKUP($A164,'Table 20 data'!$A$9:$W$184,$B$4+'Table 20 data'!K$4,0)</f>
        <v>54909</v>
      </c>
      <c r="L164" s="244">
        <f>VLOOKUP($A164,'Table 20 data'!$A$9:$W$184,$B$4+'Table 20 data'!L$4,0)</f>
        <v>69.5</v>
      </c>
      <c r="M164" s="136"/>
    </row>
    <row r="165" spans="1:13" ht="11.25" customHeight="1" x14ac:dyDescent="0.2">
      <c r="A165" s="125" t="s">
        <v>302</v>
      </c>
      <c r="B165" s="142" t="s">
        <v>303</v>
      </c>
      <c r="C165" s="245">
        <f>VLOOKUP($A165,'Table 20 data'!$A$9:$W$184,$B$4+'Table 20 data'!C$4,0)</f>
        <v>2153</v>
      </c>
      <c r="D165" s="246">
        <f>VLOOKUP($A165,'Table 20 data'!$A$9:$W$184,$B$4+'Table 20 data'!D$4,0)</f>
        <v>73.2</v>
      </c>
      <c r="E165" s="245">
        <f>VLOOKUP($A165,'Table 20 data'!$A$9:$W$184,$B$4+'Table 20 data'!E$4,0)</f>
        <v>2232</v>
      </c>
      <c r="F165" s="246">
        <f>VLOOKUP($A165,'Table 20 data'!$A$9:$W$184,$B$4+'Table 20 data'!F$4,0)</f>
        <v>75.099999999999994</v>
      </c>
      <c r="G165" s="245">
        <f>VLOOKUP($A165,'Table 20 data'!$A$9:$W$184,$B$4+'Table 20 data'!G$4,0)</f>
        <v>2072</v>
      </c>
      <c r="H165" s="246">
        <f>VLOOKUP($A165,'Table 20 data'!$A$9:$W$184,$B$4+'Table 20 data'!H$4,0)</f>
        <v>78.2</v>
      </c>
      <c r="I165" s="245">
        <f>VLOOKUP($A165,'Table 20 data'!$A$9:$W$184,$B$4+'Table 20 data'!I$4,0)</f>
        <v>2064</v>
      </c>
      <c r="J165" s="246">
        <f>VLOOKUP($A165,'Table 20 data'!$A$9:$W$184,$B$4+'Table 20 data'!J$4,0)</f>
        <v>66.400000000000006</v>
      </c>
      <c r="K165" s="245">
        <f>VLOOKUP($A165,'Table 20 data'!$A$9:$W$184,$B$4+'Table 20 data'!K$4,0)</f>
        <v>2169</v>
      </c>
      <c r="L165" s="246">
        <f>VLOOKUP($A165,'Table 20 data'!$A$9:$W$184,$B$4+'Table 20 data'!L$4,0)</f>
        <v>70.400000000000006</v>
      </c>
      <c r="M165" s="136"/>
    </row>
    <row r="166" spans="1:13" ht="11.25" customHeight="1" x14ac:dyDescent="0.2">
      <c r="A166" s="125" t="s">
        <v>304</v>
      </c>
      <c r="B166" s="142" t="s">
        <v>305</v>
      </c>
      <c r="C166" s="245">
        <f>VLOOKUP($A166,'Table 20 data'!$A$9:$W$184,$B$4+'Table 20 data'!C$4,0)</f>
        <v>1722</v>
      </c>
      <c r="D166" s="246">
        <f>VLOOKUP($A166,'Table 20 data'!$A$9:$W$184,$B$4+'Table 20 data'!D$4,0)</f>
        <v>67.2</v>
      </c>
      <c r="E166" s="245">
        <f>VLOOKUP($A166,'Table 20 data'!$A$9:$W$184,$B$4+'Table 20 data'!E$4,0)</f>
        <v>1674</v>
      </c>
      <c r="F166" s="246">
        <f>VLOOKUP($A166,'Table 20 data'!$A$9:$W$184,$B$4+'Table 20 data'!F$4,0)</f>
        <v>72.099999999999994</v>
      </c>
      <c r="G166" s="245">
        <f>VLOOKUP($A166,'Table 20 data'!$A$9:$W$184,$B$4+'Table 20 data'!G$4,0)</f>
        <v>1638</v>
      </c>
      <c r="H166" s="246">
        <f>VLOOKUP($A166,'Table 20 data'!$A$9:$W$184,$B$4+'Table 20 data'!H$4,0)</f>
        <v>68.7</v>
      </c>
      <c r="I166" s="245">
        <f>VLOOKUP($A166,'Table 20 data'!$A$9:$W$184,$B$4+'Table 20 data'!I$4,0)</f>
        <v>1612</v>
      </c>
      <c r="J166" s="246">
        <f>VLOOKUP($A166,'Table 20 data'!$A$9:$W$184,$B$4+'Table 20 data'!J$4,0)</f>
        <v>71.400000000000006</v>
      </c>
      <c r="K166" s="245">
        <f>VLOOKUP($A166,'Table 20 data'!$A$9:$W$184,$B$4+'Table 20 data'!K$4,0)</f>
        <v>1674</v>
      </c>
      <c r="L166" s="246">
        <f>VLOOKUP($A166,'Table 20 data'!$A$9:$W$184,$B$4+'Table 20 data'!L$4,0)</f>
        <v>77.2</v>
      </c>
      <c r="M166" s="136"/>
    </row>
    <row r="167" spans="1:13" ht="11.25" customHeight="1" x14ac:dyDescent="0.2">
      <c r="A167" s="125" t="s">
        <v>306</v>
      </c>
      <c r="B167" s="142" t="s">
        <v>307</v>
      </c>
      <c r="C167" s="245">
        <f>VLOOKUP($A167,'Table 20 data'!$A$9:$W$184,$B$4+'Table 20 data'!C$4,0)</f>
        <v>3023</v>
      </c>
      <c r="D167" s="246">
        <f>VLOOKUP($A167,'Table 20 data'!$A$9:$W$184,$B$4+'Table 20 data'!D$4,0)</f>
        <v>61.7</v>
      </c>
      <c r="E167" s="245">
        <f>VLOOKUP($A167,'Table 20 data'!$A$9:$W$184,$B$4+'Table 20 data'!E$4,0)</f>
        <v>2876</v>
      </c>
      <c r="F167" s="246">
        <f>VLOOKUP($A167,'Table 20 data'!$A$9:$W$184,$B$4+'Table 20 data'!F$4,0)</f>
        <v>68.599999999999994</v>
      </c>
      <c r="G167" s="245">
        <f>VLOOKUP($A167,'Table 20 data'!$A$9:$W$184,$B$4+'Table 20 data'!G$4,0)</f>
        <v>2888</v>
      </c>
      <c r="H167" s="246">
        <f>VLOOKUP($A167,'Table 20 data'!$A$9:$W$184,$B$4+'Table 20 data'!H$4,0)</f>
        <v>69.099999999999994</v>
      </c>
      <c r="I167" s="245">
        <f>VLOOKUP($A167,'Table 20 data'!$A$9:$W$184,$B$4+'Table 20 data'!I$4,0)</f>
        <v>2823</v>
      </c>
      <c r="J167" s="246">
        <f>VLOOKUP($A167,'Table 20 data'!$A$9:$W$184,$B$4+'Table 20 data'!J$4,0)</f>
        <v>68</v>
      </c>
      <c r="K167" s="245">
        <f>VLOOKUP($A167,'Table 20 data'!$A$9:$W$184,$B$4+'Table 20 data'!K$4,0)</f>
        <v>3140</v>
      </c>
      <c r="L167" s="246">
        <f>VLOOKUP($A167,'Table 20 data'!$A$9:$W$184,$B$4+'Table 20 data'!L$4,0)</f>
        <v>64.3</v>
      </c>
      <c r="M167" s="136"/>
    </row>
    <row r="168" spans="1:13" ht="11.25" customHeight="1" x14ac:dyDescent="0.2">
      <c r="A168" s="125" t="s">
        <v>308</v>
      </c>
      <c r="B168" s="142" t="s">
        <v>309</v>
      </c>
      <c r="C168" s="245">
        <f>VLOOKUP($A168,'Table 20 data'!$A$9:$W$184,$B$4+'Table 20 data'!C$4,0)</f>
        <v>5881</v>
      </c>
      <c r="D168" s="246">
        <f>VLOOKUP($A168,'Table 20 data'!$A$9:$W$184,$B$4+'Table 20 data'!D$4,0)</f>
        <v>64.900000000000006</v>
      </c>
      <c r="E168" s="245">
        <f>VLOOKUP($A168,'Table 20 data'!$A$9:$W$184,$B$4+'Table 20 data'!E$4,0)</f>
        <v>5801</v>
      </c>
      <c r="F168" s="246">
        <f>VLOOKUP($A168,'Table 20 data'!$A$9:$W$184,$B$4+'Table 20 data'!F$4,0)</f>
        <v>69.400000000000006</v>
      </c>
      <c r="G168" s="245">
        <f>VLOOKUP($A168,'Table 20 data'!$A$9:$W$184,$B$4+'Table 20 data'!G$4,0)</f>
        <v>5604</v>
      </c>
      <c r="H168" s="246">
        <f>VLOOKUP($A168,'Table 20 data'!$A$9:$W$184,$B$4+'Table 20 data'!H$4,0)</f>
        <v>69.5</v>
      </c>
      <c r="I168" s="245">
        <f>VLOOKUP($A168,'Table 20 data'!$A$9:$W$184,$B$4+'Table 20 data'!I$4,0)</f>
        <v>5532</v>
      </c>
      <c r="J168" s="246">
        <f>VLOOKUP($A168,'Table 20 data'!$A$9:$W$184,$B$4+'Table 20 data'!J$4,0)</f>
        <v>66</v>
      </c>
      <c r="K168" s="245">
        <f>VLOOKUP($A168,'Table 20 data'!$A$9:$W$184,$B$4+'Table 20 data'!K$4,0)</f>
        <v>5715</v>
      </c>
      <c r="L168" s="246">
        <f>VLOOKUP($A168,'Table 20 data'!$A$9:$W$184,$B$4+'Table 20 data'!L$4,0)</f>
        <v>72.099999999999994</v>
      </c>
      <c r="M168" s="136"/>
    </row>
    <row r="169" spans="1:13" ht="11.25" customHeight="1" x14ac:dyDescent="0.2">
      <c r="A169" s="125" t="s">
        <v>310</v>
      </c>
      <c r="B169" s="142" t="s">
        <v>311</v>
      </c>
      <c r="C169" s="245">
        <f>VLOOKUP($A169,'Table 20 data'!$A$9:$W$184,$B$4+'Table 20 data'!C$4,0)</f>
        <v>7567</v>
      </c>
      <c r="D169" s="246">
        <f>VLOOKUP($A169,'Table 20 data'!$A$9:$W$184,$B$4+'Table 20 data'!D$4,0)</f>
        <v>67.400000000000006</v>
      </c>
      <c r="E169" s="245">
        <f>VLOOKUP($A169,'Table 20 data'!$A$9:$W$184,$B$4+'Table 20 data'!E$4,0)</f>
        <v>7569</v>
      </c>
      <c r="F169" s="246">
        <f>VLOOKUP($A169,'Table 20 data'!$A$9:$W$184,$B$4+'Table 20 data'!F$4,0)</f>
        <v>69.7</v>
      </c>
      <c r="G169" s="245">
        <f>VLOOKUP($A169,'Table 20 data'!$A$9:$W$184,$B$4+'Table 20 data'!G$4,0)</f>
        <v>7308</v>
      </c>
      <c r="H169" s="246">
        <f>VLOOKUP($A169,'Table 20 data'!$A$9:$W$184,$B$4+'Table 20 data'!H$4,0)</f>
        <v>71.900000000000006</v>
      </c>
      <c r="I169" s="245">
        <f>VLOOKUP($A169,'Table 20 data'!$A$9:$W$184,$B$4+'Table 20 data'!I$4,0)</f>
        <v>7508</v>
      </c>
      <c r="J169" s="246">
        <f>VLOOKUP($A169,'Table 20 data'!$A$9:$W$184,$B$4+'Table 20 data'!J$4,0)</f>
        <v>67</v>
      </c>
      <c r="K169" s="245">
        <f>VLOOKUP($A169,'Table 20 data'!$A$9:$W$184,$B$4+'Table 20 data'!K$4,0)</f>
        <v>7545</v>
      </c>
      <c r="L169" s="246">
        <f>VLOOKUP($A169,'Table 20 data'!$A$9:$W$184,$B$4+'Table 20 data'!L$4,0)</f>
        <v>69.099999999999994</v>
      </c>
      <c r="M169" s="136"/>
    </row>
    <row r="170" spans="1:13" ht="11.25" customHeight="1" x14ac:dyDescent="0.2">
      <c r="A170" s="125" t="s">
        <v>312</v>
      </c>
      <c r="B170" s="142" t="s">
        <v>313</v>
      </c>
      <c r="C170" s="245">
        <f>VLOOKUP($A170,'Table 20 data'!$A$9:$W$184,$B$4+'Table 20 data'!C$4,0)</f>
        <v>4281</v>
      </c>
      <c r="D170" s="246">
        <f>VLOOKUP($A170,'Table 20 data'!$A$9:$W$184,$B$4+'Table 20 data'!D$4,0)</f>
        <v>71</v>
      </c>
      <c r="E170" s="245">
        <f>VLOOKUP($A170,'Table 20 data'!$A$9:$W$184,$B$4+'Table 20 data'!E$4,0)</f>
        <v>4316</v>
      </c>
      <c r="F170" s="246">
        <f>VLOOKUP($A170,'Table 20 data'!$A$9:$W$184,$B$4+'Table 20 data'!F$4,0)</f>
        <v>74.8</v>
      </c>
      <c r="G170" s="245">
        <f>VLOOKUP($A170,'Table 20 data'!$A$9:$W$184,$B$4+'Table 20 data'!G$4,0)</f>
        <v>4134</v>
      </c>
      <c r="H170" s="246">
        <f>VLOOKUP($A170,'Table 20 data'!$A$9:$W$184,$B$4+'Table 20 data'!H$4,0)</f>
        <v>76.099999999999994</v>
      </c>
      <c r="I170" s="245">
        <f>VLOOKUP($A170,'Table 20 data'!$A$9:$W$184,$B$4+'Table 20 data'!I$4,0)</f>
        <v>4204</v>
      </c>
      <c r="J170" s="246">
        <f>VLOOKUP($A170,'Table 20 data'!$A$9:$W$184,$B$4+'Table 20 data'!J$4,0)</f>
        <v>63.1</v>
      </c>
      <c r="K170" s="245">
        <f>VLOOKUP($A170,'Table 20 data'!$A$9:$W$184,$B$4+'Table 20 data'!K$4,0)</f>
        <v>4284</v>
      </c>
      <c r="L170" s="246">
        <f>VLOOKUP($A170,'Table 20 data'!$A$9:$W$184,$B$4+'Table 20 data'!L$4,0)</f>
        <v>68.900000000000006</v>
      </c>
      <c r="M170" s="136"/>
    </row>
    <row r="171" spans="1:13" ht="11.25" customHeight="1" x14ac:dyDescent="0.2">
      <c r="A171" s="125" t="s">
        <v>314</v>
      </c>
      <c r="B171" s="142" t="s">
        <v>315</v>
      </c>
      <c r="C171" s="245">
        <f>VLOOKUP($A171,'Table 20 data'!$A$9:$W$184,$B$4+'Table 20 data'!C$4,0)</f>
        <v>6729</v>
      </c>
      <c r="D171" s="246">
        <f>VLOOKUP($A171,'Table 20 data'!$A$9:$W$184,$B$4+'Table 20 data'!D$4,0)</f>
        <v>70.2</v>
      </c>
      <c r="E171" s="245">
        <f>VLOOKUP($A171,'Table 20 data'!$A$9:$W$184,$B$4+'Table 20 data'!E$4,0)</f>
        <v>6816</v>
      </c>
      <c r="F171" s="246">
        <f>VLOOKUP($A171,'Table 20 data'!$A$9:$W$184,$B$4+'Table 20 data'!F$4,0)</f>
        <v>71.7</v>
      </c>
      <c r="G171" s="245">
        <f>VLOOKUP($A171,'Table 20 data'!$A$9:$W$184,$B$4+'Table 20 data'!G$4,0)</f>
        <v>6639</v>
      </c>
      <c r="H171" s="246">
        <f>VLOOKUP($A171,'Table 20 data'!$A$9:$W$184,$B$4+'Table 20 data'!H$4,0)</f>
        <v>74.099999999999994</v>
      </c>
      <c r="I171" s="245">
        <f>VLOOKUP($A171,'Table 20 data'!$A$9:$W$184,$B$4+'Table 20 data'!I$4,0)</f>
        <v>6495</v>
      </c>
      <c r="J171" s="246">
        <f>VLOOKUP($A171,'Table 20 data'!$A$9:$W$184,$B$4+'Table 20 data'!J$4,0)</f>
        <v>68.099999999999994</v>
      </c>
      <c r="K171" s="245">
        <f>VLOOKUP($A171,'Table 20 data'!$A$9:$W$184,$B$4+'Table 20 data'!K$4,0)</f>
        <v>6569</v>
      </c>
      <c r="L171" s="246">
        <f>VLOOKUP($A171,'Table 20 data'!$A$9:$W$184,$B$4+'Table 20 data'!L$4,0)</f>
        <v>68.7</v>
      </c>
      <c r="M171" s="136"/>
    </row>
    <row r="172" spans="1:13" ht="11.25" customHeight="1" x14ac:dyDescent="0.2">
      <c r="A172" s="125" t="s">
        <v>300</v>
      </c>
      <c r="B172" s="142" t="s">
        <v>301</v>
      </c>
      <c r="C172" s="245">
        <f>VLOOKUP($A172,'Table 20 data'!$A$9:$W$184,$B$4+'Table 20 data'!C$4,0)</f>
        <v>15</v>
      </c>
      <c r="D172" s="246">
        <f>VLOOKUP($A172,'Table 20 data'!$A$9:$W$184,$B$4+'Table 20 data'!D$4,0)</f>
        <v>80</v>
      </c>
      <c r="E172" s="245">
        <f>VLOOKUP($A172,'Table 20 data'!$A$9:$W$184,$B$4+'Table 20 data'!E$4,0)</f>
        <v>22</v>
      </c>
      <c r="F172" s="246">
        <f>VLOOKUP($A172,'Table 20 data'!$A$9:$W$184,$B$4+'Table 20 data'!F$4,0)</f>
        <v>77.3</v>
      </c>
      <c r="G172" s="245">
        <f>VLOOKUP($A172,'Table 20 data'!$A$9:$W$184,$B$4+'Table 20 data'!G$4,0)</f>
        <v>19</v>
      </c>
      <c r="H172" s="246">
        <f>VLOOKUP($A172,'Table 20 data'!$A$9:$W$184,$B$4+'Table 20 data'!H$4,0)</f>
        <v>73.7</v>
      </c>
      <c r="I172" s="245">
        <f>VLOOKUP($A172,'Table 20 data'!$A$9:$W$184,$B$4+'Table 20 data'!I$4,0)</f>
        <v>22</v>
      </c>
      <c r="J172" s="246">
        <f>VLOOKUP($A172,'Table 20 data'!$A$9:$W$184,$B$4+'Table 20 data'!J$4,0)</f>
        <v>86.4</v>
      </c>
      <c r="K172" s="245">
        <f>VLOOKUP($A172,'Table 20 data'!$A$9:$W$184,$B$4+'Table 20 data'!K$4,0)</f>
        <v>21</v>
      </c>
      <c r="L172" s="246">
        <f>VLOOKUP($A172,'Table 20 data'!$A$9:$W$184,$B$4+'Table 20 data'!L$4,0)</f>
        <v>81</v>
      </c>
      <c r="M172" s="136"/>
    </row>
    <row r="173" spans="1:13" ht="11.25" customHeight="1" x14ac:dyDescent="0.2">
      <c r="A173" s="125" t="s">
        <v>316</v>
      </c>
      <c r="B173" s="142" t="s">
        <v>317</v>
      </c>
      <c r="C173" s="245">
        <f>VLOOKUP($A173,'Table 20 data'!$A$9:$W$184,$B$4+'Table 20 data'!C$4,0)</f>
        <v>2217</v>
      </c>
      <c r="D173" s="246">
        <f>VLOOKUP($A173,'Table 20 data'!$A$9:$W$184,$B$4+'Table 20 data'!D$4,0)</f>
        <v>67.2</v>
      </c>
      <c r="E173" s="245">
        <f>VLOOKUP($A173,'Table 20 data'!$A$9:$W$184,$B$4+'Table 20 data'!E$4,0)</f>
        <v>2230</v>
      </c>
      <c r="F173" s="246">
        <f>VLOOKUP($A173,'Table 20 data'!$A$9:$W$184,$B$4+'Table 20 data'!F$4,0)</f>
        <v>72.5</v>
      </c>
      <c r="G173" s="245">
        <f>VLOOKUP($A173,'Table 20 data'!$A$9:$W$184,$B$4+'Table 20 data'!G$4,0)</f>
        <v>2244</v>
      </c>
      <c r="H173" s="246">
        <f>VLOOKUP($A173,'Table 20 data'!$A$9:$W$184,$B$4+'Table 20 data'!H$4,0)</f>
        <v>73.400000000000006</v>
      </c>
      <c r="I173" s="245">
        <f>VLOOKUP($A173,'Table 20 data'!$A$9:$W$184,$B$4+'Table 20 data'!I$4,0)</f>
        <v>2165</v>
      </c>
      <c r="J173" s="246">
        <f>VLOOKUP($A173,'Table 20 data'!$A$9:$W$184,$B$4+'Table 20 data'!J$4,0)</f>
        <v>70.099999999999994</v>
      </c>
      <c r="K173" s="245">
        <f>VLOOKUP($A173,'Table 20 data'!$A$9:$W$184,$B$4+'Table 20 data'!K$4,0)</f>
        <v>2204</v>
      </c>
      <c r="L173" s="246">
        <f>VLOOKUP($A173,'Table 20 data'!$A$9:$W$184,$B$4+'Table 20 data'!L$4,0)</f>
        <v>71</v>
      </c>
      <c r="M173" s="136"/>
    </row>
    <row r="174" spans="1:13" ht="11.25" customHeight="1" x14ac:dyDescent="0.2">
      <c r="A174" s="125" t="s">
        <v>318</v>
      </c>
      <c r="B174" s="142" t="s">
        <v>319</v>
      </c>
      <c r="C174" s="245">
        <f>VLOOKUP($A174,'Table 20 data'!$A$9:$W$184,$B$4+'Table 20 data'!C$4,0)</f>
        <v>2908</v>
      </c>
      <c r="D174" s="246">
        <f>VLOOKUP($A174,'Table 20 data'!$A$9:$W$184,$B$4+'Table 20 data'!D$4,0)</f>
        <v>62.1</v>
      </c>
      <c r="E174" s="245">
        <f>VLOOKUP($A174,'Table 20 data'!$A$9:$W$184,$B$4+'Table 20 data'!E$4,0)</f>
        <v>2943</v>
      </c>
      <c r="F174" s="246">
        <f>VLOOKUP($A174,'Table 20 data'!$A$9:$W$184,$B$4+'Table 20 data'!F$4,0)</f>
        <v>68.7</v>
      </c>
      <c r="G174" s="245">
        <f>VLOOKUP($A174,'Table 20 data'!$A$9:$W$184,$B$4+'Table 20 data'!G$4,0)</f>
        <v>2794</v>
      </c>
      <c r="H174" s="246">
        <f>VLOOKUP($A174,'Table 20 data'!$A$9:$W$184,$B$4+'Table 20 data'!H$4,0)</f>
        <v>71.8</v>
      </c>
      <c r="I174" s="245">
        <f>VLOOKUP($A174,'Table 20 data'!$A$9:$W$184,$B$4+'Table 20 data'!I$4,0)</f>
        <v>2720</v>
      </c>
      <c r="J174" s="246">
        <f>VLOOKUP($A174,'Table 20 data'!$A$9:$W$184,$B$4+'Table 20 data'!J$4,0)</f>
        <v>69.7</v>
      </c>
      <c r="K174" s="245">
        <f>VLOOKUP($A174,'Table 20 data'!$A$9:$W$184,$B$4+'Table 20 data'!K$4,0)</f>
        <v>2772</v>
      </c>
      <c r="L174" s="246">
        <f>VLOOKUP($A174,'Table 20 data'!$A$9:$W$184,$B$4+'Table 20 data'!L$4,0)</f>
        <v>71.8</v>
      </c>
      <c r="M174" s="136"/>
    </row>
    <row r="175" spans="1:13" ht="11.25" customHeight="1" x14ac:dyDescent="0.2">
      <c r="A175" s="125" t="s">
        <v>320</v>
      </c>
      <c r="B175" s="142" t="s">
        <v>321</v>
      </c>
      <c r="C175" s="245">
        <f>VLOOKUP($A175,'Table 20 data'!$A$9:$W$184,$B$4+'Table 20 data'!C$4,0)</f>
        <v>1653</v>
      </c>
      <c r="D175" s="246">
        <f>VLOOKUP($A175,'Table 20 data'!$A$9:$W$184,$B$4+'Table 20 data'!D$4,0)</f>
        <v>66.599999999999994</v>
      </c>
      <c r="E175" s="245">
        <f>VLOOKUP($A175,'Table 20 data'!$A$9:$W$184,$B$4+'Table 20 data'!E$4,0)</f>
        <v>1644</v>
      </c>
      <c r="F175" s="246">
        <f>VLOOKUP($A175,'Table 20 data'!$A$9:$W$184,$B$4+'Table 20 data'!F$4,0)</f>
        <v>68.599999999999994</v>
      </c>
      <c r="G175" s="245">
        <f>VLOOKUP($A175,'Table 20 data'!$A$9:$W$184,$B$4+'Table 20 data'!G$4,0)</f>
        <v>1561</v>
      </c>
      <c r="H175" s="246">
        <f>VLOOKUP($A175,'Table 20 data'!$A$9:$W$184,$B$4+'Table 20 data'!H$4,0)</f>
        <v>71.900000000000006</v>
      </c>
      <c r="I175" s="245">
        <f>VLOOKUP($A175,'Table 20 data'!$A$9:$W$184,$B$4+'Table 20 data'!I$4,0)</f>
        <v>1567</v>
      </c>
      <c r="J175" s="246">
        <f>VLOOKUP($A175,'Table 20 data'!$A$9:$W$184,$B$4+'Table 20 data'!J$4,0)</f>
        <v>70.599999999999994</v>
      </c>
      <c r="K175" s="245">
        <f>VLOOKUP($A175,'Table 20 data'!$A$9:$W$184,$B$4+'Table 20 data'!K$4,0)</f>
        <v>1608</v>
      </c>
      <c r="L175" s="246">
        <f>VLOOKUP($A175,'Table 20 data'!$A$9:$W$184,$B$4+'Table 20 data'!L$4,0)</f>
        <v>71.8</v>
      </c>
      <c r="M175" s="136"/>
    </row>
    <row r="176" spans="1:13" ht="11.25" customHeight="1" x14ac:dyDescent="0.2">
      <c r="A176" s="125" t="s">
        <v>322</v>
      </c>
      <c r="B176" s="142" t="s">
        <v>323</v>
      </c>
      <c r="C176" s="245">
        <f>VLOOKUP($A176,'Table 20 data'!$A$9:$W$184,$B$4+'Table 20 data'!C$4,0)</f>
        <v>5566</v>
      </c>
      <c r="D176" s="246">
        <f>VLOOKUP($A176,'Table 20 data'!$A$9:$W$184,$B$4+'Table 20 data'!D$4,0)</f>
        <v>64.3</v>
      </c>
      <c r="E176" s="245">
        <f>VLOOKUP($A176,'Table 20 data'!$A$9:$W$184,$B$4+'Table 20 data'!E$4,0)</f>
        <v>5633</v>
      </c>
      <c r="F176" s="246">
        <f>VLOOKUP($A176,'Table 20 data'!$A$9:$W$184,$B$4+'Table 20 data'!F$4,0)</f>
        <v>69.900000000000006</v>
      </c>
      <c r="G176" s="245">
        <f>VLOOKUP($A176,'Table 20 data'!$A$9:$W$184,$B$4+'Table 20 data'!G$4,0)</f>
        <v>5322</v>
      </c>
      <c r="H176" s="246">
        <f>VLOOKUP($A176,'Table 20 data'!$A$9:$W$184,$B$4+'Table 20 data'!H$4,0)</f>
        <v>72.8</v>
      </c>
      <c r="I176" s="245">
        <f>VLOOKUP($A176,'Table 20 data'!$A$9:$W$184,$B$4+'Table 20 data'!I$4,0)</f>
        <v>5159</v>
      </c>
      <c r="J176" s="246">
        <f>VLOOKUP($A176,'Table 20 data'!$A$9:$W$184,$B$4+'Table 20 data'!J$4,0)</f>
        <v>64.5</v>
      </c>
      <c r="K176" s="245">
        <f>VLOOKUP($A176,'Table 20 data'!$A$9:$W$184,$B$4+'Table 20 data'!K$4,0)</f>
        <v>5410</v>
      </c>
      <c r="L176" s="246">
        <f>VLOOKUP($A176,'Table 20 data'!$A$9:$W$184,$B$4+'Table 20 data'!L$4,0)</f>
        <v>67.7</v>
      </c>
      <c r="M176" s="136"/>
    </row>
    <row r="177" spans="1:13" ht="11.25" customHeight="1" x14ac:dyDescent="0.2">
      <c r="A177" s="125" t="s">
        <v>324</v>
      </c>
      <c r="B177" s="142" t="s">
        <v>325</v>
      </c>
      <c r="C177" s="245">
        <f>VLOOKUP($A177,'Table 20 data'!$A$9:$W$184,$B$4+'Table 20 data'!C$4,0)</f>
        <v>3056</v>
      </c>
      <c r="D177" s="246">
        <f>VLOOKUP($A177,'Table 20 data'!$A$9:$W$184,$B$4+'Table 20 data'!D$4,0)</f>
        <v>62.8</v>
      </c>
      <c r="E177" s="245">
        <f>VLOOKUP($A177,'Table 20 data'!$A$9:$W$184,$B$4+'Table 20 data'!E$4,0)</f>
        <v>3155</v>
      </c>
      <c r="F177" s="246">
        <f>VLOOKUP($A177,'Table 20 data'!$A$9:$W$184,$B$4+'Table 20 data'!F$4,0)</f>
        <v>67.400000000000006</v>
      </c>
      <c r="G177" s="245">
        <f>VLOOKUP($A177,'Table 20 data'!$A$9:$W$184,$B$4+'Table 20 data'!G$4,0)</f>
        <v>3174</v>
      </c>
      <c r="H177" s="246">
        <f>VLOOKUP($A177,'Table 20 data'!$A$9:$W$184,$B$4+'Table 20 data'!H$4,0)</f>
        <v>69.7</v>
      </c>
      <c r="I177" s="245">
        <f>VLOOKUP($A177,'Table 20 data'!$A$9:$W$184,$B$4+'Table 20 data'!I$4,0)</f>
        <v>3001</v>
      </c>
      <c r="J177" s="246">
        <f>VLOOKUP($A177,'Table 20 data'!$A$9:$W$184,$B$4+'Table 20 data'!J$4,0)</f>
        <v>66</v>
      </c>
      <c r="K177" s="245">
        <f>VLOOKUP($A177,'Table 20 data'!$A$9:$W$184,$B$4+'Table 20 data'!K$4,0)</f>
        <v>3044</v>
      </c>
      <c r="L177" s="246">
        <f>VLOOKUP($A177,'Table 20 data'!$A$9:$W$184,$B$4+'Table 20 data'!L$4,0)</f>
        <v>67.099999999999994</v>
      </c>
      <c r="M177" s="136"/>
    </row>
    <row r="178" spans="1:13" ht="11.25" customHeight="1" x14ac:dyDescent="0.2">
      <c r="A178" s="125" t="s">
        <v>326</v>
      </c>
      <c r="B178" s="142" t="s">
        <v>327</v>
      </c>
      <c r="C178" s="245">
        <f>VLOOKUP($A178,'Table 20 data'!$A$9:$W$184,$B$4+'Table 20 data'!C$4,0)</f>
        <v>2184</v>
      </c>
      <c r="D178" s="246">
        <f>VLOOKUP($A178,'Table 20 data'!$A$9:$W$184,$B$4+'Table 20 data'!D$4,0)</f>
        <v>64.8</v>
      </c>
      <c r="E178" s="245">
        <f>VLOOKUP($A178,'Table 20 data'!$A$9:$W$184,$B$4+'Table 20 data'!E$4,0)</f>
        <v>2122</v>
      </c>
      <c r="F178" s="246">
        <f>VLOOKUP($A178,'Table 20 data'!$A$9:$W$184,$B$4+'Table 20 data'!F$4,0)</f>
        <v>69.8</v>
      </c>
      <c r="G178" s="245">
        <f>VLOOKUP($A178,'Table 20 data'!$A$9:$W$184,$B$4+'Table 20 data'!G$4,0)</f>
        <v>2069</v>
      </c>
      <c r="H178" s="246">
        <f>VLOOKUP($A178,'Table 20 data'!$A$9:$W$184,$B$4+'Table 20 data'!H$4,0)</f>
        <v>70.900000000000006</v>
      </c>
      <c r="I178" s="245">
        <f>VLOOKUP($A178,'Table 20 data'!$A$9:$W$184,$B$4+'Table 20 data'!I$4,0)</f>
        <v>2168</v>
      </c>
      <c r="J178" s="246">
        <f>VLOOKUP($A178,'Table 20 data'!$A$9:$W$184,$B$4+'Table 20 data'!J$4,0)</f>
        <v>67.900000000000006</v>
      </c>
      <c r="K178" s="245">
        <f>VLOOKUP($A178,'Table 20 data'!$A$9:$W$184,$B$4+'Table 20 data'!K$4,0)</f>
        <v>2178</v>
      </c>
      <c r="L178" s="246">
        <f>VLOOKUP($A178,'Table 20 data'!$A$9:$W$184,$B$4+'Table 20 data'!L$4,0)</f>
        <v>67.7</v>
      </c>
      <c r="M178" s="136"/>
    </row>
    <row r="179" spans="1:13" ht="11.25" customHeight="1" x14ac:dyDescent="0.2">
      <c r="A179" s="125" t="s">
        <v>328</v>
      </c>
      <c r="B179" s="142" t="s">
        <v>329</v>
      </c>
      <c r="C179" s="245">
        <f>VLOOKUP($A179,'Table 20 data'!$A$9:$W$184,$B$4+'Table 20 data'!C$4,0)</f>
        <v>1490</v>
      </c>
      <c r="D179" s="246">
        <f>VLOOKUP($A179,'Table 20 data'!$A$9:$W$184,$B$4+'Table 20 data'!D$4,0)</f>
        <v>65</v>
      </c>
      <c r="E179" s="245">
        <f>VLOOKUP($A179,'Table 20 data'!$A$9:$W$184,$B$4+'Table 20 data'!E$4,0)</f>
        <v>1500</v>
      </c>
      <c r="F179" s="246">
        <f>VLOOKUP($A179,'Table 20 data'!$A$9:$W$184,$B$4+'Table 20 data'!F$4,0)</f>
        <v>67.599999999999994</v>
      </c>
      <c r="G179" s="245">
        <f>VLOOKUP($A179,'Table 20 data'!$A$9:$W$184,$B$4+'Table 20 data'!G$4,0)</f>
        <v>1445</v>
      </c>
      <c r="H179" s="246">
        <f>VLOOKUP($A179,'Table 20 data'!$A$9:$W$184,$B$4+'Table 20 data'!H$4,0)</f>
        <v>73.8</v>
      </c>
      <c r="I179" s="245">
        <f>VLOOKUP($A179,'Table 20 data'!$A$9:$W$184,$B$4+'Table 20 data'!I$4,0)</f>
        <v>1389</v>
      </c>
      <c r="J179" s="246">
        <f>VLOOKUP($A179,'Table 20 data'!$A$9:$W$184,$B$4+'Table 20 data'!J$4,0)</f>
        <v>69.099999999999994</v>
      </c>
      <c r="K179" s="245">
        <f>VLOOKUP($A179,'Table 20 data'!$A$9:$W$184,$B$4+'Table 20 data'!K$4,0)</f>
        <v>1441</v>
      </c>
      <c r="L179" s="246">
        <f>VLOOKUP($A179,'Table 20 data'!$A$9:$W$184,$B$4+'Table 20 data'!L$4,0)</f>
        <v>71.900000000000006</v>
      </c>
      <c r="M179" s="136"/>
    </row>
    <row r="180" spans="1:13" ht="11.25" customHeight="1" x14ac:dyDescent="0.2">
      <c r="A180" s="125" t="s">
        <v>330</v>
      </c>
      <c r="B180" s="142" t="s">
        <v>331</v>
      </c>
      <c r="C180" s="245">
        <f>VLOOKUP($A180,'Table 20 data'!$A$9:$W$184,$B$4+'Table 20 data'!C$4,0)</f>
        <v>4980</v>
      </c>
      <c r="D180" s="246">
        <f>VLOOKUP($A180,'Table 20 data'!$A$9:$W$184,$B$4+'Table 20 data'!D$4,0)</f>
        <v>70.900000000000006</v>
      </c>
      <c r="E180" s="245">
        <f>VLOOKUP($A180,'Table 20 data'!$A$9:$W$184,$B$4+'Table 20 data'!E$4,0)</f>
        <v>5145</v>
      </c>
      <c r="F180" s="246">
        <f>VLOOKUP($A180,'Table 20 data'!$A$9:$W$184,$B$4+'Table 20 data'!F$4,0)</f>
        <v>71.5</v>
      </c>
      <c r="G180" s="245">
        <f>VLOOKUP($A180,'Table 20 data'!$A$9:$W$184,$B$4+'Table 20 data'!G$4,0)</f>
        <v>4992</v>
      </c>
      <c r="H180" s="246">
        <f>VLOOKUP($A180,'Table 20 data'!$A$9:$W$184,$B$4+'Table 20 data'!H$4,0)</f>
        <v>73.8</v>
      </c>
      <c r="I180" s="245">
        <f>VLOOKUP($A180,'Table 20 data'!$A$9:$W$184,$B$4+'Table 20 data'!I$4,0)</f>
        <v>4847</v>
      </c>
      <c r="J180" s="246">
        <f>VLOOKUP($A180,'Table 20 data'!$A$9:$W$184,$B$4+'Table 20 data'!J$4,0)</f>
        <v>66.7</v>
      </c>
      <c r="K180" s="245">
        <f>VLOOKUP($A180,'Table 20 data'!$A$9:$W$184,$B$4+'Table 20 data'!K$4,0)</f>
        <v>5135</v>
      </c>
      <c r="L180" s="246">
        <f>VLOOKUP($A180,'Table 20 data'!$A$9:$W$184,$B$4+'Table 20 data'!L$4,0)</f>
        <v>69.7</v>
      </c>
      <c r="M180" s="136"/>
    </row>
    <row r="181" spans="1:13" ht="11.25" customHeight="1" x14ac:dyDescent="0.2">
      <c r="A181" s="26"/>
      <c r="B181" s="142"/>
      <c r="C181" s="247"/>
      <c r="D181" s="248"/>
      <c r="E181" s="247"/>
      <c r="F181" s="248"/>
      <c r="G181" s="247"/>
      <c r="H181" s="249"/>
      <c r="I181" s="257"/>
      <c r="J181" s="257"/>
      <c r="K181" s="257"/>
      <c r="L181" s="257"/>
      <c r="M181" s="136"/>
    </row>
    <row r="182" spans="1:13" ht="22.5" customHeight="1" x14ac:dyDescent="0.2">
      <c r="A182" s="32" t="s">
        <v>443</v>
      </c>
      <c r="B182" s="33"/>
      <c r="C182" s="252">
        <f>VLOOKUP($A182,'Table 20 data'!$A$9:$W$184,$B$4+'Table 20 data'!C$4,0)</f>
        <v>559641</v>
      </c>
      <c r="D182" s="253">
        <f>VLOOKUP($A182,'Table 20 data'!$A$9:$W$184,$B$4+'Table 20 data'!D$4,0)</f>
        <v>65.3</v>
      </c>
      <c r="E182" s="252">
        <f>VLOOKUP($A182,'Table 20 data'!$A$9:$W$184,$B$4+'Table 20 data'!E$4,0)</f>
        <v>560246</v>
      </c>
      <c r="F182" s="253">
        <f>VLOOKUP($A182,'Table 20 data'!$A$9:$W$184,$B$4+'Table 20 data'!F$4,0)</f>
        <v>69.900000000000006</v>
      </c>
      <c r="G182" s="252">
        <f>VLOOKUP($A182,'Table 20 data'!$A$9:$W$184,$B$4+'Table 20 data'!G$4,0)</f>
        <v>543785</v>
      </c>
      <c r="H182" s="253">
        <f>VLOOKUP($A182,'Table 20 data'!$A$9:$W$184,$B$4+'Table 20 data'!H$4,0)</f>
        <v>72</v>
      </c>
      <c r="I182" s="252">
        <f>VLOOKUP($A182,'Table 20 data'!$A$9:$W$184,$B$4+'Table 20 data'!I$4,0)</f>
        <v>540934</v>
      </c>
      <c r="J182" s="253">
        <f>VLOOKUP($A182,'Table 20 data'!$A$9:$W$184,$B$4+'Table 20 data'!J$4,0)</f>
        <v>68.2</v>
      </c>
      <c r="K182" s="252">
        <f>VLOOKUP($A182,'Table 20 data'!$A$9:$W$184,$B$4+'Table 20 data'!K$4,0)</f>
        <v>552867</v>
      </c>
      <c r="L182" s="253">
        <f>VLOOKUP($A182,'Table 20 data'!$A$9:$W$184,$B$4+'Table 20 data'!L$4,0)</f>
        <v>70.5</v>
      </c>
      <c r="M182" s="136"/>
    </row>
    <row r="183" spans="1:13" ht="11.25" customHeight="1" x14ac:dyDescent="0.2">
      <c r="A183" s="116"/>
      <c r="B183" s="99"/>
      <c r="C183" s="252"/>
      <c r="D183" s="258"/>
      <c r="E183" s="252"/>
      <c r="F183" s="258"/>
      <c r="G183" s="252"/>
      <c r="H183" s="253"/>
      <c r="I183" s="259"/>
      <c r="J183" s="259"/>
      <c r="K183" s="259"/>
      <c r="L183" s="259"/>
      <c r="M183" s="136"/>
    </row>
    <row r="184" spans="1:13" s="98" customFormat="1" x14ac:dyDescent="0.2">
      <c r="A184" s="17" t="s">
        <v>375</v>
      </c>
      <c r="B184" s="33" t="s">
        <v>332</v>
      </c>
      <c r="C184" s="252">
        <f>VLOOKUP($A184,'Table 20 data'!$A$9:$W$184,$B$4+'Table 20 data'!C$4,0)</f>
        <v>566092</v>
      </c>
      <c r="D184" s="253">
        <f>VLOOKUP($A184,'Table 20 data'!$A$9:$W$184,$B$4+'Table 20 data'!D$4,0)</f>
        <v>64.7</v>
      </c>
      <c r="E184" s="252">
        <f>VLOOKUP($A184,'Table 20 data'!$A$9:$W$184,$B$4+'Table 20 data'!E$4,0)</f>
        <v>565890</v>
      </c>
      <c r="F184" s="253">
        <f>VLOOKUP($A184,'Table 20 data'!$A$9:$W$184,$B$4+'Table 20 data'!F$4,0)</f>
        <v>69.3</v>
      </c>
      <c r="G184" s="252">
        <f>VLOOKUP($A184,'Table 20 data'!$A$9:$W$184,$B$4+'Table 20 data'!G$4,0)</f>
        <v>544784</v>
      </c>
      <c r="H184" s="253">
        <f>VLOOKUP($A184,'Table 20 data'!$A$9:$W$184,$B$4+'Table 20 data'!H$4,0)</f>
        <v>71.8</v>
      </c>
      <c r="I184" s="252">
        <f>VLOOKUP($A184,'Table 20 data'!$A$9:$W$184,$B$4+'Table 20 data'!I$4,0)</f>
        <v>541963</v>
      </c>
      <c r="J184" s="253">
        <f>VLOOKUP($A184,'Table 20 data'!$A$9:$W$184,$B$4+'Table 20 data'!J$4,0)</f>
        <v>68</v>
      </c>
      <c r="K184" s="252">
        <f>VLOOKUP($A184,'Table 20 data'!$A$9:$W$184,$B$4+'Table 20 data'!K$4,0)</f>
        <v>553883</v>
      </c>
      <c r="L184" s="253">
        <f>VLOOKUP($A184,'Table 20 data'!$A$9:$W$184,$B$4+'Table 20 data'!L$4,0)</f>
        <v>70.400000000000006</v>
      </c>
      <c r="M184" s="136"/>
    </row>
    <row r="185" spans="1:13" ht="11.25" customHeight="1" x14ac:dyDescent="0.2">
      <c r="A185" s="110"/>
      <c r="B185" s="110"/>
      <c r="C185" s="117"/>
      <c r="D185" s="118"/>
      <c r="E185" s="117"/>
      <c r="F185" s="118"/>
      <c r="G185" s="111"/>
      <c r="H185" s="112"/>
      <c r="I185" s="112"/>
      <c r="J185" s="112"/>
      <c r="K185" s="111"/>
      <c r="L185" s="137"/>
    </row>
    <row r="186" spans="1:13" ht="11.25" customHeight="1" x14ac:dyDescent="0.2">
      <c r="A186" s="104"/>
      <c r="B186" s="104"/>
      <c r="C186" s="148"/>
      <c r="D186" s="149"/>
      <c r="E186" s="148"/>
      <c r="F186" s="149"/>
      <c r="G186" s="93"/>
      <c r="H186" s="149"/>
      <c r="I186" s="149"/>
      <c r="J186" s="149"/>
      <c r="K186" s="149"/>
      <c r="L186" s="140" t="s">
        <v>456</v>
      </c>
    </row>
    <row r="187" spans="1:13" s="113" customFormat="1" ht="22.5" customHeight="1" x14ac:dyDescent="0.2">
      <c r="A187" s="463" t="s">
        <v>377</v>
      </c>
      <c r="B187" s="463"/>
      <c r="C187" s="463"/>
      <c r="D187" s="463"/>
      <c r="E187" s="463"/>
      <c r="F187" s="463"/>
      <c r="G187" s="463"/>
      <c r="H187" s="463"/>
      <c r="I187" s="463"/>
      <c r="J187" s="463"/>
      <c r="K187" s="463"/>
      <c r="L187" s="463"/>
    </row>
    <row r="188" spans="1:13" ht="11.25" customHeight="1" x14ac:dyDescent="0.2">
      <c r="A188" s="535" t="s">
        <v>357</v>
      </c>
      <c r="B188" s="535"/>
      <c r="C188" s="535"/>
      <c r="D188" s="535"/>
      <c r="E188" s="535"/>
      <c r="F188" s="535"/>
      <c r="G188" s="535"/>
      <c r="H188" s="535"/>
      <c r="I188" s="146"/>
      <c r="J188" s="146"/>
      <c r="K188" s="146"/>
      <c r="L188" s="146"/>
    </row>
    <row r="189" spans="1:13" ht="22.5" customHeight="1" x14ac:dyDescent="0.2">
      <c r="A189" s="504" t="s">
        <v>439</v>
      </c>
      <c r="B189" s="504"/>
      <c r="C189" s="504"/>
      <c r="D189" s="504"/>
      <c r="E189" s="504"/>
      <c r="F189" s="504"/>
      <c r="G189" s="504"/>
      <c r="H189" s="504"/>
      <c r="I189" s="504"/>
      <c r="J189" s="504"/>
      <c r="K189" s="504"/>
      <c r="L189" s="504"/>
    </row>
    <row r="190" spans="1:13" s="113" customFormat="1" ht="11.25" customHeight="1" x14ac:dyDescent="0.2">
      <c r="A190" s="535" t="s">
        <v>435</v>
      </c>
      <c r="B190" s="535"/>
      <c r="C190" s="535"/>
      <c r="D190" s="535"/>
      <c r="E190" s="535"/>
      <c r="F190" s="535"/>
      <c r="G190" s="149"/>
      <c r="H190" s="148"/>
      <c r="I190" s="148"/>
      <c r="J190" s="148"/>
      <c r="K190" s="136"/>
      <c r="L190" s="149"/>
    </row>
    <row r="191" spans="1:13" ht="22.5" customHeight="1" x14ac:dyDescent="0.2">
      <c r="A191" s="479" t="s">
        <v>747</v>
      </c>
      <c r="B191" s="479"/>
      <c r="C191" s="479"/>
      <c r="D191" s="479"/>
      <c r="E191" s="479"/>
      <c r="F191" s="479"/>
      <c r="G191" s="479"/>
      <c r="H191" s="479"/>
      <c r="I191" s="479"/>
      <c r="J191" s="479"/>
      <c r="K191" s="479"/>
      <c r="L191" s="479"/>
    </row>
    <row r="192" spans="1:13" ht="11.25" customHeight="1" x14ac:dyDescent="0.2">
      <c r="A192" s="170"/>
      <c r="B192" s="170"/>
      <c r="C192" s="170"/>
      <c r="D192" s="170"/>
      <c r="E192" s="170"/>
      <c r="F192" s="170"/>
      <c r="G192" s="170"/>
      <c r="H192" s="170"/>
      <c r="I192" s="170"/>
      <c r="J192" s="170"/>
      <c r="K192" s="170"/>
      <c r="L192" s="170"/>
    </row>
    <row r="193" spans="1:12" ht="11.25" customHeight="1" x14ac:dyDescent="0.2">
      <c r="A193" s="3" t="s">
        <v>349</v>
      </c>
      <c r="B193" s="104"/>
      <c r="C193" s="104"/>
      <c r="D193" s="148"/>
      <c r="E193" s="149"/>
      <c r="F193" s="148"/>
      <c r="G193" s="149"/>
      <c r="H193" s="148"/>
      <c r="I193" s="148"/>
      <c r="J193" s="148"/>
      <c r="K193" s="148"/>
      <c r="L193" s="148"/>
    </row>
  </sheetData>
  <sheetProtection sheet="1"/>
  <protectedRanges>
    <protectedRange sqref="K3" name="Range1"/>
  </protectedRanges>
  <mergeCells count="16">
    <mergeCell ref="A188:H188"/>
    <mergeCell ref="A189:L189"/>
    <mergeCell ref="A190:F190"/>
    <mergeCell ref="K2:L2"/>
    <mergeCell ref="K3:L3"/>
    <mergeCell ref="A187:L187"/>
    <mergeCell ref="A191:L191"/>
    <mergeCell ref="A1:L1"/>
    <mergeCell ref="A5:A7"/>
    <mergeCell ref="B5:B7"/>
    <mergeCell ref="C5:L5"/>
    <mergeCell ref="C6:D6"/>
    <mergeCell ref="E6:F6"/>
    <mergeCell ref="G6:H6"/>
    <mergeCell ref="I6:J6"/>
    <mergeCell ref="K6:L6"/>
  </mergeCells>
  <conditionalFormatting sqref="A165:A180">
    <cfRule type="cellIs" dxfId="1" priority="3" stopIfTrue="1" operator="equal">
      <formula>"x"</formula>
    </cfRule>
  </conditionalFormatting>
  <dataValidations count="1">
    <dataValidation type="list" allowBlank="1" showInputMessage="1" showErrorMessage="1" sqref="K3:L3" xr:uid="{343BAF14-6A1D-4B7E-B283-863DE24B5C19}">
      <formula1>EngMaths</formula1>
    </dataValidation>
  </dataValidations>
  <pageMargins left="0.74803149606299213" right="0.74803149606299213" top="0.98425196850393704" bottom="0.98425196850393704" header="0.51181102362204722" footer="0.51181102362204722"/>
  <pageSetup paperSize="9" scale="64"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A904-0534-486F-A6F9-F62C1E64CB20}">
  <sheetPr>
    <tabColor rgb="FFCCFFCC"/>
  </sheetPr>
  <dimension ref="A1:F189"/>
  <sheetViews>
    <sheetView showGridLines="0" zoomScaleNormal="100" workbookViewId="0">
      <pane ySplit="7" topLeftCell="A8" activePane="bottomLeft" state="frozen"/>
      <selection sqref="A1:V1"/>
      <selection pane="bottomLeft" activeCell="A8" sqref="A8"/>
    </sheetView>
  </sheetViews>
  <sheetFormatPr defaultRowHeight="11.25" x14ac:dyDescent="0.2"/>
  <cols>
    <col min="1" max="1" width="23.42578125" style="434" customWidth="1"/>
    <col min="2" max="2" width="8.7109375" style="434" customWidth="1"/>
    <col min="3" max="4" width="15.7109375" style="458" customWidth="1"/>
    <col min="5" max="5" width="15.7109375" style="434" customWidth="1"/>
    <col min="6" max="256" width="11.42578125" style="434" customWidth="1"/>
    <col min="257" max="16384" width="9.140625" style="434"/>
  </cols>
  <sheetData>
    <row r="1" spans="1:5" ht="12" customHeight="1" x14ac:dyDescent="0.2">
      <c r="A1" s="539" t="s">
        <v>735</v>
      </c>
      <c r="B1" s="539"/>
      <c r="C1" s="539"/>
      <c r="D1" s="539"/>
      <c r="E1" s="539"/>
    </row>
    <row r="2" spans="1:5" ht="13.5" x14ac:dyDescent="0.2">
      <c r="A2" s="540" t="s">
        <v>736</v>
      </c>
      <c r="B2" s="540"/>
      <c r="C2" s="540"/>
      <c r="D2" s="435"/>
      <c r="E2" s="436"/>
    </row>
    <row r="3" spans="1:5" ht="12" x14ac:dyDescent="0.2">
      <c r="A3" s="437" t="s">
        <v>9</v>
      </c>
      <c r="B3" s="438"/>
      <c r="C3" s="435"/>
      <c r="D3" s="435"/>
      <c r="E3" s="436"/>
    </row>
    <row r="4" spans="1:5" ht="12" x14ac:dyDescent="0.2">
      <c r="A4" s="437"/>
      <c r="B4" s="438"/>
      <c r="C4" s="435"/>
      <c r="D4" s="435"/>
      <c r="E4" s="436"/>
    </row>
    <row r="5" spans="1:5" ht="33.75" customHeight="1" x14ac:dyDescent="0.2">
      <c r="A5" s="541" t="s">
        <v>737</v>
      </c>
      <c r="B5" s="542"/>
      <c r="C5" s="542"/>
      <c r="D5" s="542"/>
      <c r="E5" s="542"/>
    </row>
    <row r="7" spans="1:5" s="443" customFormat="1" ht="45" customHeight="1" x14ac:dyDescent="0.2">
      <c r="A7" s="439" t="s">
        <v>378</v>
      </c>
      <c r="B7" s="440" t="s">
        <v>379</v>
      </c>
      <c r="C7" s="441" t="s">
        <v>738</v>
      </c>
      <c r="D7" s="441" t="s">
        <v>739</v>
      </c>
      <c r="E7" s="442" t="s">
        <v>740</v>
      </c>
    </row>
    <row r="8" spans="1:5" x14ac:dyDescent="0.2">
      <c r="A8" s="444"/>
      <c r="B8" s="444"/>
      <c r="C8" s="445"/>
      <c r="D8" s="445"/>
    </row>
    <row r="9" spans="1:5" x14ac:dyDescent="0.2">
      <c r="A9" s="16" t="s">
        <v>380</v>
      </c>
      <c r="B9" s="17" t="s">
        <v>17</v>
      </c>
      <c r="C9" s="446">
        <v>144</v>
      </c>
      <c r="D9" s="446">
        <v>14</v>
      </c>
      <c r="E9" s="447">
        <v>9.6999999999999993</v>
      </c>
    </row>
    <row r="10" spans="1:5" x14ac:dyDescent="0.2">
      <c r="A10" s="125" t="s">
        <v>354</v>
      </c>
      <c r="B10" s="126" t="s">
        <v>20</v>
      </c>
      <c r="C10" s="448">
        <v>33</v>
      </c>
      <c r="D10" s="448">
        <v>2</v>
      </c>
      <c r="E10" s="449">
        <v>6.1</v>
      </c>
    </row>
    <row r="11" spans="1:5" x14ac:dyDescent="0.2">
      <c r="A11" s="125" t="s">
        <v>18</v>
      </c>
      <c r="B11" s="126" t="s">
        <v>19</v>
      </c>
      <c r="C11" s="448">
        <v>7</v>
      </c>
      <c r="D11" s="448">
        <v>0</v>
      </c>
      <c r="E11" s="449">
        <v>0</v>
      </c>
    </row>
    <row r="12" spans="1:5" x14ac:dyDescent="0.2">
      <c r="A12" s="125" t="s">
        <v>21</v>
      </c>
      <c r="B12" s="126" t="s">
        <v>22</v>
      </c>
      <c r="C12" s="448">
        <v>9</v>
      </c>
      <c r="D12" s="448">
        <v>1</v>
      </c>
      <c r="E12" s="449">
        <v>11.1</v>
      </c>
    </row>
    <row r="13" spans="1:5" x14ac:dyDescent="0.2">
      <c r="A13" s="125" t="s">
        <v>23</v>
      </c>
      <c r="B13" s="126" t="s">
        <v>24</v>
      </c>
      <c r="C13" s="448">
        <v>4</v>
      </c>
      <c r="D13" s="448">
        <v>0</v>
      </c>
      <c r="E13" s="449">
        <v>0</v>
      </c>
    </row>
    <row r="14" spans="1:5" x14ac:dyDescent="0.2">
      <c r="A14" s="125" t="s">
        <v>25</v>
      </c>
      <c r="B14" s="126" t="s">
        <v>26</v>
      </c>
      <c r="C14" s="448">
        <v>6</v>
      </c>
      <c r="D14" s="448">
        <v>1</v>
      </c>
      <c r="E14" s="449">
        <v>16.7</v>
      </c>
    </row>
    <row r="15" spans="1:5" x14ac:dyDescent="0.2">
      <c r="A15" s="125" t="s">
        <v>27</v>
      </c>
      <c r="B15" s="126" t="s">
        <v>28</v>
      </c>
      <c r="C15" s="448">
        <v>11</v>
      </c>
      <c r="D15" s="448">
        <v>1</v>
      </c>
      <c r="E15" s="449">
        <v>9.1</v>
      </c>
    </row>
    <row r="16" spans="1:5" x14ac:dyDescent="0.2">
      <c r="A16" s="125" t="s">
        <v>29</v>
      </c>
      <c r="B16" s="126" t="s">
        <v>30</v>
      </c>
      <c r="C16" s="448">
        <v>11</v>
      </c>
      <c r="D16" s="448">
        <v>0</v>
      </c>
      <c r="E16" s="449">
        <v>0</v>
      </c>
    </row>
    <row r="17" spans="1:5" x14ac:dyDescent="0.2">
      <c r="A17" s="125" t="s">
        <v>31</v>
      </c>
      <c r="B17" s="126" t="s">
        <v>32</v>
      </c>
      <c r="C17" s="448">
        <v>15</v>
      </c>
      <c r="D17" s="448">
        <v>4</v>
      </c>
      <c r="E17" s="449">
        <v>26.7</v>
      </c>
    </row>
    <row r="18" spans="1:5" x14ac:dyDescent="0.2">
      <c r="A18" s="125" t="s">
        <v>33</v>
      </c>
      <c r="B18" s="126" t="s">
        <v>34</v>
      </c>
      <c r="C18" s="448">
        <v>11</v>
      </c>
      <c r="D18" s="448">
        <v>1</v>
      </c>
      <c r="E18" s="449">
        <v>9.1</v>
      </c>
    </row>
    <row r="19" spans="1:5" x14ac:dyDescent="0.2">
      <c r="A19" s="125" t="s">
        <v>35</v>
      </c>
      <c r="B19" s="126" t="s">
        <v>36</v>
      </c>
      <c r="C19" s="448">
        <v>9</v>
      </c>
      <c r="D19" s="448">
        <v>1</v>
      </c>
      <c r="E19" s="449">
        <v>11.1</v>
      </c>
    </row>
    <row r="20" spans="1:5" x14ac:dyDescent="0.2">
      <c r="A20" s="125" t="s">
        <v>37</v>
      </c>
      <c r="B20" s="126" t="s">
        <v>38</v>
      </c>
      <c r="C20" s="448">
        <v>10</v>
      </c>
      <c r="D20" s="448">
        <v>1</v>
      </c>
      <c r="E20" s="449">
        <v>10</v>
      </c>
    </row>
    <row r="21" spans="1:5" x14ac:dyDescent="0.2">
      <c r="A21" s="125" t="s">
        <v>39</v>
      </c>
      <c r="B21" s="126" t="s">
        <v>40</v>
      </c>
      <c r="C21" s="448">
        <v>18</v>
      </c>
      <c r="D21" s="448">
        <v>2</v>
      </c>
      <c r="E21" s="449">
        <v>11.1</v>
      </c>
    </row>
    <row r="22" spans="1:5" x14ac:dyDescent="0.2">
      <c r="A22" s="3"/>
      <c r="B22" s="3"/>
      <c r="C22" s="446"/>
      <c r="D22" s="446"/>
      <c r="E22" s="446"/>
    </row>
    <row r="23" spans="1:5" x14ac:dyDescent="0.2">
      <c r="A23" s="16" t="s">
        <v>381</v>
      </c>
      <c r="B23" s="17" t="s">
        <v>41</v>
      </c>
      <c r="C23" s="446">
        <v>431</v>
      </c>
      <c r="D23" s="446">
        <v>28</v>
      </c>
      <c r="E23" s="447">
        <v>6.5</v>
      </c>
    </row>
    <row r="24" spans="1:5" x14ac:dyDescent="0.2">
      <c r="A24" s="125" t="s">
        <v>42</v>
      </c>
      <c r="B24" s="126" t="s">
        <v>43</v>
      </c>
      <c r="C24" s="448">
        <v>9</v>
      </c>
      <c r="D24" s="448">
        <v>0</v>
      </c>
      <c r="E24" s="449">
        <v>0</v>
      </c>
    </row>
    <row r="25" spans="1:5" x14ac:dyDescent="0.2">
      <c r="A25" s="125" t="s">
        <v>44</v>
      </c>
      <c r="B25" s="126" t="s">
        <v>45</v>
      </c>
      <c r="C25" s="448">
        <v>6</v>
      </c>
      <c r="D25" s="448">
        <v>1</v>
      </c>
      <c r="E25" s="449">
        <v>16.7</v>
      </c>
    </row>
    <row r="26" spans="1:5" x14ac:dyDescent="0.2">
      <c r="A26" s="125" t="s">
        <v>46</v>
      </c>
      <c r="B26" s="126" t="s">
        <v>47</v>
      </c>
      <c r="C26" s="448">
        <v>17</v>
      </c>
      <c r="D26" s="448">
        <v>1</v>
      </c>
      <c r="E26" s="449">
        <v>5.9</v>
      </c>
    </row>
    <row r="27" spans="1:5" x14ac:dyDescent="0.2">
      <c r="A27" s="125" t="s">
        <v>48</v>
      </c>
      <c r="B27" s="126" t="s">
        <v>49</v>
      </c>
      <c r="C27" s="448">
        <v>14</v>
      </c>
      <c r="D27" s="448">
        <v>0</v>
      </c>
      <c r="E27" s="449">
        <v>0</v>
      </c>
    </row>
    <row r="28" spans="1:5" x14ac:dyDescent="0.2">
      <c r="A28" s="125" t="s">
        <v>50</v>
      </c>
      <c r="B28" s="126" t="s">
        <v>51</v>
      </c>
      <c r="C28" s="448">
        <v>20</v>
      </c>
      <c r="D28" s="448">
        <v>0</v>
      </c>
      <c r="E28" s="449">
        <v>0</v>
      </c>
    </row>
    <row r="29" spans="1:5" x14ac:dyDescent="0.2">
      <c r="A29" s="125" t="s">
        <v>52</v>
      </c>
      <c r="B29" s="126" t="s">
        <v>53</v>
      </c>
      <c r="C29" s="448">
        <v>19</v>
      </c>
      <c r="D29" s="448">
        <v>1</v>
      </c>
      <c r="E29" s="449">
        <v>5.3</v>
      </c>
    </row>
    <row r="30" spans="1:5" x14ac:dyDescent="0.2">
      <c r="A30" s="125" t="s">
        <v>54</v>
      </c>
      <c r="B30" s="126" t="s">
        <v>55</v>
      </c>
      <c r="C30" s="448">
        <v>37</v>
      </c>
      <c r="D30" s="448">
        <v>3</v>
      </c>
      <c r="E30" s="449">
        <v>8.1</v>
      </c>
    </row>
    <row r="31" spans="1:5" x14ac:dyDescent="0.2">
      <c r="A31" s="125" t="s">
        <v>56</v>
      </c>
      <c r="B31" s="126" t="s">
        <v>57</v>
      </c>
      <c r="C31" s="448">
        <v>7</v>
      </c>
      <c r="D31" s="448">
        <v>0</v>
      </c>
      <c r="E31" s="449">
        <v>0</v>
      </c>
    </row>
    <row r="32" spans="1:5" x14ac:dyDescent="0.2">
      <c r="A32" s="125" t="s">
        <v>58</v>
      </c>
      <c r="B32" s="126" t="s">
        <v>59</v>
      </c>
      <c r="C32" s="448">
        <v>5</v>
      </c>
      <c r="D32" s="448">
        <v>1</v>
      </c>
      <c r="E32" s="449">
        <v>20</v>
      </c>
    </row>
    <row r="33" spans="1:5" x14ac:dyDescent="0.2">
      <c r="A33" s="125" t="s">
        <v>60</v>
      </c>
      <c r="B33" s="126" t="s">
        <v>61</v>
      </c>
      <c r="C33" s="448">
        <v>82</v>
      </c>
      <c r="D33" s="448">
        <v>6</v>
      </c>
      <c r="E33" s="449">
        <v>7.3</v>
      </c>
    </row>
    <row r="34" spans="1:5" x14ac:dyDescent="0.2">
      <c r="A34" s="125" t="s">
        <v>62</v>
      </c>
      <c r="B34" s="126" t="s">
        <v>63</v>
      </c>
      <c r="C34" s="448">
        <v>29</v>
      </c>
      <c r="D34" s="448">
        <v>4</v>
      </c>
      <c r="E34" s="449">
        <v>13.8</v>
      </c>
    </row>
    <row r="35" spans="1:5" x14ac:dyDescent="0.2">
      <c r="A35" s="125" t="s">
        <v>64</v>
      </c>
      <c r="B35" s="126" t="s">
        <v>65</v>
      </c>
      <c r="C35" s="448">
        <v>24</v>
      </c>
      <c r="D35" s="448">
        <v>3</v>
      </c>
      <c r="E35" s="449">
        <v>12.5</v>
      </c>
    </row>
    <row r="36" spans="1:5" x14ac:dyDescent="0.2">
      <c r="A36" s="125" t="s">
        <v>66</v>
      </c>
      <c r="B36" s="126" t="s">
        <v>67</v>
      </c>
      <c r="C36" s="448">
        <v>12</v>
      </c>
      <c r="D36" s="448">
        <v>0</v>
      </c>
      <c r="E36" s="449">
        <v>0</v>
      </c>
    </row>
    <row r="37" spans="1:5" x14ac:dyDescent="0.2">
      <c r="A37" s="125" t="s">
        <v>68</v>
      </c>
      <c r="B37" s="126" t="s">
        <v>69</v>
      </c>
      <c r="C37" s="448">
        <v>12</v>
      </c>
      <c r="D37" s="448">
        <v>0</v>
      </c>
      <c r="E37" s="449">
        <v>0</v>
      </c>
    </row>
    <row r="38" spans="1:5" x14ac:dyDescent="0.2">
      <c r="A38" s="125" t="s">
        <v>70</v>
      </c>
      <c r="B38" s="126" t="s">
        <v>71</v>
      </c>
      <c r="C38" s="448">
        <v>15</v>
      </c>
      <c r="D38" s="448">
        <v>2</v>
      </c>
      <c r="E38" s="449">
        <v>13.3</v>
      </c>
    </row>
    <row r="39" spans="1:5" x14ac:dyDescent="0.2">
      <c r="A39" s="125" t="s">
        <v>72</v>
      </c>
      <c r="B39" s="126" t="s">
        <v>73</v>
      </c>
      <c r="C39" s="448">
        <v>19</v>
      </c>
      <c r="D39" s="448">
        <v>2</v>
      </c>
      <c r="E39" s="449">
        <v>10.5</v>
      </c>
    </row>
    <row r="40" spans="1:5" x14ac:dyDescent="0.2">
      <c r="A40" s="125" t="s">
        <v>74</v>
      </c>
      <c r="B40" s="126" t="s">
        <v>75</v>
      </c>
      <c r="C40" s="448">
        <v>9</v>
      </c>
      <c r="D40" s="448">
        <v>0</v>
      </c>
      <c r="E40" s="449">
        <v>0</v>
      </c>
    </row>
    <row r="41" spans="1:5" x14ac:dyDescent="0.2">
      <c r="A41" s="125" t="s">
        <v>76</v>
      </c>
      <c r="B41" s="126" t="s">
        <v>77</v>
      </c>
      <c r="C41" s="448">
        <v>13</v>
      </c>
      <c r="D41" s="448">
        <v>0</v>
      </c>
      <c r="E41" s="449">
        <v>0</v>
      </c>
    </row>
    <row r="42" spans="1:5" x14ac:dyDescent="0.2">
      <c r="A42" s="125" t="s">
        <v>78</v>
      </c>
      <c r="B42" s="126" t="s">
        <v>79</v>
      </c>
      <c r="C42" s="448">
        <v>15</v>
      </c>
      <c r="D42" s="448">
        <v>1</v>
      </c>
      <c r="E42" s="449">
        <v>6.7</v>
      </c>
    </row>
    <row r="43" spans="1:5" x14ac:dyDescent="0.2">
      <c r="A43" s="125" t="s">
        <v>80</v>
      </c>
      <c r="B43" s="126" t="s">
        <v>81</v>
      </c>
      <c r="C43" s="448">
        <v>18</v>
      </c>
      <c r="D43" s="448">
        <v>2</v>
      </c>
      <c r="E43" s="449">
        <v>11.1</v>
      </c>
    </row>
    <row r="44" spans="1:5" x14ac:dyDescent="0.2">
      <c r="A44" s="125" t="s">
        <v>82</v>
      </c>
      <c r="B44" s="126" t="s">
        <v>83</v>
      </c>
      <c r="C44" s="448">
        <v>9</v>
      </c>
      <c r="D44" s="448">
        <v>0</v>
      </c>
      <c r="E44" s="449">
        <v>0</v>
      </c>
    </row>
    <row r="45" spans="1:5" x14ac:dyDescent="0.2">
      <c r="A45" s="125" t="s">
        <v>84</v>
      </c>
      <c r="B45" s="126" t="s">
        <v>85</v>
      </c>
      <c r="C45" s="448">
        <v>18</v>
      </c>
      <c r="D45" s="448">
        <v>0</v>
      </c>
      <c r="E45" s="449">
        <v>0</v>
      </c>
    </row>
    <row r="46" spans="1:5" x14ac:dyDescent="0.2">
      <c r="A46" s="125" t="s">
        <v>86</v>
      </c>
      <c r="B46" s="126" t="s">
        <v>87</v>
      </c>
      <c r="C46" s="448">
        <v>22</v>
      </c>
      <c r="D46" s="448">
        <v>1</v>
      </c>
      <c r="E46" s="449">
        <v>4.5</v>
      </c>
    </row>
    <row r="47" spans="1:5" x14ac:dyDescent="0.2">
      <c r="A47" s="3"/>
      <c r="B47" s="3"/>
      <c r="C47" s="446"/>
      <c r="D47" s="446"/>
      <c r="E47" s="446"/>
    </row>
    <row r="48" spans="1:5" x14ac:dyDescent="0.2">
      <c r="A48" s="16" t="s">
        <v>382</v>
      </c>
      <c r="B48" s="17" t="s">
        <v>88</v>
      </c>
      <c r="C48" s="446">
        <v>283</v>
      </c>
      <c r="D48" s="446">
        <v>19</v>
      </c>
      <c r="E48" s="447">
        <v>6.7</v>
      </c>
    </row>
    <row r="49" spans="1:5" x14ac:dyDescent="0.2">
      <c r="A49" s="125" t="s">
        <v>89</v>
      </c>
      <c r="B49" s="126" t="s">
        <v>90</v>
      </c>
      <c r="C49" s="448">
        <v>9</v>
      </c>
      <c r="D49" s="448">
        <v>3</v>
      </c>
      <c r="E49" s="449">
        <v>33.299999999999997</v>
      </c>
    </row>
    <row r="50" spans="1:5" x14ac:dyDescent="0.2">
      <c r="A50" s="125" t="s">
        <v>91</v>
      </c>
      <c r="B50" s="126" t="s">
        <v>92</v>
      </c>
      <c r="C50" s="448">
        <v>27</v>
      </c>
      <c r="D50" s="448">
        <v>1</v>
      </c>
      <c r="E50" s="449">
        <v>3.7</v>
      </c>
    </row>
    <row r="51" spans="1:5" x14ac:dyDescent="0.2">
      <c r="A51" s="125" t="s">
        <v>93</v>
      </c>
      <c r="B51" s="126" t="s">
        <v>94</v>
      </c>
      <c r="C51" s="448">
        <v>13</v>
      </c>
      <c r="D51" s="448">
        <v>0</v>
      </c>
      <c r="E51" s="449">
        <v>0</v>
      </c>
    </row>
    <row r="52" spans="1:5" x14ac:dyDescent="0.2">
      <c r="A52" s="125" t="s">
        <v>95</v>
      </c>
      <c r="B52" s="126" t="s">
        <v>96</v>
      </c>
      <c r="C52" s="448">
        <v>16</v>
      </c>
      <c r="D52" s="448">
        <v>0</v>
      </c>
      <c r="E52" s="449">
        <v>0</v>
      </c>
    </row>
    <row r="53" spans="1:5" x14ac:dyDescent="0.2">
      <c r="A53" s="125" t="s">
        <v>97</v>
      </c>
      <c r="B53" s="126" t="s">
        <v>98</v>
      </c>
      <c r="C53" s="448">
        <v>18</v>
      </c>
      <c r="D53" s="448">
        <v>0</v>
      </c>
      <c r="E53" s="449">
        <v>0</v>
      </c>
    </row>
    <row r="54" spans="1:5" x14ac:dyDescent="0.2">
      <c r="A54" s="125" t="s">
        <v>99</v>
      </c>
      <c r="B54" s="126" t="s">
        <v>100</v>
      </c>
      <c r="C54" s="448">
        <v>12</v>
      </c>
      <c r="D54" s="448">
        <v>3</v>
      </c>
      <c r="E54" s="449">
        <v>25</v>
      </c>
    </row>
    <row r="55" spans="1:5" x14ac:dyDescent="0.2">
      <c r="A55" s="125" t="s">
        <v>101</v>
      </c>
      <c r="B55" s="126" t="s">
        <v>102</v>
      </c>
      <c r="C55" s="448">
        <v>24</v>
      </c>
      <c r="D55" s="448">
        <v>0</v>
      </c>
      <c r="E55" s="449">
        <v>0</v>
      </c>
    </row>
    <row r="56" spans="1:5" x14ac:dyDescent="0.2">
      <c r="A56" s="125" t="s">
        <v>103</v>
      </c>
      <c r="B56" s="126" t="s">
        <v>104</v>
      </c>
      <c r="C56" s="448">
        <v>36</v>
      </c>
      <c r="D56" s="448">
        <v>4</v>
      </c>
      <c r="E56" s="449">
        <v>11.1</v>
      </c>
    </row>
    <row r="57" spans="1:5" x14ac:dyDescent="0.2">
      <c r="A57" s="125" t="s">
        <v>105</v>
      </c>
      <c r="B57" s="126" t="s">
        <v>106</v>
      </c>
      <c r="C57" s="448">
        <v>9</v>
      </c>
      <c r="D57" s="448">
        <v>1</v>
      </c>
      <c r="E57" s="449">
        <v>11.1</v>
      </c>
    </row>
    <row r="58" spans="1:5" x14ac:dyDescent="0.2">
      <c r="A58" s="125" t="s">
        <v>107</v>
      </c>
      <c r="B58" s="126" t="s">
        <v>108</v>
      </c>
      <c r="C58" s="448">
        <v>11</v>
      </c>
      <c r="D58" s="448">
        <v>1</v>
      </c>
      <c r="E58" s="449">
        <v>9.1</v>
      </c>
    </row>
    <row r="59" spans="1:5" x14ac:dyDescent="0.2">
      <c r="A59" s="125" t="s">
        <v>109</v>
      </c>
      <c r="B59" s="126" t="s">
        <v>110</v>
      </c>
      <c r="C59" s="448">
        <v>41</v>
      </c>
      <c r="D59" s="448">
        <v>2</v>
      </c>
      <c r="E59" s="449">
        <v>4.9000000000000004</v>
      </c>
    </row>
    <row r="60" spans="1:5" x14ac:dyDescent="0.2">
      <c r="A60" s="125" t="s">
        <v>111</v>
      </c>
      <c r="B60" s="126" t="s">
        <v>112</v>
      </c>
      <c r="C60" s="448">
        <v>16</v>
      </c>
      <c r="D60" s="448">
        <v>1</v>
      </c>
      <c r="E60" s="449">
        <v>6.3</v>
      </c>
    </row>
    <row r="61" spans="1:5" x14ac:dyDescent="0.2">
      <c r="A61" s="125" t="s">
        <v>113</v>
      </c>
      <c r="B61" s="126" t="s">
        <v>114</v>
      </c>
      <c r="C61" s="448">
        <v>24</v>
      </c>
      <c r="D61" s="448">
        <v>2</v>
      </c>
      <c r="E61" s="449">
        <v>8.3000000000000007</v>
      </c>
    </row>
    <row r="62" spans="1:5" x14ac:dyDescent="0.2">
      <c r="A62" s="125" t="s">
        <v>115</v>
      </c>
      <c r="B62" s="126" t="s">
        <v>116</v>
      </c>
      <c r="C62" s="448">
        <v>17</v>
      </c>
      <c r="D62" s="448">
        <v>0</v>
      </c>
      <c r="E62" s="449">
        <v>0</v>
      </c>
    </row>
    <row r="63" spans="1:5" x14ac:dyDescent="0.2">
      <c r="A63" s="125" t="s">
        <v>117</v>
      </c>
      <c r="B63" s="126" t="s">
        <v>118</v>
      </c>
      <c r="C63" s="448">
        <v>10</v>
      </c>
      <c r="D63" s="448">
        <v>1</v>
      </c>
      <c r="E63" s="449">
        <v>10</v>
      </c>
    </row>
    <row r="64" spans="1:5" x14ac:dyDescent="0.2">
      <c r="A64" s="3"/>
      <c r="B64" s="3"/>
      <c r="C64" s="446"/>
      <c r="D64" s="446"/>
      <c r="E64" s="446"/>
    </row>
    <row r="65" spans="1:5" x14ac:dyDescent="0.2">
      <c r="A65" s="16" t="s">
        <v>385</v>
      </c>
      <c r="B65" s="17" t="s">
        <v>119</v>
      </c>
      <c r="C65" s="446">
        <v>239</v>
      </c>
      <c r="D65" s="446">
        <v>19</v>
      </c>
      <c r="E65" s="447">
        <v>7.9</v>
      </c>
    </row>
    <row r="66" spans="1:5" x14ac:dyDescent="0.2">
      <c r="A66" s="125" t="s">
        <v>120</v>
      </c>
      <c r="B66" s="126" t="s">
        <v>121</v>
      </c>
      <c r="C66" s="448">
        <v>12</v>
      </c>
      <c r="D66" s="448">
        <v>1</v>
      </c>
      <c r="E66" s="449">
        <v>8.3000000000000007</v>
      </c>
    </row>
    <row r="67" spans="1:5" x14ac:dyDescent="0.2">
      <c r="A67" s="125" t="s">
        <v>122</v>
      </c>
      <c r="B67" s="126" t="s">
        <v>123</v>
      </c>
      <c r="C67" s="448">
        <v>45</v>
      </c>
      <c r="D67" s="448">
        <v>2</v>
      </c>
      <c r="E67" s="449">
        <v>4.4000000000000004</v>
      </c>
    </row>
    <row r="68" spans="1:5" x14ac:dyDescent="0.2">
      <c r="A68" s="125" t="s">
        <v>124</v>
      </c>
      <c r="B68" s="126" t="s">
        <v>125</v>
      </c>
      <c r="C68" s="448">
        <v>18</v>
      </c>
      <c r="D68" s="448">
        <v>3</v>
      </c>
      <c r="E68" s="449">
        <v>16.7</v>
      </c>
    </row>
    <row r="69" spans="1:5" x14ac:dyDescent="0.2">
      <c r="A69" s="125" t="s">
        <v>126</v>
      </c>
      <c r="B69" s="126" t="s">
        <v>127</v>
      </c>
      <c r="C69" s="448">
        <v>21</v>
      </c>
      <c r="D69" s="448">
        <v>0</v>
      </c>
      <c r="E69" s="449">
        <v>0</v>
      </c>
    </row>
    <row r="70" spans="1:5" x14ac:dyDescent="0.2">
      <c r="A70" s="125" t="s">
        <v>128</v>
      </c>
      <c r="B70" s="126" t="s">
        <v>129</v>
      </c>
      <c r="C70" s="448">
        <v>53</v>
      </c>
      <c r="D70" s="448">
        <v>7</v>
      </c>
      <c r="E70" s="449">
        <v>13.2</v>
      </c>
    </row>
    <row r="71" spans="1:5" x14ac:dyDescent="0.2">
      <c r="A71" s="125" t="s">
        <v>130</v>
      </c>
      <c r="B71" s="126" t="s">
        <v>131</v>
      </c>
      <c r="C71" s="448">
        <v>32</v>
      </c>
      <c r="D71" s="448">
        <v>0</v>
      </c>
      <c r="E71" s="449">
        <v>0</v>
      </c>
    </row>
    <row r="72" spans="1:5" x14ac:dyDescent="0.2">
      <c r="A72" s="125" t="s">
        <v>132</v>
      </c>
      <c r="B72" s="126" t="s">
        <v>133</v>
      </c>
      <c r="C72" s="448">
        <v>14</v>
      </c>
      <c r="D72" s="448">
        <v>4</v>
      </c>
      <c r="E72" s="449">
        <v>28.6</v>
      </c>
    </row>
    <row r="73" spans="1:5" x14ac:dyDescent="0.2">
      <c r="A73" s="125" t="s">
        <v>134</v>
      </c>
      <c r="B73" s="126" t="s">
        <v>135</v>
      </c>
      <c r="C73" s="448">
        <v>41</v>
      </c>
      <c r="D73" s="448">
        <v>2</v>
      </c>
      <c r="E73" s="449">
        <v>4.9000000000000004</v>
      </c>
    </row>
    <row r="74" spans="1:5" x14ac:dyDescent="0.2">
      <c r="A74" s="125" t="s">
        <v>136</v>
      </c>
      <c r="B74" s="126" t="s">
        <v>137</v>
      </c>
      <c r="C74" s="448">
        <v>3</v>
      </c>
      <c r="D74" s="448">
        <v>0</v>
      </c>
      <c r="E74" s="449">
        <v>0</v>
      </c>
    </row>
    <row r="75" spans="1:5" x14ac:dyDescent="0.2">
      <c r="A75" s="3"/>
      <c r="B75" s="3"/>
      <c r="C75" s="446"/>
      <c r="D75" s="446"/>
      <c r="E75" s="446"/>
    </row>
    <row r="76" spans="1:5" x14ac:dyDescent="0.2">
      <c r="A76" s="17" t="s">
        <v>386</v>
      </c>
      <c r="B76" s="17" t="s">
        <v>138</v>
      </c>
      <c r="C76" s="446">
        <v>356</v>
      </c>
      <c r="D76" s="446">
        <v>18</v>
      </c>
      <c r="E76" s="447">
        <v>5.0999999999999996</v>
      </c>
    </row>
    <row r="77" spans="1:5" x14ac:dyDescent="0.2">
      <c r="A77" s="125" t="s">
        <v>139</v>
      </c>
      <c r="B77" s="126" t="s">
        <v>140</v>
      </c>
      <c r="C77" s="448">
        <v>72</v>
      </c>
      <c r="D77" s="448">
        <v>4</v>
      </c>
      <c r="E77" s="449">
        <v>5.6</v>
      </c>
    </row>
    <row r="78" spans="1:5" x14ac:dyDescent="0.2">
      <c r="A78" s="125" t="s">
        <v>141</v>
      </c>
      <c r="B78" s="126" t="s">
        <v>142</v>
      </c>
      <c r="C78" s="448">
        <v>19</v>
      </c>
      <c r="D78" s="448">
        <v>2</v>
      </c>
      <c r="E78" s="449">
        <v>10.5</v>
      </c>
    </row>
    <row r="79" spans="1:5" x14ac:dyDescent="0.2">
      <c r="A79" s="125" t="s">
        <v>143</v>
      </c>
      <c r="B79" s="126" t="s">
        <v>144</v>
      </c>
      <c r="C79" s="448">
        <v>20</v>
      </c>
      <c r="D79" s="448">
        <v>0</v>
      </c>
      <c r="E79" s="449">
        <v>0</v>
      </c>
    </row>
    <row r="80" spans="1:5" x14ac:dyDescent="0.2">
      <c r="A80" s="125" t="s">
        <v>355</v>
      </c>
      <c r="B80" s="126" t="s">
        <v>145</v>
      </c>
      <c r="C80" s="448">
        <v>15</v>
      </c>
      <c r="D80" s="448">
        <v>1</v>
      </c>
      <c r="E80" s="449">
        <v>6.7</v>
      </c>
    </row>
    <row r="81" spans="1:5" x14ac:dyDescent="0.2">
      <c r="A81" s="125" t="s">
        <v>146</v>
      </c>
      <c r="B81" s="126" t="s">
        <v>147</v>
      </c>
      <c r="C81" s="448">
        <v>15</v>
      </c>
      <c r="D81" s="448">
        <v>0</v>
      </c>
      <c r="E81" s="449">
        <v>0</v>
      </c>
    </row>
    <row r="82" spans="1:5" x14ac:dyDescent="0.2">
      <c r="A82" s="125" t="s">
        <v>148</v>
      </c>
      <c r="B82" s="126" t="s">
        <v>149</v>
      </c>
      <c r="C82" s="448">
        <v>20</v>
      </c>
      <c r="D82" s="448">
        <v>1</v>
      </c>
      <c r="E82" s="449">
        <v>5</v>
      </c>
    </row>
    <row r="83" spans="1:5" x14ac:dyDescent="0.2">
      <c r="A83" s="125" t="s">
        <v>150</v>
      </c>
      <c r="B83" s="126" t="s">
        <v>151</v>
      </c>
      <c r="C83" s="448">
        <v>14</v>
      </c>
      <c r="D83" s="448">
        <v>0</v>
      </c>
      <c r="E83" s="449">
        <v>0</v>
      </c>
    </row>
    <row r="84" spans="1:5" x14ac:dyDescent="0.2">
      <c r="A84" s="125" t="s">
        <v>152</v>
      </c>
      <c r="B84" s="126" t="s">
        <v>153</v>
      </c>
      <c r="C84" s="448">
        <v>55</v>
      </c>
      <c r="D84" s="448">
        <v>2</v>
      </c>
      <c r="E84" s="449">
        <v>3.6</v>
      </c>
    </row>
    <row r="85" spans="1:5" x14ac:dyDescent="0.2">
      <c r="A85" s="125" t="s">
        <v>154</v>
      </c>
      <c r="B85" s="126" t="s">
        <v>155</v>
      </c>
      <c r="C85" s="448">
        <v>13</v>
      </c>
      <c r="D85" s="448">
        <v>2</v>
      </c>
      <c r="E85" s="449">
        <v>15.4</v>
      </c>
    </row>
    <row r="86" spans="1:5" x14ac:dyDescent="0.2">
      <c r="A86" s="125" t="s">
        <v>156</v>
      </c>
      <c r="B86" s="126" t="s">
        <v>157</v>
      </c>
      <c r="C86" s="448">
        <v>14</v>
      </c>
      <c r="D86" s="448">
        <v>2</v>
      </c>
      <c r="E86" s="449">
        <v>14.3</v>
      </c>
    </row>
    <row r="87" spans="1:5" x14ac:dyDescent="0.2">
      <c r="A87" s="125" t="s">
        <v>158</v>
      </c>
      <c r="B87" s="126" t="s">
        <v>159</v>
      </c>
      <c r="C87" s="448">
        <v>19</v>
      </c>
      <c r="D87" s="448">
        <v>3</v>
      </c>
      <c r="E87" s="449">
        <v>15.8</v>
      </c>
    </row>
    <row r="88" spans="1:5" x14ac:dyDescent="0.2">
      <c r="A88" s="125" t="s">
        <v>160</v>
      </c>
      <c r="B88" s="126" t="s">
        <v>161</v>
      </c>
      <c r="C88" s="448">
        <v>34</v>
      </c>
      <c r="D88" s="448">
        <v>0</v>
      </c>
      <c r="E88" s="449">
        <v>0</v>
      </c>
    </row>
    <row r="89" spans="1:5" x14ac:dyDescent="0.2">
      <c r="A89" s="125" t="s">
        <v>162</v>
      </c>
      <c r="B89" s="126" t="s">
        <v>163</v>
      </c>
      <c r="C89" s="448">
        <v>17</v>
      </c>
      <c r="D89" s="448">
        <v>1</v>
      </c>
      <c r="E89" s="449">
        <v>5.9</v>
      </c>
    </row>
    <row r="90" spans="1:5" x14ac:dyDescent="0.2">
      <c r="A90" s="125" t="s">
        <v>164</v>
      </c>
      <c r="B90" s="126" t="s">
        <v>165</v>
      </c>
      <c r="C90" s="448">
        <v>29</v>
      </c>
      <c r="D90" s="448">
        <v>0</v>
      </c>
      <c r="E90" s="449">
        <v>0</v>
      </c>
    </row>
    <row r="91" spans="1:5" x14ac:dyDescent="0.2">
      <c r="A91" s="3"/>
      <c r="B91" s="3"/>
      <c r="C91" s="446"/>
      <c r="D91" s="446"/>
      <c r="E91" s="446"/>
    </row>
    <row r="92" spans="1:5" x14ac:dyDescent="0.2">
      <c r="A92" s="17" t="s">
        <v>383</v>
      </c>
      <c r="B92" s="17" t="s">
        <v>166</v>
      </c>
      <c r="C92" s="446">
        <v>313</v>
      </c>
      <c r="D92" s="446">
        <v>20</v>
      </c>
      <c r="E92" s="447">
        <v>6.4</v>
      </c>
    </row>
    <row r="93" spans="1:5" x14ac:dyDescent="0.2">
      <c r="A93" s="125" t="s">
        <v>167</v>
      </c>
      <c r="B93" s="126" t="s">
        <v>168</v>
      </c>
      <c r="C93" s="448">
        <v>7</v>
      </c>
      <c r="D93" s="448">
        <v>1</v>
      </c>
      <c r="E93" s="449">
        <v>14.3</v>
      </c>
    </row>
    <row r="94" spans="1:5" x14ac:dyDescent="0.2">
      <c r="A94" s="125" t="s">
        <v>169</v>
      </c>
      <c r="B94" s="126" t="s">
        <v>170</v>
      </c>
      <c r="C94" s="448">
        <v>27</v>
      </c>
      <c r="D94" s="448">
        <v>2</v>
      </c>
      <c r="E94" s="449">
        <v>7.4</v>
      </c>
    </row>
    <row r="95" spans="1:5" x14ac:dyDescent="0.2">
      <c r="A95" s="125" t="s">
        <v>171</v>
      </c>
      <c r="B95" s="126" t="s">
        <v>172</v>
      </c>
      <c r="C95" s="448">
        <v>10</v>
      </c>
      <c r="D95" s="448">
        <v>0</v>
      </c>
      <c r="E95" s="449">
        <v>0</v>
      </c>
    </row>
    <row r="96" spans="1:5" x14ac:dyDescent="0.2">
      <c r="A96" s="125" t="s">
        <v>173</v>
      </c>
      <c r="B96" s="126" t="s">
        <v>174</v>
      </c>
      <c r="C96" s="448">
        <v>70</v>
      </c>
      <c r="D96" s="448">
        <v>4</v>
      </c>
      <c r="E96" s="449">
        <v>5.7</v>
      </c>
    </row>
    <row r="97" spans="1:5" x14ac:dyDescent="0.2">
      <c r="A97" s="125" t="s">
        <v>175</v>
      </c>
      <c r="B97" s="126" t="s">
        <v>176</v>
      </c>
      <c r="C97" s="448">
        <v>74</v>
      </c>
      <c r="D97" s="448">
        <v>1</v>
      </c>
      <c r="E97" s="449">
        <v>1.4</v>
      </c>
    </row>
    <row r="98" spans="1:5" x14ac:dyDescent="0.2">
      <c r="A98" s="125" t="s">
        <v>177</v>
      </c>
      <c r="B98" s="126" t="s">
        <v>178</v>
      </c>
      <c r="C98" s="448">
        <v>13</v>
      </c>
      <c r="D98" s="448">
        <v>1</v>
      </c>
      <c r="E98" s="449">
        <v>7.7</v>
      </c>
    </row>
    <row r="99" spans="1:5" x14ac:dyDescent="0.2">
      <c r="A99" s="125" t="s">
        <v>179</v>
      </c>
      <c r="B99" s="126" t="s">
        <v>180</v>
      </c>
      <c r="C99" s="448">
        <v>46</v>
      </c>
      <c r="D99" s="448">
        <v>5</v>
      </c>
      <c r="E99" s="449">
        <v>10.9</v>
      </c>
    </row>
    <row r="100" spans="1:5" x14ac:dyDescent="0.2">
      <c r="A100" s="125" t="s">
        <v>181</v>
      </c>
      <c r="B100" s="126" t="s">
        <v>182</v>
      </c>
      <c r="C100" s="448">
        <v>11</v>
      </c>
      <c r="D100" s="448">
        <v>0</v>
      </c>
      <c r="E100" s="449">
        <v>0</v>
      </c>
    </row>
    <row r="101" spans="1:5" x14ac:dyDescent="0.2">
      <c r="A101" s="125" t="s">
        <v>183</v>
      </c>
      <c r="B101" s="126" t="s">
        <v>184</v>
      </c>
      <c r="C101" s="448">
        <v>12</v>
      </c>
      <c r="D101" s="448">
        <v>3</v>
      </c>
      <c r="E101" s="449">
        <v>25</v>
      </c>
    </row>
    <row r="102" spans="1:5" x14ac:dyDescent="0.2">
      <c r="A102" s="125" t="s">
        <v>185</v>
      </c>
      <c r="B102" s="126" t="s">
        <v>186</v>
      </c>
      <c r="C102" s="448">
        <v>34</v>
      </c>
      <c r="D102" s="448">
        <v>3</v>
      </c>
      <c r="E102" s="449">
        <v>8.8000000000000007</v>
      </c>
    </row>
    <row r="103" spans="1:5" x14ac:dyDescent="0.2">
      <c r="A103" s="125" t="s">
        <v>187</v>
      </c>
      <c r="B103" s="126" t="s">
        <v>188</v>
      </c>
      <c r="C103" s="448">
        <v>9</v>
      </c>
      <c r="D103" s="448">
        <v>0</v>
      </c>
      <c r="E103" s="449">
        <v>0</v>
      </c>
    </row>
    <row r="104" spans="1:5" x14ac:dyDescent="0.2">
      <c r="A104" s="3"/>
      <c r="B104" s="3"/>
      <c r="C104" s="446"/>
      <c r="D104" s="446"/>
      <c r="E104" s="446"/>
    </row>
    <row r="105" spans="1:5" x14ac:dyDescent="0.2">
      <c r="A105" s="17" t="s">
        <v>384</v>
      </c>
      <c r="B105" s="17" t="s">
        <v>189</v>
      </c>
      <c r="C105" s="446">
        <v>410</v>
      </c>
      <c r="D105" s="446">
        <v>5</v>
      </c>
      <c r="E105" s="447">
        <v>1.2</v>
      </c>
    </row>
    <row r="106" spans="1:5" x14ac:dyDescent="0.2">
      <c r="A106" s="16" t="s">
        <v>190</v>
      </c>
      <c r="B106" s="17" t="s">
        <v>191</v>
      </c>
      <c r="C106" s="446">
        <v>141</v>
      </c>
      <c r="D106" s="446">
        <v>2</v>
      </c>
      <c r="E106" s="447">
        <v>1.4</v>
      </c>
    </row>
    <row r="107" spans="1:5" x14ac:dyDescent="0.2">
      <c r="A107" s="125" t="s">
        <v>192</v>
      </c>
      <c r="B107" s="126" t="s">
        <v>193</v>
      </c>
      <c r="C107" s="448">
        <v>9</v>
      </c>
      <c r="D107" s="448">
        <v>0</v>
      </c>
      <c r="E107" s="449">
        <v>0</v>
      </c>
    </row>
    <row r="108" spans="1:5" x14ac:dyDescent="0.2">
      <c r="A108" s="125" t="s">
        <v>194</v>
      </c>
      <c r="B108" s="143" t="s">
        <v>195</v>
      </c>
      <c r="C108" s="448" t="s">
        <v>196</v>
      </c>
      <c r="D108" s="448" t="s">
        <v>196</v>
      </c>
      <c r="E108" s="449" t="s">
        <v>196</v>
      </c>
    </row>
    <row r="109" spans="1:5" x14ac:dyDescent="0.2">
      <c r="A109" s="125" t="s">
        <v>197</v>
      </c>
      <c r="B109" s="126" t="s">
        <v>198</v>
      </c>
      <c r="C109" s="448">
        <v>11</v>
      </c>
      <c r="D109" s="448">
        <v>0</v>
      </c>
      <c r="E109" s="449">
        <v>0</v>
      </c>
    </row>
    <row r="110" spans="1:5" x14ac:dyDescent="0.2">
      <c r="A110" s="125" t="s">
        <v>199</v>
      </c>
      <c r="B110" s="126" t="s">
        <v>200</v>
      </c>
      <c r="C110" s="448">
        <v>8</v>
      </c>
      <c r="D110" s="448">
        <v>1</v>
      </c>
      <c r="E110" s="449">
        <v>12.5</v>
      </c>
    </row>
    <row r="111" spans="1:5" x14ac:dyDescent="0.2">
      <c r="A111" s="125" t="s">
        <v>201</v>
      </c>
      <c r="B111" s="126" t="s">
        <v>202</v>
      </c>
      <c r="C111" s="448">
        <v>10</v>
      </c>
      <c r="D111" s="448">
        <v>0</v>
      </c>
      <c r="E111" s="449">
        <v>0</v>
      </c>
    </row>
    <row r="112" spans="1:5" x14ac:dyDescent="0.2">
      <c r="A112" s="125" t="s">
        <v>203</v>
      </c>
      <c r="B112" s="126" t="s">
        <v>204</v>
      </c>
      <c r="C112" s="448">
        <v>10</v>
      </c>
      <c r="D112" s="448">
        <v>0</v>
      </c>
      <c r="E112" s="449">
        <v>0</v>
      </c>
    </row>
    <row r="113" spans="1:5" x14ac:dyDescent="0.2">
      <c r="A113" s="125" t="s">
        <v>205</v>
      </c>
      <c r="B113" s="126" t="s">
        <v>206</v>
      </c>
      <c r="C113" s="448">
        <v>4</v>
      </c>
      <c r="D113" s="448">
        <v>0</v>
      </c>
      <c r="E113" s="449">
        <v>0</v>
      </c>
    </row>
    <row r="114" spans="1:5" x14ac:dyDescent="0.2">
      <c r="A114" s="125" t="s">
        <v>207</v>
      </c>
      <c r="B114" s="126" t="s">
        <v>208</v>
      </c>
      <c r="C114" s="448">
        <v>13</v>
      </c>
      <c r="D114" s="448">
        <v>0</v>
      </c>
      <c r="E114" s="449">
        <v>0</v>
      </c>
    </row>
    <row r="115" spans="1:5" x14ac:dyDescent="0.2">
      <c r="A115" s="125" t="s">
        <v>209</v>
      </c>
      <c r="B115" s="126" t="s">
        <v>210</v>
      </c>
      <c r="C115" s="448">
        <v>13</v>
      </c>
      <c r="D115" s="448">
        <v>1</v>
      </c>
      <c r="E115" s="449">
        <v>7.7</v>
      </c>
    </row>
    <row r="116" spans="1:5" x14ac:dyDescent="0.2">
      <c r="A116" s="125" t="s">
        <v>211</v>
      </c>
      <c r="B116" s="126" t="s">
        <v>212</v>
      </c>
      <c r="C116" s="448">
        <v>15</v>
      </c>
      <c r="D116" s="448">
        <v>0</v>
      </c>
      <c r="E116" s="449">
        <v>0</v>
      </c>
    </row>
    <row r="117" spans="1:5" x14ac:dyDescent="0.2">
      <c r="A117" s="125" t="s">
        <v>213</v>
      </c>
      <c r="B117" s="126" t="s">
        <v>214</v>
      </c>
      <c r="C117" s="448">
        <v>14</v>
      </c>
      <c r="D117" s="448">
        <v>0</v>
      </c>
      <c r="E117" s="449">
        <v>0</v>
      </c>
    </row>
    <row r="118" spans="1:5" x14ac:dyDescent="0.2">
      <c r="A118" s="125" t="s">
        <v>215</v>
      </c>
      <c r="B118" s="126" t="s">
        <v>216</v>
      </c>
      <c r="C118" s="448">
        <v>15</v>
      </c>
      <c r="D118" s="448">
        <v>0</v>
      </c>
      <c r="E118" s="449">
        <v>0</v>
      </c>
    </row>
    <row r="119" spans="1:5" x14ac:dyDescent="0.2">
      <c r="A119" s="125" t="s">
        <v>217</v>
      </c>
      <c r="B119" s="126" t="s">
        <v>218</v>
      </c>
      <c r="C119" s="448">
        <v>10</v>
      </c>
      <c r="D119" s="448">
        <v>0</v>
      </c>
      <c r="E119" s="449">
        <v>0</v>
      </c>
    </row>
    <row r="120" spans="1:5" x14ac:dyDescent="0.2">
      <c r="A120" s="125" t="s">
        <v>219</v>
      </c>
      <c r="B120" s="126" t="s">
        <v>220</v>
      </c>
      <c r="C120" s="448">
        <v>9</v>
      </c>
      <c r="D120" s="448">
        <v>0</v>
      </c>
      <c r="E120" s="449">
        <v>0</v>
      </c>
    </row>
    <row r="121" spans="1:5" x14ac:dyDescent="0.2">
      <c r="A121" s="3"/>
      <c r="B121" s="26"/>
      <c r="C121" s="446"/>
      <c r="D121" s="446"/>
      <c r="E121" s="446"/>
    </row>
    <row r="122" spans="1:5" x14ac:dyDescent="0.2">
      <c r="A122" s="17" t="s">
        <v>221</v>
      </c>
      <c r="B122" s="17" t="s">
        <v>222</v>
      </c>
      <c r="C122" s="446">
        <v>269</v>
      </c>
      <c r="D122" s="446">
        <v>3</v>
      </c>
      <c r="E122" s="447">
        <v>1.1000000000000001</v>
      </c>
    </row>
    <row r="123" spans="1:5" x14ac:dyDescent="0.2">
      <c r="A123" s="125" t="s">
        <v>223</v>
      </c>
      <c r="B123" s="126" t="s">
        <v>224</v>
      </c>
      <c r="C123" s="448">
        <v>9</v>
      </c>
      <c r="D123" s="448">
        <v>0</v>
      </c>
      <c r="E123" s="449">
        <v>0</v>
      </c>
    </row>
    <row r="124" spans="1:5" x14ac:dyDescent="0.2">
      <c r="A124" s="125" t="s">
        <v>225</v>
      </c>
      <c r="B124" s="126" t="s">
        <v>226</v>
      </c>
      <c r="C124" s="448">
        <v>21</v>
      </c>
      <c r="D124" s="448">
        <v>0</v>
      </c>
      <c r="E124" s="449">
        <v>0</v>
      </c>
    </row>
    <row r="125" spans="1:5" x14ac:dyDescent="0.2">
      <c r="A125" s="125" t="s">
        <v>227</v>
      </c>
      <c r="B125" s="126" t="s">
        <v>228</v>
      </c>
      <c r="C125" s="448">
        <v>15</v>
      </c>
      <c r="D125" s="448">
        <v>1</v>
      </c>
      <c r="E125" s="449">
        <v>6.7</v>
      </c>
    </row>
    <row r="126" spans="1:5" x14ac:dyDescent="0.2">
      <c r="A126" s="125" t="s">
        <v>229</v>
      </c>
      <c r="B126" s="126" t="s">
        <v>230</v>
      </c>
      <c r="C126" s="448">
        <v>14</v>
      </c>
      <c r="D126" s="448">
        <v>0</v>
      </c>
      <c r="E126" s="449">
        <v>0</v>
      </c>
    </row>
    <row r="127" spans="1:5" x14ac:dyDescent="0.2">
      <c r="A127" s="125" t="s">
        <v>231</v>
      </c>
      <c r="B127" s="126" t="s">
        <v>232</v>
      </c>
      <c r="C127" s="448">
        <v>17</v>
      </c>
      <c r="D127" s="448">
        <v>0</v>
      </c>
      <c r="E127" s="449">
        <v>0</v>
      </c>
    </row>
    <row r="128" spans="1:5" x14ac:dyDescent="0.2">
      <c r="A128" s="125" t="s">
        <v>233</v>
      </c>
      <c r="B128" s="126" t="s">
        <v>234</v>
      </c>
      <c r="C128" s="448">
        <v>20</v>
      </c>
      <c r="D128" s="448">
        <v>1</v>
      </c>
      <c r="E128" s="449">
        <v>5</v>
      </c>
    </row>
    <row r="129" spans="1:5" x14ac:dyDescent="0.2">
      <c r="A129" s="125" t="s">
        <v>235</v>
      </c>
      <c r="B129" s="126" t="s">
        <v>236</v>
      </c>
      <c r="C129" s="448">
        <v>13</v>
      </c>
      <c r="D129" s="448">
        <v>1</v>
      </c>
      <c r="E129" s="449">
        <v>7.7</v>
      </c>
    </row>
    <row r="130" spans="1:5" x14ac:dyDescent="0.2">
      <c r="A130" s="125" t="s">
        <v>237</v>
      </c>
      <c r="B130" s="126" t="s">
        <v>238</v>
      </c>
      <c r="C130" s="448">
        <v>18</v>
      </c>
      <c r="D130" s="448">
        <v>0</v>
      </c>
      <c r="E130" s="449">
        <v>0</v>
      </c>
    </row>
    <row r="131" spans="1:5" x14ac:dyDescent="0.2">
      <c r="A131" s="125" t="s">
        <v>239</v>
      </c>
      <c r="B131" s="126" t="s">
        <v>240</v>
      </c>
      <c r="C131" s="448">
        <v>12</v>
      </c>
      <c r="D131" s="448">
        <v>0</v>
      </c>
      <c r="E131" s="449">
        <v>0</v>
      </c>
    </row>
    <row r="132" spans="1:5" x14ac:dyDescent="0.2">
      <c r="A132" s="125" t="s">
        <v>241</v>
      </c>
      <c r="B132" s="126" t="s">
        <v>242</v>
      </c>
      <c r="C132" s="448">
        <v>10</v>
      </c>
      <c r="D132" s="448">
        <v>0</v>
      </c>
      <c r="E132" s="449">
        <v>0</v>
      </c>
    </row>
    <row r="133" spans="1:5" x14ac:dyDescent="0.2">
      <c r="A133" s="125" t="s">
        <v>243</v>
      </c>
      <c r="B133" s="126" t="s">
        <v>244</v>
      </c>
      <c r="C133" s="448">
        <v>18</v>
      </c>
      <c r="D133" s="448">
        <v>0</v>
      </c>
      <c r="E133" s="449">
        <v>0</v>
      </c>
    </row>
    <row r="134" spans="1:5" x14ac:dyDescent="0.2">
      <c r="A134" s="125" t="s">
        <v>245</v>
      </c>
      <c r="B134" s="126" t="s">
        <v>246</v>
      </c>
      <c r="C134" s="448">
        <v>18</v>
      </c>
      <c r="D134" s="448">
        <v>0</v>
      </c>
      <c r="E134" s="449">
        <v>0</v>
      </c>
    </row>
    <row r="135" spans="1:5" x14ac:dyDescent="0.2">
      <c r="A135" s="125" t="s">
        <v>247</v>
      </c>
      <c r="B135" s="126" t="s">
        <v>248</v>
      </c>
      <c r="C135" s="448">
        <v>13</v>
      </c>
      <c r="D135" s="448">
        <v>0</v>
      </c>
      <c r="E135" s="449">
        <v>0</v>
      </c>
    </row>
    <row r="136" spans="1:5" x14ac:dyDescent="0.2">
      <c r="A136" s="125" t="s">
        <v>249</v>
      </c>
      <c r="B136" s="126" t="s">
        <v>250</v>
      </c>
      <c r="C136" s="448">
        <v>10</v>
      </c>
      <c r="D136" s="448">
        <v>0</v>
      </c>
      <c r="E136" s="449">
        <v>0</v>
      </c>
    </row>
    <row r="137" spans="1:5" x14ac:dyDescent="0.2">
      <c r="A137" s="125" t="s">
        <v>251</v>
      </c>
      <c r="B137" s="126" t="s">
        <v>252</v>
      </c>
      <c r="C137" s="448">
        <v>7</v>
      </c>
      <c r="D137" s="448">
        <v>0</v>
      </c>
      <c r="E137" s="449">
        <v>0</v>
      </c>
    </row>
    <row r="138" spans="1:5" x14ac:dyDescent="0.2">
      <c r="A138" s="125" t="s">
        <v>253</v>
      </c>
      <c r="B138" s="126" t="s">
        <v>254</v>
      </c>
      <c r="C138" s="448">
        <v>17</v>
      </c>
      <c r="D138" s="448">
        <v>0</v>
      </c>
      <c r="E138" s="449">
        <v>0</v>
      </c>
    </row>
    <row r="139" spans="1:5" x14ac:dyDescent="0.2">
      <c r="A139" s="125" t="s">
        <v>255</v>
      </c>
      <c r="B139" s="126" t="s">
        <v>256</v>
      </c>
      <c r="C139" s="448">
        <v>8</v>
      </c>
      <c r="D139" s="448">
        <v>0</v>
      </c>
      <c r="E139" s="449">
        <v>0</v>
      </c>
    </row>
    <row r="140" spans="1:5" x14ac:dyDescent="0.2">
      <c r="A140" s="125" t="s">
        <v>257</v>
      </c>
      <c r="B140" s="126" t="s">
        <v>258</v>
      </c>
      <c r="C140" s="448">
        <v>14</v>
      </c>
      <c r="D140" s="448">
        <v>0</v>
      </c>
      <c r="E140" s="449">
        <v>0</v>
      </c>
    </row>
    <row r="141" spans="1:5" x14ac:dyDescent="0.2">
      <c r="A141" s="125" t="s">
        <v>259</v>
      </c>
      <c r="B141" s="126" t="s">
        <v>260</v>
      </c>
      <c r="C141" s="448">
        <v>15</v>
      </c>
      <c r="D141" s="448">
        <v>0</v>
      </c>
      <c r="E141" s="449">
        <v>0</v>
      </c>
    </row>
    <row r="142" spans="1:5" x14ac:dyDescent="0.2">
      <c r="A142" s="3"/>
      <c r="B142" s="26"/>
      <c r="C142" s="446"/>
      <c r="D142" s="446"/>
      <c r="E142" s="446"/>
    </row>
    <row r="143" spans="1:5" x14ac:dyDescent="0.2">
      <c r="A143" s="16" t="s">
        <v>387</v>
      </c>
      <c r="B143" s="17" t="s">
        <v>261</v>
      </c>
      <c r="C143" s="446">
        <v>458</v>
      </c>
      <c r="D143" s="446">
        <v>19</v>
      </c>
      <c r="E143" s="447">
        <v>4.0999999999999996</v>
      </c>
    </row>
    <row r="144" spans="1:5" x14ac:dyDescent="0.2">
      <c r="A144" s="125" t="s">
        <v>741</v>
      </c>
      <c r="B144" s="126" t="s">
        <v>262</v>
      </c>
      <c r="C144" s="448">
        <v>6</v>
      </c>
      <c r="D144" s="448">
        <v>0</v>
      </c>
      <c r="E144" s="449">
        <v>0</v>
      </c>
    </row>
    <row r="145" spans="1:5" x14ac:dyDescent="0.2">
      <c r="A145" s="125" t="s">
        <v>263</v>
      </c>
      <c r="B145" s="126" t="s">
        <v>264</v>
      </c>
      <c r="C145" s="448">
        <v>9</v>
      </c>
      <c r="D145" s="448">
        <v>0</v>
      </c>
      <c r="E145" s="449">
        <v>0</v>
      </c>
    </row>
    <row r="146" spans="1:5" x14ac:dyDescent="0.2">
      <c r="A146" s="125" t="s">
        <v>265</v>
      </c>
      <c r="B146" s="126" t="s">
        <v>266</v>
      </c>
      <c r="C146" s="448">
        <v>34</v>
      </c>
      <c r="D146" s="448">
        <v>2</v>
      </c>
      <c r="E146" s="449">
        <v>5.9</v>
      </c>
    </row>
    <row r="147" spans="1:5" x14ac:dyDescent="0.2">
      <c r="A147" s="125" t="s">
        <v>267</v>
      </c>
      <c r="B147" s="126" t="s">
        <v>268</v>
      </c>
      <c r="C147" s="448">
        <v>25</v>
      </c>
      <c r="D147" s="448">
        <v>0</v>
      </c>
      <c r="E147" s="449">
        <v>0</v>
      </c>
    </row>
    <row r="148" spans="1:5" x14ac:dyDescent="0.2">
      <c r="A148" s="125" t="s">
        <v>269</v>
      </c>
      <c r="B148" s="126" t="s">
        <v>270</v>
      </c>
      <c r="C148" s="448">
        <v>68</v>
      </c>
      <c r="D148" s="448">
        <v>6</v>
      </c>
      <c r="E148" s="449">
        <v>8.8000000000000007</v>
      </c>
    </row>
    <row r="149" spans="1:5" x14ac:dyDescent="0.2">
      <c r="A149" s="125" t="s">
        <v>271</v>
      </c>
      <c r="B149" s="126" t="s">
        <v>272</v>
      </c>
      <c r="C149" s="448">
        <v>6</v>
      </c>
      <c r="D149" s="448">
        <v>0</v>
      </c>
      <c r="E149" s="449">
        <v>0</v>
      </c>
    </row>
    <row r="150" spans="1:5" x14ac:dyDescent="0.2">
      <c r="A150" s="125" t="s">
        <v>273</v>
      </c>
      <c r="B150" s="126" t="s">
        <v>274</v>
      </c>
      <c r="C150" s="448">
        <v>96</v>
      </c>
      <c r="D150" s="448">
        <v>6</v>
      </c>
      <c r="E150" s="449">
        <v>6.3</v>
      </c>
    </row>
    <row r="151" spans="1:5" x14ac:dyDescent="0.2">
      <c r="A151" s="125" t="s">
        <v>275</v>
      </c>
      <c r="B151" s="126" t="s">
        <v>276</v>
      </c>
      <c r="C151" s="448">
        <v>17</v>
      </c>
      <c r="D151" s="448">
        <v>1</v>
      </c>
      <c r="E151" s="449">
        <v>5.9</v>
      </c>
    </row>
    <row r="152" spans="1:5" x14ac:dyDescent="0.2">
      <c r="A152" s="125" t="s">
        <v>277</v>
      </c>
      <c r="B152" s="126" t="s">
        <v>278</v>
      </c>
      <c r="C152" s="448">
        <v>12</v>
      </c>
      <c r="D152" s="448">
        <v>0</v>
      </c>
      <c r="E152" s="449">
        <v>0</v>
      </c>
    </row>
    <row r="153" spans="1:5" x14ac:dyDescent="0.2">
      <c r="A153" s="125" t="s">
        <v>279</v>
      </c>
      <c r="B153" s="126" t="s">
        <v>280</v>
      </c>
      <c r="C153" s="448">
        <v>34</v>
      </c>
      <c r="D153" s="448">
        <v>0</v>
      </c>
      <c r="E153" s="449">
        <v>0</v>
      </c>
    </row>
    <row r="154" spans="1:5" x14ac:dyDescent="0.2">
      <c r="A154" s="125" t="s">
        <v>281</v>
      </c>
      <c r="B154" s="126" t="s">
        <v>282</v>
      </c>
      <c r="C154" s="448">
        <v>9</v>
      </c>
      <c r="D154" s="448">
        <v>2</v>
      </c>
      <c r="E154" s="449">
        <v>22.2</v>
      </c>
    </row>
    <row r="155" spans="1:5" x14ac:dyDescent="0.2">
      <c r="A155" s="125" t="s">
        <v>283</v>
      </c>
      <c r="B155" s="126" t="s">
        <v>284</v>
      </c>
      <c r="C155" s="448">
        <v>7</v>
      </c>
      <c r="D155" s="448">
        <v>0</v>
      </c>
      <c r="E155" s="449">
        <v>0</v>
      </c>
    </row>
    <row r="156" spans="1:5" x14ac:dyDescent="0.2">
      <c r="A156" s="125" t="s">
        <v>285</v>
      </c>
      <c r="B156" s="126" t="s">
        <v>286</v>
      </c>
      <c r="C156" s="448">
        <v>11</v>
      </c>
      <c r="D156" s="448">
        <v>0</v>
      </c>
      <c r="E156" s="449">
        <v>0</v>
      </c>
    </row>
    <row r="157" spans="1:5" x14ac:dyDescent="0.2">
      <c r="A157" s="125" t="s">
        <v>287</v>
      </c>
      <c r="B157" s="126" t="s">
        <v>288</v>
      </c>
      <c r="C157" s="448">
        <v>11</v>
      </c>
      <c r="D157" s="448">
        <v>1</v>
      </c>
      <c r="E157" s="449">
        <v>9.1</v>
      </c>
    </row>
    <row r="158" spans="1:5" x14ac:dyDescent="0.2">
      <c r="A158" s="125" t="s">
        <v>289</v>
      </c>
      <c r="B158" s="126" t="s">
        <v>290</v>
      </c>
      <c r="C158" s="448">
        <v>52</v>
      </c>
      <c r="D158" s="448">
        <v>0</v>
      </c>
      <c r="E158" s="449">
        <v>0</v>
      </c>
    </row>
    <row r="159" spans="1:5" x14ac:dyDescent="0.2">
      <c r="A159" s="125" t="s">
        <v>291</v>
      </c>
      <c r="B159" s="126" t="s">
        <v>292</v>
      </c>
      <c r="C159" s="448">
        <v>9</v>
      </c>
      <c r="D159" s="448">
        <v>0</v>
      </c>
      <c r="E159" s="449">
        <v>0</v>
      </c>
    </row>
    <row r="160" spans="1:5" x14ac:dyDescent="0.2">
      <c r="A160" s="125" t="s">
        <v>293</v>
      </c>
      <c r="B160" s="126" t="s">
        <v>294</v>
      </c>
      <c r="C160" s="448">
        <v>36</v>
      </c>
      <c r="D160" s="448">
        <v>1</v>
      </c>
      <c r="E160" s="449">
        <v>2.8</v>
      </c>
    </row>
    <row r="161" spans="1:5" x14ac:dyDescent="0.2">
      <c r="A161" s="125" t="s">
        <v>295</v>
      </c>
      <c r="B161" s="126" t="s">
        <v>296</v>
      </c>
      <c r="C161" s="448">
        <v>8</v>
      </c>
      <c r="D161" s="448">
        <v>0</v>
      </c>
      <c r="E161" s="449">
        <v>0</v>
      </c>
    </row>
    <row r="162" spans="1:5" x14ac:dyDescent="0.2">
      <c r="A162" s="125" t="s">
        <v>297</v>
      </c>
      <c r="B162" s="126" t="s">
        <v>298</v>
      </c>
      <c r="C162" s="448">
        <v>8</v>
      </c>
      <c r="D162" s="448">
        <v>0</v>
      </c>
      <c r="E162" s="449">
        <v>0</v>
      </c>
    </row>
    <row r="163" spans="1:5" x14ac:dyDescent="0.2">
      <c r="A163" s="3"/>
      <c r="B163" s="26"/>
      <c r="C163" s="446"/>
      <c r="D163" s="446"/>
      <c r="E163" s="446"/>
    </row>
    <row r="164" spans="1:5" x14ac:dyDescent="0.2">
      <c r="A164" s="16" t="s">
        <v>388</v>
      </c>
      <c r="B164" s="17" t="s">
        <v>299</v>
      </c>
      <c r="C164" s="446">
        <v>285</v>
      </c>
      <c r="D164" s="446">
        <v>12</v>
      </c>
      <c r="E164" s="447">
        <v>4.2</v>
      </c>
    </row>
    <row r="165" spans="1:5" x14ac:dyDescent="0.2">
      <c r="A165" s="125" t="s">
        <v>302</v>
      </c>
      <c r="B165" s="126" t="s">
        <v>303</v>
      </c>
      <c r="C165" s="448">
        <v>12</v>
      </c>
      <c r="D165" s="448">
        <v>1</v>
      </c>
      <c r="E165" s="449">
        <v>8.3000000000000007</v>
      </c>
    </row>
    <row r="166" spans="1:5" x14ac:dyDescent="0.2">
      <c r="A166" s="125" t="s">
        <v>304</v>
      </c>
      <c r="B166" s="126" t="s">
        <v>305</v>
      </c>
      <c r="C166" s="448">
        <v>9</v>
      </c>
      <c r="D166" s="448">
        <v>0</v>
      </c>
      <c r="E166" s="449">
        <v>0</v>
      </c>
    </row>
    <row r="167" spans="1:5" x14ac:dyDescent="0.2">
      <c r="A167" s="125" t="s">
        <v>306</v>
      </c>
      <c r="B167" s="126" t="s">
        <v>307</v>
      </c>
      <c r="C167" s="448">
        <v>19</v>
      </c>
      <c r="D167" s="448">
        <v>2</v>
      </c>
      <c r="E167" s="449">
        <v>10.5</v>
      </c>
    </row>
    <row r="168" spans="1:5" x14ac:dyDescent="0.2">
      <c r="A168" s="125" t="s">
        <v>308</v>
      </c>
      <c r="B168" s="126" t="s">
        <v>309</v>
      </c>
      <c r="C168" s="448">
        <v>31</v>
      </c>
      <c r="D168" s="448">
        <v>0</v>
      </c>
      <c r="E168" s="449">
        <v>0</v>
      </c>
    </row>
    <row r="169" spans="1:5" x14ac:dyDescent="0.2">
      <c r="A169" s="125" t="s">
        <v>310</v>
      </c>
      <c r="B169" s="126" t="s">
        <v>311</v>
      </c>
      <c r="C169" s="448">
        <v>35</v>
      </c>
      <c r="D169" s="448">
        <v>0</v>
      </c>
      <c r="E169" s="449">
        <v>0</v>
      </c>
    </row>
    <row r="170" spans="1:5" x14ac:dyDescent="0.2">
      <c r="A170" s="125" t="s">
        <v>312</v>
      </c>
      <c r="B170" s="126" t="s">
        <v>313</v>
      </c>
      <c r="C170" s="448">
        <v>20</v>
      </c>
      <c r="D170" s="448">
        <v>0</v>
      </c>
      <c r="E170" s="449">
        <v>0</v>
      </c>
    </row>
    <row r="171" spans="1:5" x14ac:dyDescent="0.2">
      <c r="A171" s="125" t="s">
        <v>314</v>
      </c>
      <c r="B171" s="126" t="s">
        <v>315</v>
      </c>
      <c r="C171" s="448">
        <v>37</v>
      </c>
      <c r="D171" s="448">
        <v>2</v>
      </c>
      <c r="E171" s="449">
        <v>5.4</v>
      </c>
    </row>
    <row r="172" spans="1:5" x14ac:dyDescent="0.2">
      <c r="A172" s="125" t="s">
        <v>300</v>
      </c>
      <c r="B172" s="126" t="s">
        <v>301</v>
      </c>
      <c r="C172" s="448">
        <v>1</v>
      </c>
      <c r="D172" s="448">
        <v>0</v>
      </c>
      <c r="E172" s="449">
        <v>0</v>
      </c>
    </row>
    <row r="173" spans="1:5" x14ac:dyDescent="0.2">
      <c r="A173" s="125" t="s">
        <v>316</v>
      </c>
      <c r="B173" s="126" t="s">
        <v>317</v>
      </c>
      <c r="C173" s="448">
        <v>10</v>
      </c>
      <c r="D173" s="448">
        <v>0</v>
      </c>
      <c r="E173" s="449">
        <v>0</v>
      </c>
    </row>
    <row r="174" spans="1:5" x14ac:dyDescent="0.2">
      <c r="A174" s="125" t="s">
        <v>318</v>
      </c>
      <c r="B174" s="126" t="s">
        <v>319</v>
      </c>
      <c r="C174" s="448">
        <v>16</v>
      </c>
      <c r="D174" s="448">
        <v>1</v>
      </c>
      <c r="E174" s="449">
        <v>6.3</v>
      </c>
    </row>
    <row r="175" spans="1:5" x14ac:dyDescent="0.2">
      <c r="A175" s="125" t="s">
        <v>320</v>
      </c>
      <c r="B175" s="126" t="s">
        <v>321</v>
      </c>
      <c r="C175" s="448">
        <v>6</v>
      </c>
      <c r="D175" s="448">
        <v>1</v>
      </c>
      <c r="E175" s="449">
        <v>16.7</v>
      </c>
    </row>
    <row r="176" spans="1:5" x14ac:dyDescent="0.2">
      <c r="A176" s="125" t="s">
        <v>322</v>
      </c>
      <c r="B176" s="126" t="s">
        <v>323</v>
      </c>
      <c r="C176" s="448">
        <v>28</v>
      </c>
      <c r="D176" s="448">
        <v>2</v>
      </c>
      <c r="E176" s="449">
        <v>7.1</v>
      </c>
    </row>
    <row r="177" spans="1:6" x14ac:dyDescent="0.2">
      <c r="A177" s="125" t="s">
        <v>324</v>
      </c>
      <c r="B177" s="126" t="s">
        <v>325</v>
      </c>
      <c r="C177" s="448">
        <v>15</v>
      </c>
      <c r="D177" s="448">
        <v>0</v>
      </c>
      <c r="E177" s="449">
        <v>0</v>
      </c>
    </row>
    <row r="178" spans="1:6" x14ac:dyDescent="0.2">
      <c r="A178" s="125" t="s">
        <v>326</v>
      </c>
      <c r="B178" s="126" t="s">
        <v>327</v>
      </c>
      <c r="C178" s="448">
        <v>11</v>
      </c>
      <c r="D178" s="448">
        <v>1</v>
      </c>
      <c r="E178" s="449">
        <v>9.1</v>
      </c>
    </row>
    <row r="179" spans="1:6" x14ac:dyDescent="0.2">
      <c r="A179" s="125" t="s">
        <v>328</v>
      </c>
      <c r="B179" s="126" t="s">
        <v>329</v>
      </c>
      <c r="C179" s="448">
        <v>7</v>
      </c>
      <c r="D179" s="448">
        <v>1</v>
      </c>
      <c r="E179" s="449">
        <v>14.3</v>
      </c>
    </row>
    <row r="180" spans="1:6" x14ac:dyDescent="0.2">
      <c r="A180" s="125" t="s">
        <v>330</v>
      </c>
      <c r="B180" s="126" t="s">
        <v>331</v>
      </c>
      <c r="C180" s="448">
        <v>28</v>
      </c>
      <c r="D180" s="448">
        <v>1</v>
      </c>
      <c r="E180" s="449">
        <v>3.6</v>
      </c>
    </row>
    <row r="181" spans="1:6" x14ac:dyDescent="0.2">
      <c r="A181" s="143"/>
      <c r="B181" s="143"/>
      <c r="C181" s="446"/>
      <c r="D181" s="446"/>
      <c r="E181" s="446"/>
    </row>
    <row r="182" spans="1:6" ht="22.5" x14ac:dyDescent="0.2">
      <c r="A182" s="105" t="s">
        <v>742</v>
      </c>
      <c r="B182" s="33"/>
      <c r="C182" s="450">
        <v>2919</v>
      </c>
      <c r="D182" s="450">
        <v>154</v>
      </c>
      <c r="E182" s="451">
        <v>5.3</v>
      </c>
    </row>
    <row r="183" spans="1:6" x14ac:dyDescent="0.2">
      <c r="A183" s="452"/>
      <c r="B183" s="452"/>
      <c r="C183" s="453"/>
      <c r="D183" s="453"/>
      <c r="E183" s="453"/>
    </row>
    <row r="184" spans="1:6" x14ac:dyDescent="0.2">
      <c r="A184" s="454"/>
      <c r="B184" s="454"/>
      <c r="C184" s="455"/>
      <c r="D184" s="455"/>
      <c r="E184" s="140" t="s">
        <v>393</v>
      </c>
    </row>
    <row r="185" spans="1:6" s="456" customFormat="1" ht="33.75" customHeight="1" x14ac:dyDescent="0.2">
      <c r="A185" s="543" t="s">
        <v>743</v>
      </c>
      <c r="B185" s="543"/>
      <c r="C185" s="543"/>
      <c r="D185" s="543"/>
      <c r="E185" s="543"/>
    </row>
    <row r="186" spans="1:6" ht="45" customHeight="1" x14ac:dyDescent="0.2">
      <c r="A186" s="463" t="s">
        <v>744</v>
      </c>
      <c r="B186" s="463"/>
      <c r="C186" s="463"/>
      <c r="D186" s="463"/>
      <c r="E186" s="463"/>
    </row>
    <row r="187" spans="1:6" ht="45" customHeight="1" x14ac:dyDescent="0.2">
      <c r="A187" s="479" t="s">
        <v>745</v>
      </c>
      <c r="B187" s="479"/>
      <c r="C187" s="479"/>
      <c r="D187" s="479"/>
      <c r="E187" s="479"/>
      <c r="F187" s="169"/>
    </row>
    <row r="188" spans="1:6" x14ac:dyDescent="0.2">
      <c r="A188" s="457"/>
      <c r="B188" s="457"/>
      <c r="E188" s="457"/>
    </row>
    <row r="189" spans="1:6" ht="12.75" x14ac:dyDescent="0.2">
      <c r="A189" s="537"/>
      <c r="B189" s="538"/>
      <c r="C189" s="538"/>
      <c r="D189" s="538"/>
      <c r="E189" s="538"/>
    </row>
  </sheetData>
  <mergeCells count="7">
    <mergeCell ref="A189:E189"/>
    <mergeCell ref="A1:E1"/>
    <mergeCell ref="A2:C2"/>
    <mergeCell ref="A5:E5"/>
    <mergeCell ref="A185:E185"/>
    <mergeCell ref="A186:E186"/>
    <mergeCell ref="A187:E187"/>
  </mergeCells>
  <pageMargins left="0.31496062992125984" right="0.27559055118110237" top="0.31496062992125984" bottom="0.31496062992125984" header="0.51181102362204722" footer="0.51181102362204722"/>
  <pageSetup paperSize="9" fitToHeight="3" orientation="portrait"/>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A030C-B47C-40C3-91FB-30F2A2091F38}">
  <sheetPr codeName="Sheet9">
    <tabColor rgb="FFCCFFCC"/>
  </sheetPr>
  <dimension ref="A1:AA200"/>
  <sheetViews>
    <sheetView showGridLines="0" zoomScaleNormal="100" workbookViewId="0">
      <selection activeCell="C9" sqref="C9:W184"/>
    </sheetView>
  </sheetViews>
  <sheetFormatPr defaultRowHeight="11.25" x14ac:dyDescent="0.2"/>
  <cols>
    <col min="1" max="1" width="23.42578125" style="82" customWidth="1"/>
    <col min="2" max="2" width="8.7109375" style="82" customWidth="1"/>
    <col min="3" max="3" width="8.140625" style="81" bestFit="1" customWidth="1"/>
    <col min="4" max="4" width="8.85546875" style="87" bestFit="1" customWidth="1"/>
    <col min="5" max="5" width="8.140625" style="81" bestFit="1" customWidth="1"/>
    <col min="6" max="6" width="8.85546875" style="87" bestFit="1" customWidth="1"/>
    <col min="7" max="7" width="8.140625" style="81" bestFit="1" customWidth="1"/>
    <col min="8" max="8" width="8.85546875" style="87" bestFit="1" customWidth="1"/>
    <col min="9" max="12" width="8.85546875" style="87" customWidth="1"/>
    <col min="13" max="13" width="1.7109375" style="82" customWidth="1"/>
    <col min="14" max="14" width="8.140625" style="81" bestFit="1" customWidth="1"/>
    <col min="15" max="15" width="8.85546875" style="87" bestFit="1" customWidth="1"/>
    <col min="16" max="16" width="8.140625" style="81" bestFit="1" customWidth="1"/>
    <col min="17" max="17" width="8.85546875" style="87" bestFit="1" customWidth="1"/>
    <col min="18" max="18" width="8.140625" style="81" bestFit="1" customWidth="1"/>
    <col min="19" max="19" width="8.85546875" style="87" bestFit="1" customWidth="1"/>
    <col min="20" max="21" width="8.85546875" style="87" customWidth="1"/>
    <col min="22" max="256" width="11.42578125" style="82" customWidth="1"/>
    <col min="257" max="16384" width="9.140625" style="82"/>
  </cols>
  <sheetData>
    <row r="1" spans="1:27" ht="12" customHeight="1" x14ac:dyDescent="0.2">
      <c r="A1" s="533" t="s">
        <v>376</v>
      </c>
      <c r="B1" s="533"/>
      <c r="C1" s="533"/>
      <c r="D1" s="533"/>
      <c r="E1" s="533"/>
      <c r="F1" s="533"/>
      <c r="G1" s="533"/>
      <c r="H1" s="533"/>
      <c r="I1" s="533"/>
      <c r="J1" s="533"/>
      <c r="K1" s="533"/>
      <c r="L1" s="533"/>
      <c r="M1" s="533"/>
      <c r="N1" s="533"/>
      <c r="O1" s="533"/>
      <c r="P1" s="533"/>
      <c r="Q1" s="533"/>
      <c r="R1" s="533"/>
      <c r="S1" s="533"/>
      <c r="T1" s="533"/>
      <c r="U1" s="533"/>
      <c r="V1" s="533"/>
      <c r="W1" s="533"/>
    </row>
    <row r="2" spans="1:27" s="86" customFormat="1" ht="13.5" customHeight="1" x14ac:dyDescent="0.2">
      <c r="A2" s="83" t="s">
        <v>392</v>
      </c>
      <c r="B2" s="83"/>
      <c r="C2" s="84"/>
      <c r="D2" s="85"/>
      <c r="E2" s="84"/>
      <c r="F2" s="85"/>
      <c r="G2" s="84"/>
      <c r="H2" s="85"/>
      <c r="I2" s="85"/>
      <c r="J2" s="85"/>
      <c r="K2" s="85"/>
      <c r="L2" s="85"/>
      <c r="N2" s="84"/>
      <c r="O2" s="85"/>
      <c r="P2" s="84"/>
      <c r="Q2" s="85"/>
      <c r="R2" s="84"/>
      <c r="S2" s="85"/>
      <c r="T2" s="85"/>
      <c r="U2" s="85"/>
    </row>
    <row r="3" spans="1:27" s="86" customFormat="1" ht="13.5" customHeight="1" x14ac:dyDescent="0.2">
      <c r="A3" s="83" t="s">
        <v>9</v>
      </c>
      <c r="B3" s="83"/>
      <c r="C3" s="84"/>
      <c r="D3" s="85"/>
      <c r="E3" s="84"/>
      <c r="F3" s="85"/>
      <c r="G3" s="84"/>
      <c r="H3" s="85"/>
      <c r="I3" s="85"/>
      <c r="J3" s="85"/>
      <c r="K3" s="85"/>
      <c r="L3" s="85"/>
      <c r="N3" s="84"/>
      <c r="O3" s="85"/>
      <c r="P3" s="84"/>
      <c r="Q3" s="85"/>
      <c r="R3" s="84"/>
      <c r="S3" s="85"/>
      <c r="T3" s="85"/>
      <c r="U3" s="85"/>
    </row>
    <row r="4" spans="1:27" ht="11.25" customHeight="1" x14ac:dyDescent="0.2">
      <c r="A4" s="225">
        <v>1</v>
      </c>
      <c r="B4" s="225">
        <f>A4+1</f>
        <v>2</v>
      </c>
      <c r="C4" s="225">
        <f t="shared" ref="C4:W4" si="0">B4+1</f>
        <v>3</v>
      </c>
      <c r="D4" s="225">
        <f t="shared" si="0"/>
        <v>4</v>
      </c>
      <c r="E4" s="225">
        <f t="shared" si="0"/>
        <v>5</v>
      </c>
      <c r="F4" s="225">
        <f t="shared" si="0"/>
        <v>6</v>
      </c>
      <c r="G4" s="225">
        <f t="shared" si="0"/>
        <v>7</v>
      </c>
      <c r="H4" s="225">
        <f t="shared" si="0"/>
        <v>8</v>
      </c>
      <c r="I4" s="225">
        <f t="shared" si="0"/>
        <v>9</v>
      </c>
      <c r="J4" s="225">
        <f t="shared" si="0"/>
        <v>10</v>
      </c>
      <c r="K4" s="225">
        <f t="shared" si="0"/>
        <v>11</v>
      </c>
      <c r="L4" s="225">
        <f t="shared" si="0"/>
        <v>12</v>
      </c>
      <c r="M4" s="225">
        <f t="shared" si="0"/>
        <v>13</v>
      </c>
      <c r="N4" s="225">
        <f t="shared" si="0"/>
        <v>14</v>
      </c>
      <c r="O4" s="225">
        <f t="shared" si="0"/>
        <v>15</v>
      </c>
      <c r="P4" s="225">
        <f t="shared" si="0"/>
        <v>16</v>
      </c>
      <c r="Q4" s="225">
        <f t="shared" si="0"/>
        <v>17</v>
      </c>
      <c r="R4" s="225">
        <f t="shared" si="0"/>
        <v>18</v>
      </c>
      <c r="S4" s="225">
        <f t="shared" si="0"/>
        <v>19</v>
      </c>
      <c r="T4" s="225">
        <f t="shared" si="0"/>
        <v>20</v>
      </c>
      <c r="U4" s="225">
        <f t="shared" si="0"/>
        <v>21</v>
      </c>
      <c r="V4" s="225">
        <f t="shared" si="0"/>
        <v>22</v>
      </c>
      <c r="W4" s="225">
        <f t="shared" si="0"/>
        <v>23</v>
      </c>
    </row>
    <row r="5" spans="1:27" ht="11.25" customHeight="1" x14ac:dyDescent="0.2">
      <c r="A5" s="518" t="s">
        <v>378</v>
      </c>
      <c r="B5" s="518" t="s">
        <v>379</v>
      </c>
      <c r="C5" s="534" t="s">
        <v>7</v>
      </c>
      <c r="D5" s="534"/>
      <c r="E5" s="534"/>
      <c r="F5" s="534"/>
      <c r="G5" s="534"/>
      <c r="H5" s="534"/>
      <c r="I5" s="534"/>
      <c r="J5" s="534"/>
      <c r="K5" s="534"/>
      <c r="L5" s="534"/>
      <c r="M5" s="189"/>
      <c r="N5" s="534" t="s">
        <v>8</v>
      </c>
      <c r="O5" s="534"/>
      <c r="P5" s="534"/>
      <c r="Q5" s="534"/>
      <c r="R5" s="534"/>
      <c r="S5" s="534"/>
      <c r="T5" s="534"/>
      <c r="U5" s="534"/>
      <c r="V5" s="534"/>
      <c r="W5" s="534"/>
    </row>
    <row r="6" spans="1:27" ht="11.25" customHeight="1" x14ac:dyDescent="0.2">
      <c r="A6" s="519"/>
      <c r="B6" s="519"/>
      <c r="C6" s="534" t="s">
        <v>337</v>
      </c>
      <c r="D6" s="534"/>
      <c r="E6" s="534" t="s">
        <v>338</v>
      </c>
      <c r="F6" s="534"/>
      <c r="G6" s="534" t="s">
        <v>339</v>
      </c>
      <c r="H6" s="534"/>
      <c r="I6" s="534" t="s">
        <v>353</v>
      </c>
      <c r="J6" s="534"/>
      <c r="K6" s="534" t="s">
        <v>370</v>
      </c>
      <c r="L6" s="534"/>
      <c r="M6" s="104"/>
      <c r="N6" s="534" t="s">
        <v>337</v>
      </c>
      <c r="O6" s="534"/>
      <c r="P6" s="534" t="s">
        <v>338</v>
      </c>
      <c r="Q6" s="534"/>
      <c r="R6" s="534" t="s">
        <v>339</v>
      </c>
      <c r="S6" s="534"/>
      <c r="T6" s="534" t="s">
        <v>353</v>
      </c>
      <c r="U6" s="534"/>
      <c r="V6" s="534" t="s">
        <v>370</v>
      </c>
      <c r="W6" s="534"/>
    </row>
    <row r="7" spans="1:27" ht="45" customHeight="1" x14ac:dyDescent="0.2">
      <c r="A7" s="520"/>
      <c r="B7" s="520"/>
      <c r="C7" s="190" t="s">
        <v>347</v>
      </c>
      <c r="D7" s="191" t="s">
        <v>348</v>
      </c>
      <c r="E7" s="190" t="s">
        <v>347</v>
      </c>
      <c r="F7" s="191" t="s">
        <v>348</v>
      </c>
      <c r="G7" s="190" t="s">
        <v>347</v>
      </c>
      <c r="H7" s="191" t="s">
        <v>348</v>
      </c>
      <c r="I7" s="190" t="s">
        <v>347</v>
      </c>
      <c r="J7" s="191" t="s">
        <v>348</v>
      </c>
      <c r="K7" s="190" t="s">
        <v>347</v>
      </c>
      <c r="L7" s="191" t="s">
        <v>348</v>
      </c>
      <c r="M7" s="104"/>
      <c r="N7" s="190" t="s">
        <v>347</v>
      </c>
      <c r="O7" s="191" t="s">
        <v>348</v>
      </c>
      <c r="P7" s="190" t="s">
        <v>347</v>
      </c>
      <c r="Q7" s="191" t="s">
        <v>348</v>
      </c>
      <c r="R7" s="190" t="s">
        <v>347</v>
      </c>
      <c r="S7" s="191" t="s">
        <v>348</v>
      </c>
      <c r="T7" s="190" t="s">
        <v>347</v>
      </c>
      <c r="U7" s="191" t="s">
        <v>348</v>
      </c>
      <c r="V7" s="190" t="s">
        <v>347</v>
      </c>
      <c r="W7" s="191" t="s">
        <v>348</v>
      </c>
    </row>
    <row r="8" spans="1:27" ht="11.25" customHeight="1" x14ac:dyDescent="0.2">
      <c r="A8" s="89"/>
      <c r="B8" s="89"/>
      <c r="C8" s="90"/>
      <c r="D8" s="91"/>
      <c r="E8" s="90"/>
      <c r="F8" s="91"/>
      <c r="G8" s="90"/>
      <c r="H8" s="91"/>
      <c r="I8" s="91"/>
      <c r="J8" s="91"/>
      <c r="K8" s="91"/>
      <c r="L8" s="91"/>
      <c r="N8" s="90"/>
      <c r="O8" s="91"/>
      <c r="P8" s="90"/>
      <c r="Q8" s="91"/>
      <c r="R8" s="90"/>
      <c r="S8" s="91"/>
      <c r="T8" s="91"/>
      <c r="U8" s="91"/>
    </row>
    <row r="9" spans="1:27" s="98" customFormat="1" ht="11.25" customHeight="1" x14ac:dyDescent="0.2">
      <c r="A9" s="16" t="s">
        <v>380</v>
      </c>
      <c r="B9" s="92" t="s">
        <v>17</v>
      </c>
      <c r="C9" s="93">
        <v>30209</v>
      </c>
      <c r="D9" s="97">
        <v>60.9</v>
      </c>
      <c r="E9" s="93">
        <v>29058</v>
      </c>
      <c r="F9" s="97">
        <v>65.2</v>
      </c>
      <c r="G9" s="93">
        <v>28733</v>
      </c>
      <c r="H9" s="95">
        <v>68.3</v>
      </c>
      <c r="I9" s="93">
        <v>27905</v>
      </c>
      <c r="J9" s="95">
        <v>65.8</v>
      </c>
      <c r="K9" s="93">
        <v>28357</v>
      </c>
      <c r="L9" s="95">
        <v>67</v>
      </c>
      <c r="M9" s="96"/>
      <c r="N9" s="93">
        <v>30229</v>
      </c>
      <c r="O9" s="97">
        <v>50.6</v>
      </c>
      <c r="P9" s="93">
        <v>29073</v>
      </c>
      <c r="Q9" s="97">
        <v>56.1</v>
      </c>
      <c r="R9" s="93">
        <v>28741</v>
      </c>
      <c r="S9" s="95">
        <v>58.4</v>
      </c>
      <c r="T9" s="93">
        <v>27954</v>
      </c>
      <c r="U9" s="95">
        <v>64.900000000000006</v>
      </c>
      <c r="V9" s="93">
        <v>28391</v>
      </c>
      <c r="W9" s="95">
        <v>66.2</v>
      </c>
      <c r="X9" s="136"/>
      <c r="Y9" s="136"/>
      <c r="Z9" s="136"/>
      <c r="AA9" s="136"/>
    </row>
    <row r="10" spans="1:27" ht="11.25" customHeight="1" x14ac:dyDescent="0.2">
      <c r="A10" s="125" t="s">
        <v>354</v>
      </c>
      <c r="B10" s="142" t="s">
        <v>20</v>
      </c>
      <c r="C10" s="100">
        <v>5682</v>
      </c>
      <c r="D10" s="102">
        <v>63.2</v>
      </c>
      <c r="E10" s="100">
        <v>5462</v>
      </c>
      <c r="F10" s="102">
        <v>69.5</v>
      </c>
      <c r="G10" s="100">
        <v>5440</v>
      </c>
      <c r="H10" s="101">
        <v>73.2</v>
      </c>
      <c r="I10" s="134">
        <v>5384</v>
      </c>
      <c r="J10" s="135">
        <v>71.5</v>
      </c>
      <c r="K10" s="134">
        <v>5415</v>
      </c>
      <c r="L10" s="135">
        <v>72.7</v>
      </c>
      <c r="M10" s="96"/>
      <c r="N10" s="100">
        <v>5696</v>
      </c>
      <c r="O10" s="102">
        <v>50.7</v>
      </c>
      <c r="P10" s="100">
        <v>5456</v>
      </c>
      <c r="Q10" s="102">
        <v>54.7</v>
      </c>
      <c r="R10" s="100">
        <v>5427</v>
      </c>
      <c r="S10" s="101">
        <v>58.9</v>
      </c>
      <c r="T10" s="134">
        <v>5382</v>
      </c>
      <c r="U10" s="135">
        <v>65.099999999999994</v>
      </c>
      <c r="V10" s="134">
        <v>5421</v>
      </c>
      <c r="W10" s="135">
        <v>68.3</v>
      </c>
      <c r="X10" s="136"/>
      <c r="Y10" s="136"/>
      <c r="Z10" s="136"/>
      <c r="AA10" s="136"/>
    </row>
    <row r="11" spans="1:27" ht="11.25" customHeight="1" x14ac:dyDescent="0.2">
      <c r="A11" s="125" t="s">
        <v>18</v>
      </c>
      <c r="B11" s="142" t="s">
        <v>19</v>
      </c>
      <c r="C11" s="100">
        <v>1165</v>
      </c>
      <c r="D11" s="102">
        <v>59.2</v>
      </c>
      <c r="E11" s="100">
        <v>1115</v>
      </c>
      <c r="F11" s="102">
        <v>66.5</v>
      </c>
      <c r="G11" s="100">
        <v>1095</v>
      </c>
      <c r="H11" s="101">
        <v>74.400000000000006</v>
      </c>
      <c r="I11" s="134">
        <v>1111</v>
      </c>
      <c r="J11" s="135">
        <v>67.099999999999994</v>
      </c>
      <c r="K11" s="134">
        <v>1136</v>
      </c>
      <c r="L11" s="135">
        <v>74.400000000000006</v>
      </c>
      <c r="M11" s="96"/>
      <c r="N11" s="100">
        <v>1165</v>
      </c>
      <c r="O11" s="102">
        <v>53.3</v>
      </c>
      <c r="P11" s="100">
        <v>1121</v>
      </c>
      <c r="Q11" s="102">
        <v>62.7</v>
      </c>
      <c r="R11" s="100">
        <v>1102</v>
      </c>
      <c r="S11" s="101">
        <v>65.900000000000006</v>
      </c>
      <c r="T11" s="134">
        <v>1098</v>
      </c>
      <c r="U11" s="135">
        <v>72.8</v>
      </c>
      <c r="V11" s="134">
        <v>1138</v>
      </c>
      <c r="W11" s="135">
        <v>70.7</v>
      </c>
      <c r="X11" s="136"/>
      <c r="Y11" s="136"/>
      <c r="Z11" s="136"/>
      <c r="AA11" s="136"/>
    </row>
    <row r="12" spans="1:27" ht="11.25" customHeight="1" x14ac:dyDescent="0.2">
      <c r="A12" s="125" t="s">
        <v>21</v>
      </c>
      <c r="B12" s="142" t="s">
        <v>22</v>
      </c>
      <c r="C12" s="100">
        <v>2132</v>
      </c>
      <c r="D12" s="102">
        <v>64.099999999999994</v>
      </c>
      <c r="E12" s="100">
        <v>2087</v>
      </c>
      <c r="F12" s="102">
        <v>66.2</v>
      </c>
      <c r="G12" s="100">
        <v>2174</v>
      </c>
      <c r="H12" s="101">
        <v>72.2</v>
      </c>
      <c r="I12" s="134">
        <v>2096</v>
      </c>
      <c r="J12" s="135">
        <v>67.7</v>
      </c>
      <c r="K12" s="134">
        <v>2146</v>
      </c>
      <c r="L12" s="135">
        <v>67.099999999999994</v>
      </c>
      <c r="M12" s="96"/>
      <c r="N12" s="100">
        <v>2128</v>
      </c>
      <c r="O12" s="102">
        <v>52.6</v>
      </c>
      <c r="P12" s="100">
        <v>2092</v>
      </c>
      <c r="Q12" s="102">
        <v>57.4</v>
      </c>
      <c r="R12" s="100">
        <v>2173</v>
      </c>
      <c r="S12" s="101">
        <v>61</v>
      </c>
      <c r="T12" s="134">
        <v>2106</v>
      </c>
      <c r="U12" s="135">
        <v>67</v>
      </c>
      <c r="V12" s="134">
        <v>2151</v>
      </c>
      <c r="W12" s="135">
        <v>66.3</v>
      </c>
      <c r="X12" s="136"/>
      <c r="Y12" s="136"/>
      <c r="Z12" s="136"/>
      <c r="AA12" s="136"/>
    </row>
    <row r="13" spans="1:27" ht="11.25" customHeight="1" x14ac:dyDescent="0.2">
      <c r="A13" s="125" t="s">
        <v>23</v>
      </c>
      <c r="B13" s="142" t="s">
        <v>24</v>
      </c>
      <c r="C13" s="100">
        <v>1232</v>
      </c>
      <c r="D13" s="102">
        <v>57.1</v>
      </c>
      <c r="E13" s="100">
        <v>1239</v>
      </c>
      <c r="F13" s="102">
        <v>55</v>
      </c>
      <c r="G13" s="100">
        <v>1273</v>
      </c>
      <c r="H13" s="101">
        <v>61.7</v>
      </c>
      <c r="I13" s="134">
        <v>1152</v>
      </c>
      <c r="J13" s="135">
        <v>49.7</v>
      </c>
      <c r="K13" s="134">
        <v>1156</v>
      </c>
      <c r="L13" s="135">
        <v>62.5</v>
      </c>
      <c r="M13" s="96"/>
      <c r="N13" s="100">
        <v>1233</v>
      </c>
      <c r="O13" s="102">
        <v>49.6</v>
      </c>
      <c r="P13" s="100">
        <v>1240</v>
      </c>
      <c r="Q13" s="102">
        <v>53.9</v>
      </c>
      <c r="R13" s="100">
        <v>1275</v>
      </c>
      <c r="S13" s="101">
        <v>57.5</v>
      </c>
      <c r="T13" s="134">
        <v>1152</v>
      </c>
      <c r="U13" s="135">
        <v>62.3</v>
      </c>
      <c r="V13" s="134">
        <v>1158</v>
      </c>
      <c r="W13" s="135">
        <v>62.9</v>
      </c>
      <c r="X13" s="136"/>
      <c r="Y13" s="136"/>
      <c r="Z13" s="136"/>
      <c r="AA13" s="136"/>
    </row>
    <row r="14" spans="1:27" ht="11.25" customHeight="1" x14ac:dyDescent="0.2">
      <c r="A14" s="125" t="s">
        <v>25</v>
      </c>
      <c r="B14" s="142" t="s">
        <v>26</v>
      </c>
      <c r="C14" s="100">
        <v>1704</v>
      </c>
      <c r="D14" s="102">
        <v>50.4</v>
      </c>
      <c r="E14" s="100">
        <v>1658</v>
      </c>
      <c r="F14" s="102">
        <v>56.6</v>
      </c>
      <c r="G14" s="100">
        <v>1572</v>
      </c>
      <c r="H14" s="101">
        <v>55.5</v>
      </c>
      <c r="I14" s="134">
        <v>1462</v>
      </c>
      <c r="J14" s="135">
        <v>53.9</v>
      </c>
      <c r="K14" s="134">
        <v>1484</v>
      </c>
      <c r="L14" s="135">
        <v>60.1</v>
      </c>
      <c r="M14" s="96"/>
      <c r="N14" s="100">
        <v>1703</v>
      </c>
      <c r="O14" s="102">
        <v>39.200000000000003</v>
      </c>
      <c r="P14" s="100">
        <v>1660</v>
      </c>
      <c r="Q14" s="102">
        <v>49</v>
      </c>
      <c r="R14" s="100">
        <v>1573</v>
      </c>
      <c r="S14" s="101">
        <v>42.3</v>
      </c>
      <c r="T14" s="134">
        <v>1467</v>
      </c>
      <c r="U14" s="135">
        <v>51.7</v>
      </c>
      <c r="V14" s="134">
        <v>1486</v>
      </c>
      <c r="W14" s="135">
        <v>56.6</v>
      </c>
      <c r="X14" s="136"/>
      <c r="Y14" s="136"/>
      <c r="Z14" s="136"/>
      <c r="AA14" s="136"/>
    </row>
    <row r="15" spans="1:27" ht="11.25" customHeight="1" x14ac:dyDescent="0.2">
      <c r="A15" s="125" t="s">
        <v>27</v>
      </c>
      <c r="B15" s="142" t="s">
        <v>28</v>
      </c>
      <c r="C15" s="100">
        <v>2637</v>
      </c>
      <c r="D15" s="102">
        <v>54.6</v>
      </c>
      <c r="E15" s="100">
        <v>2445</v>
      </c>
      <c r="F15" s="102">
        <v>63.4</v>
      </c>
      <c r="G15" s="100">
        <v>2429</v>
      </c>
      <c r="H15" s="101">
        <v>63.9</v>
      </c>
      <c r="I15" s="134">
        <v>2299</v>
      </c>
      <c r="J15" s="135">
        <v>68.2</v>
      </c>
      <c r="K15" s="134">
        <v>2472</v>
      </c>
      <c r="L15" s="135">
        <v>65.599999999999994</v>
      </c>
      <c r="M15" s="96"/>
      <c r="N15" s="100">
        <v>2654</v>
      </c>
      <c r="O15" s="102">
        <v>45.4</v>
      </c>
      <c r="P15" s="100">
        <v>2458</v>
      </c>
      <c r="Q15" s="102">
        <v>55.9</v>
      </c>
      <c r="R15" s="100">
        <v>2448</v>
      </c>
      <c r="S15" s="101">
        <v>55.8</v>
      </c>
      <c r="T15" s="134">
        <v>2349</v>
      </c>
      <c r="U15" s="135">
        <v>63.3</v>
      </c>
      <c r="V15" s="134">
        <v>2483</v>
      </c>
      <c r="W15" s="135">
        <v>67.3</v>
      </c>
      <c r="X15" s="136"/>
      <c r="Y15" s="136"/>
      <c r="Z15" s="136"/>
      <c r="AA15" s="136"/>
    </row>
    <row r="16" spans="1:27" ht="11.25" customHeight="1" x14ac:dyDescent="0.2">
      <c r="A16" s="125" t="s">
        <v>29</v>
      </c>
      <c r="B16" s="142" t="s">
        <v>30</v>
      </c>
      <c r="C16" s="100">
        <v>2269</v>
      </c>
      <c r="D16" s="102">
        <v>68</v>
      </c>
      <c r="E16" s="100">
        <v>2125</v>
      </c>
      <c r="F16" s="102">
        <v>67.900000000000006</v>
      </c>
      <c r="G16" s="100">
        <v>2140</v>
      </c>
      <c r="H16" s="101">
        <v>71.8</v>
      </c>
      <c r="I16" s="134">
        <v>2117</v>
      </c>
      <c r="J16" s="135">
        <v>64.8</v>
      </c>
      <c r="K16" s="134">
        <v>2126</v>
      </c>
      <c r="L16" s="135">
        <v>71.900000000000006</v>
      </c>
      <c r="M16" s="96"/>
      <c r="N16" s="100">
        <v>2269</v>
      </c>
      <c r="O16" s="102">
        <v>55.4</v>
      </c>
      <c r="P16" s="100">
        <v>2118</v>
      </c>
      <c r="Q16" s="102">
        <v>58.7</v>
      </c>
      <c r="R16" s="100">
        <v>2119</v>
      </c>
      <c r="S16" s="101">
        <v>61.2</v>
      </c>
      <c r="T16" s="134">
        <v>2098</v>
      </c>
      <c r="U16" s="135">
        <v>72</v>
      </c>
      <c r="V16" s="134">
        <v>2121</v>
      </c>
      <c r="W16" s="135">
        <v>72.599999999999994</v>
      </c>
      <c r="X16" s="136"/>
      <c r="Y16" s="136"/>
      <c r="Z16" s="136"/>
      <c r="AA16" s="136"/>
    </row>
    <row r="17" spans="1:27" ht="11.25" customHeight="1" x14ac:dyDescent="0.2">
      <c r="A17" s="125" t="s">
        <v>31</v>
      </c>
      <c r="B17" s="142" t="s">
        <v>32</v>
      </c>
      <c r="C17" s="100">
        <v>3729</v>
      </c>
      <c r="D17" s="102">
        <v>65.900000000000006</v>
      </c>
      <c r="E17" s="100">
        <v>3542</v>
      </c>
      <c r="F17" s="102">
        <v>70.099999999999994</v>
      </c>
      <c r="G17" s="100">
        <v>3558</v>
      </c>
      <c r="H17" s="101">
        <v>68.900000000000006</v>
      </c>
      <c r="I17" s="134">
        <v>3471</v>
      </c>
      <c r="J17" s="135">
        <v>66.7</v>
      </c>
      <c r="K17" s="134">
        <v>3542</v>
      </c>
      <c r="L17" s="135">
        <v>62.2</v>
      </c>
      <c r="M17" s="96"/>
      <c r="N17" s="100">
        <v>3741</v>
      </c>
      <c r="O17" s="102">
        <v>58.8</v>
      </c>
      <c r="P17" s="100">
        <v>3546</v>
      </c>
      <c r="Q17" s="102">
        <v>61.1</v>
      </c>
      <c r="R17" s="100">
        <v>3548</v>
      </c>
      <c r="S17" s="101">
        <v>63.2</v>
      </c>
      <c r="T17" s="134">
        <v>3472</v>
      </c>
      <c r="U17" s="135">
        <v>67.599999999999994</v>
      </c>
      <c r="V17" s="134">
        <v>3545</v>
      </c>
      <c r="W17" s="135">
        <v>67.3</v>
      </c>
      <c r="X17" s="136"/>
      <c r="Y17" s="136"/>
      <c r="Z17" s="136"/>
      <c r="AA17" s="136"/>
    </row>
    <row r="18" spans="1:27" ht="11.25" customHeight="1" x14ac:dyDescent="0.2">
      <c r="A18" s="125" t="s">
        <v>33</v>
      </c>
      <c r="B18" s="142" t="s">
        <v>34</v>
      </c>
      <c r="C18" s="100">
        <v>1896</v>
      </c>
      <c r="D18" s="102">
        <v>61</v>
      </c>
      <c r="E18" s="100">
        <v>1927</v>
      </c>
      <c r="F18" s="102">
        <v>62.1</v>
      </c>
      <c r="G18" s="100">
        <v>1845</v>
      </c>
      <c r="H18" s="101">
        <v>62.4</v>
      </c>
      <c r="I18" s="134">
        <v>1742</v>
      </c>
      <c r="J18" s="135">
        <v>58.7</v>
      </c>
      <c r="K18" s="134">
        <v>1833</v>
      </c>
      <c r="L18" s="135">
        <v>61.9</v>
      </c>
      <c r="M18" s="96"/>
      <c r="N18" s="100">
        <v>1889</v>
      </c>
      <c r="O18" s="102">
        <v>52.5</v>
      </c>
      <c r="P18" s="100">
        <v>1928</v>
      </c>
      <c r="Q18" s="102">
        <v>55.9</v>
      </c>
      <c r="R18" s="100">
        <v>1845</v>
      </c>
      <c r="S18" s="101">
        <v>54.9</v>
      </c>
      <c r="T18" s="134">
        <v>1737</v>
      </c>
      <c r="U18" s="135">
        <v>62.6</v>
      </c>
      <c r="V18" s="134">
        <v>1837</v>
      </c>
      <c r="W18" s="135">
        <v>59.1</v>
      </c>
      <c r="X18" s="136"/>
      <c r="Y18" s="136"/>
      <c r="Z18" s="136"/>
      <c r="AA18" s="136"/>
    </row>
    <row r="19" spans="1:27" ht="11.25" customHeight="1" x14ac:dyDescent="0.2">
      <c r="A19" s="125" t="s">
        <v>35</v>
      </c>
      <c r="B19" s="142" t="s">
        <v>36</v>
      </c>
      <c r="C19" s="100">
        <v>1895</v>
      </c>
      <c r="D19" s="102">
        <v>60.7</v>
      </c>
      <c r="E19" s="100">
        <v>1765</v>
      </c>
      <c r="F19" s="102">
        <v>69.7</v>
      </c>
      <c r="G19" s="100">
        <v>1768</v>
      </c>
      <c r="H19" s="101">
        <v>68.599999999999994</v>
      </c>
      <c r="I19" s="134">
        <v>1751</v>
      </c>
      <c r="J19" s="135">
        <v>66.5</v>
      </c>
      <c r="K19" s="134">
        <v>1704</v>
      </c>
      <c r="L19" s="135">
        <v>66.8</v>
      </c>
      <c r="M19" s="96"/>
      <c r="N19" s="100">
        <v>1890</v>
      </c>
      <c r="O19" s="102">
        <v>47.1</v>
      </c>
      <c r="P19" s="100">
        <v>1758</v>
      </c>
      <c r="Q19" s="102">
        <v>52.3</v>
      </c>
      <c r="R19" s="100">
        <v>1766</v>
      </c>
      <c r="S19" s="101">
        <v>56.1</v>
      </c>
      <c r="T19" s="134">
        <v>1758</v>
      </c>
      <c r="U19" s="135">
        <v>64.400000000000006</v>
      </c>
      <c r="V19" s="134">
        <v>1706</v>
      </c>
      <c r="W19" s="135">
        <v>68.599999999999994</v>
      </c>
      <c r="X19" s="136"/>
      <c r="Y19" s="136"/>
      <c r="Z19" s="136"/>
      <c r="AA19" s="136"/>
    </row>
    <row r="20" spans="1:27" ht="11.25" customHeight="1" x14ac:dyDescent="0.2">
      <c r="A20" s="125" t="s">
        <v>37</v>
      </c>
      <c r="B20" s="142" t="s">
        <v>38</v>
      </c>
      <c r="C20" s="100">
        <v>2403</v>
      </c>
      <c r="D20" s="102">
        <v>59.9</v>
      </c>
      <c r="E20" s="100">
        <v>2284</v>
      </c>
      <c r="F20" s="102">
        <v>61.3</v>
      </c>
      <c r="G20" s="100">
        <v>2219</v>
      </c>
      <c r="H20" s="101">
        <v>68.099999999999994</v>
      </c>
      <c r="I20" s="134">
        <v>2144</v>
      </c>
      <c r="J20" s="135">
        <v>61.4</v>
      </c>
      <c r="K20" s="134">
        <v>2156</v>
      </c>
      <c r="L20" s="135">
        <v>61.9</v>
      </c>
      <c r="M20" s="96"/>
      <c r="N20" s="100">
        <v>2401</v>
      </c>
      <c r="O20" s="102">
        <v>51.9</v>
      </c>
      <c r="P20" s="100">
        <v>2284</v>
      </c>
      <c r="Q20" s="102">
        <v>55.9</v>
      </c>
      <c r="R20" s="100">
        <v>2224</v>
      </c>
      <c r="S20" s="101">
        <v>57.8</v>
      </c>
      <c r="T20" s="134">
        <v>2157</v>
      </c>
      <c r="U20" s="135">
        <v>56.2</v>
      </c>
      <c r="V20" s="134">
        <v>2156</v>
      </c>
      <c r="W20" s="135">
        <v>62.3</v>
      </c>
      <c r="X20" s="136"/>
      <c r="Y20" s="136"/>
      <c r="Z20" s="136"/>
      <c r="AA20" s="136"/>
    </row>
    <row r="21" spans="1:27" ht="11.25" customHeight="1" x14ac:dyDescent="0.2">
      <c r="A21" s="125" t="s">
        <v>39</v>
      </c>
      <c r="B21" s="142" t="s">
        <v>40</v>
      </c>
      <c r="C21" s="100">
        <v>3465</v>
      </c>
      <c r="D21" s="102">
        <v>57.7</v>
      </c>
      <c r="E21" s="100">
        <v>3409</v>
      </c>
      <c r="F21" s="102">
        <v>61.7</v>
      </c>
      <c r="G21" s="100">
        <v>3220</v>
      </c>
      <c r="H21" s="101">
        <v>68.099999999999994</v>
      </c>
      <c r="I21" s="134">
        <v>3176</v>
      </c>
      <c r="J21" s="135">
        <v>70.099999999999994</v>
      </c>
      <c r="K21" s="134">
        <v>3187</v>
      </c>
      <c r="L21" s="135">
        <v>69.2</v>
      </c>
      <c r="M21" s="96"/>
      <c r="N21" s="100">
        <v>3460</v>
      </c>
      <c r="O21" s="102">
        <v>46</v>
      </c>
      <c r="P21" s="100">
        <v>3412</v>
      </c>
      <c r="Q21" s="102">
        <v>55</v>
      </c>
      <c r="R21" s="100">
        <v>3241</v>
      </c>
      <c r="S21" s="101">
        <v>60.3</v>
      </c>
      <c r="T21" s="134">
        <v>3178</v>
      </c>
      <c r="U21" s="135">
        <v>68.599999999999994</v>
      </c>
      <c r="V21" s="134">
        <v>3189</v>
      </c>
      <c r="W21" s="135">
        <v>66</v>
      </c>
      <c r="X21" s="136"/>
      <c r="Y21" s="136"/>
      <c r="Z21" s="136"/>
      <c r="AA21" s="136"/>
    </row>
    <row r="22" spans="1:27" ht="11.25" customHeight="1" x14ac:dyDescent="0.2">
      <c r="A22" s="3"/>
      <c r="B22" s="141"/>
      <c r="C22" s="100"/>
      <c r="D22" s="114"/>
      <c r="E22" s="100"/>
      <c r="F22" s="114"/>
      <c r="G22" s="100"/>
      <c r="H22" s="101"/>
      <c r="M22" s="96"/>
      <c r="N22" s="100"/>
      <c r="O22" s="102"/>
      <c r="P22" s="100"/>
      <c r="Q22" s="102"/>
      <c r="R22" s="100"/>
      <c r="S22" s="101"/>
      <c r="V22" s="149"/>
      <c r="W22" s="149"/>
      <c r="X22" s="136"/>
      <c r="Y22" s="136"/>
      <c r="Z22" s="136"/>
      <c r="AA22" s="136"/>
    </row>
    <row r="23" spans="1:27" s="98" customFormat="1" ht="11.25" customHeight="1" x14ac:dyDescent="0.2">
      <c r="A23" s="16" t="s">
        <v>381</v>
      </c>
      <c r="B23" s="92" t="s">
        <v>41</v>
      </c>
      <c r="C23" s="93">
        <v>81558</v>
      </c>
      <c r="D23" s="97">
        <v>63.5</v>
      </c>
      <c r="E23" s="93">
        <v>80180</v>
      </c>
      <c r="F23" s="97">
        <v>68.8</v>
      </c>
      <c r="G23" s="93">
        <v>77236</v>
      </c>
      <c r="H23" s="95">
        <v>71.5</v>
      </c>
      <c r="I23" s="93">
        <v>76681</v>
      </c>
      <c r="J23" s="95">
        <v>67.400000000000006</v>
      </c>
      <c r="K23" s="93">
        <v>78430</v>
      </c>
      <c r="L23" s="95">
        <v>68.5</v>
      </c>
      <c r="M23" s="96"/>
      <c r="N23" s="93">
        <v>81731</v>
      </c>
      <c r="O23" s="97">
        <v>55</v>
      </c>
      <c r="P23" s="93">
        <v>80306</v>
      </c>
      <c r="Q23" s="97">
        <v>60.3</v>
      </c>
      <c r="R23" s="93">
        <v>77441</v>
      </c>
      <c r="S23" s="95">
        <v>62.4</v>
      </c>
      <c r="T23" s="93">
        <v>76824</v>
      </c>
      <c r="U23" s="95">
        <v>66.900000000000006</v>
      </c>
      <c r="V23" s="93">
        <v>78658</v>
      </c>
      <c r="W23" s="95">
        <v>68.7</v>
      </c>
      <c r="X23" s="136"/>
      <c r="Y23" s="136"/>
      <c r="Z23" s="136"/>
      <c r="AA23" s="136"/>
    </row>
    <row r="24" spans="1:27" ht="11.25" customHeight="1" x14ac:dyDescent="0.2">
      <c r="A24" s="125" t="s">
        <v>42</v>
      </c>
      <c r="B24" s="142" t="s">
        <v>43</v>
      </c>
      <c r="C24" s="100">
        <v>1763</v>
      </c>
      <c r="D24" s="102">
        <v>63.7</v>
      </c>
      <c r="E24" s="100">
        <v>1755</v>
      </c>
      <c r="F24" s="102">
        <v>67.2</v>
      </c>
      <c r="G24" s="100">
        <v>1752</v>
      </c>
      <c r="H24" s="101">
        <v>73.2</v>
      </c>
      <c r="I24" s="134">
        <v>1683</v>
      </c>
      <c r="J24" s="135">
        <v>65.099999999999994</v>
      </c>
      <c r="K24" s="134">
        <v>1746</v>
      </c>
      <c r="L24" s="135">
        <v>69.599999999999994</v>
      </c>
      <c r="M24" s="96"/>
      <c r="N24" s="100">
        <v>1769</v>
      </c>
      <c r="O24" s="102">
        <v>53.5</v>
      </c>
      <c r="P24" s="100">
        <v>1757</v>
      </c>
      <c r="Q24" s="102">
        <v>58.4</v>
      </c>
      <c r="R24" s="100">
        <v>1757</v>
      </c>
      <c r="S24" s="101">
        <v>65.5</v>
      </c>
      <c r="T24" s="134">
        <v>1705</v>
      </c>
      <c r="U24" s="135">
        <v>73.2</v>
      </c>
      <c r="V24" s="134">
        <v>1745</v>
      </c>
      <c r="W24" s="135">
        <v>72</v>
      </c>
      <c r="X24" s="136"/>
      <c r="Y24" s="136"/>
      <c r="Z24" s="136"/>
      <c r="AA24" s="136"/>
    </row>
    <row r="25" spans="1:27" ht="11.25" customHeight="1" x14ac:dyDescent="0.2">
      <c r="A25" s="125" t="s">
        <v>44</v>
      </c>
      <c r="B25" s="142" t="s">
        <v>45</v>
      </c>
      <c r="C25" s="100">
        <v>1603</v>
      </c>
      <c r="D25" s="102">
        <v>61.2</v>
      </c>
      <c r="E25" s="100">
        <v>1571</v>
      </c>
      <c r="F25" s="102">
        <v>70</v>
      </c>
      <c r="G25" s="100">
        <v>1500</v>
      </c>
      <c r="H25" s="101">
        <v>67.900000000000006</v>
      </c>
      <c r="I25" s="134">
        <v>1441</v>
      </c>
      <c r="J25" s="135">
        <v>62.2</v>
      </c>
      <c r="K25" s="134">
        <v>1609</v>
      </c>
      <c r="L25" s="135">
        <v>57.3</v>
      </c>
      <c r="M25" s="96"/>
      <c r="N25" s="100">
        <v>1606</v>
      </c>
      <c r="O25" s="102">
        <v>39.9</v>
      </c>
      <c r="P25" s="100">
        <v>1572</v>
      </c>
      <c r="Q25" s="102">
        <v>47.2</v>
      </c>
      <c r="R25" s="100">
        <v>1510</v>
      </c>
      <c r="S25" s="101">
        <v>45.7</v>
      </c>
      <c r="T25" s="134">
        <v>1435</v>
      </c>
      <c r="U25" s="135">
        <v>49.7</v>
      </c>
      <c r="V25" s="134">
        <v>1613</v>
      </c>
      <c r="W25" s="135">
        <v>52.4</v>
      </c>
      <c r="X25" s="136"/>
      <c r="Y25" s="136"/>
      <c r="Z25" s="136"/>
      <c r="AA25" s="136"/>
    </row>
    <row r="26" spans="1:27" ht="11.25" customHeight="1" x14ac:dyDescent="0.2">
      <c r="A26" s="125" t="s">
        <v>46</v>
      </c>
      <c r="B26" s="142" t="s">
        <v>47</v>
      </c>
      <c r="C26" s="100">
        <v>3500</v>
      </c>
      <c r="D26" s="102">
        <v>56.6</v>
      </c>
      <c r="E26" s="100">
        <v>3452</v>
      </c>
      <c r="F26" s="102">
        <v>64.099999999999994</v>
      </c>
      <c r="G26" s="100">
        <v>3304</v>
      </c>
      <c r="H26" s="101">
        <v>71.8</v>
      </c>
      <c r="I26" s="134">
        <v>3305</v>
      </c>
      <c r="J26" s="135">
        <v>67.099999999999994</v>
      </c>
      <c r="K26" s="134">
        <v>3418</v>
      </c>
      <c r="L26" s="135">
        <v>67.7</v>
      </c>
      <c r="M26" s="96"/>
      <c r="N26" s="100">
        <v>3512</v>
      </c>
      <c r="O26" s="102">
        <v>51.6</v>
      </c>
      <c r="P26" s="100">
        <v>3460</v>
      </c>
      <c r="Q26" s="102">
        <v>57.7</v>
      </c>
      <c r="R26" s="100">
        <v>3329</v>
      </c>
      <c r="S26" s="101">
        <v>63.7</v>
      </c>
      <c r="T26" s="134">
        <v>3319</v>
      </c>
      <c r="U26" s="135">
        <v>69</v>
      </c>
      <c r="V26" s="134">
        <v>3425</v>
      </c>
      <c r="W26" s="135">
        <v>71.7</v>
      </c>
      <c r="X26" s="136"/>
      <c r="Y26" s="136"/>
      <c r="Z26" s="136"/>
      <c r="AA26" s="136"/>
    </row>
    <row r="27" spans="1:27" ht="11.25" customHeight="1" x14ac:dyDescent="0.2">
      <c r="A27" s="125" t="s">
        <v>48</v>
      </c>
      <c r="B27" s="142" t="s">
        <v>49</v>
      </c>
      <c r="C27" s="100">
        <v>2176</v>
      </c>
      <c r="D27" s="102">
        <v>76.400000000000006</v>
      </c>
      <c r="E27" s="100">
        <v>2181</v>
      </c>
      <c r="F27" s="102">
        <v>76.7</v>
      </c>
      <c r="G27" s="100">
        <v>2125</v>
      </c>
      <c r="H27" s="101">
        <v>80.599999999999994</v>
      </c>
      <c r="I27" s="134">
        <v>2149</v>
      </c>
      <c r="J27" s="135">
        <v>75</v>
      </c>
      <c r="K27" s="134">
        <v>2138</v>
      </c>
      <c r="L27" s="135">
        <v>66.599999999999994</v>
      </c>
      <c r="M27" s="96"/>
      <c r="N27" s="100">
        <v>2180</v>
      </c>
      <c r="O27" s="102">
        <v>64.5</v>
      </c>
      <c r="P27" s="100">
        <v>2181</v>
      </c>
      <c r="Q27" s="102">
        <v>68.2</v>
      </c>
      <c r="R27" s="100">
        <v>2133</v>
      </c>
      <c r="S27" s="101">
        <v>65.5</v>
      </c>
      <c r="T27" s="134">
        <v>2148</v>
      </c>
      <c r="U27" s="135">
        <v>68.2</v>
      </c>
      <c r="V27" s="134">
        <v>2141</v>
      </c>
      <c r="W27" s="135">
        <v>72.2</v>
      </c>
      <c r="X27" s="136"/>
      <c r="Y27" s="136"/>
      <c r="Z27" s="136"/>
      <c r="AA27" s="136"/>
    </row>
    <row r="28" spans="1:27" ht="11.25" customHeight="1" x14ac:dyDescent="0.2">
      <c r="A28" s="125" t="s">
        <v>50</v>
      </c>
      <c r="B28" s="126" t="s">
        <v>51</v>
      </c>
      <c r="C28" s="100">
        <v>3937</v>
      </c>
      <c r="D28" s="102">
        <v>67.8</v>
      </c>
      <c r="E28" s="100">
        <v>3879</v>
      </c>
      <c r="F28" s="102">
        <v>73.3</v>
      </c>
      <c r="G28" s="100">
        <v>3747</v>
      </c>
      <c r="H28" s="101">
        <v>74.5</v>
      </c>
      <c r="I28" s="134">
        <v>3829</v>
      </c>
      <c r="J28" s="135">
        <v>68.5</v>
      </c>
      <c r="K28" s="134">
        <v>4009</v>
      </c>
      <c r="L28" s="135">
        <v>69.099999999999994</v>
      </c>
      <c r="M28" s="96"/>
      <c r="N28" s="100">
        <v>3942</v>
      </c>
      <c r="O28" s="115">
        <v>64.8</v>
      </c>
      <c r="P28" s="100">
        <v>3891</v>
      </c>
      <c r="Q28" s="115">
        <v>65.8</v>
      </c>
      <c r="R28" s="100">
        <v>3742</v>
      </c>
      <c r="S28" s="101">
        <v>68.7</v>
      </c>
      <c r="T28" s="134">
        <v>3841</v>
      </c>
      <c r="U28" s="135">
        <v>68.599999999999994</v>
      </c>
      <c r="V28" s="134">
        <v>4023</v>
      </c>
      <c r="W28" s="135">
        <v>71</v>
      </c>
      <c r="X28" s="136"/>
      <c r="Y28" s="136"/>
      <c r="Z28" s="136"/>
      <c r="AA28" s="136"/>
    </row>
    <row r="29" spans="1:27" ht="11.25" customHeight="1" x14ac:dyDescent="0.2">
      <c r="A29" s="125" t="s">
        <v>52</v>
      </c>
      <c r="B29" s="126" t="s">
        <v>53</v>
      </c>
      <c r="C29" s="100">
        <v>3889</v>
      </c>
      <c r="D29" s="102">
        <v>63</v>
      </c>
      <c r="E29" s="100">
        <v>3921</v>
      </c>
      <c r="F29" s="102">
        <v>71</v>
      </c>
      <c r="G29" s="100">
        <v>3755</v>
      </c>
      <c r="H29" s="101">
        <v>70.8</v>
      </c>
      <c r="I29" s="134">
        <v>3584</v>
      </c>
      <c r="J29" s="135">
        <v>68.900000000000006</v>
      </c>
      <c r="K29" s="134">
        <v>3748</v>
      </c>
      <c r="L29" s="135">
        <v>73.400000000000006</v>
      </c>
      <c r="M29" s="96"/>
      <c r="N29" s="100">
        <v>3881</v>
      </c>
      <c r="O29" s="115">
        <v>58.5</v>
      </c>
      <c r="P29" s="100">
        <v>3917</v>
      </c>
      <c r="Q29" s="115">
        <v>63.7</v>
      </c>
      <c r="R29" s="100">
        <v>3759</v>
      </c>
      <c r="S29" s="101">
        <v>63.5</v>
      </c>
      <c r="T29" s="134">
        <v>3570</v>
      </c>
      <c r="U29" s="135">
        <v>68</v>
      </c>
      <c r="V29" s="134">
        <v>3758</v>
      </c>
      <c r="W29" s="135">
        <v>71.2</v>
      </c>
      <c r="X29" s="136"/>
      <c r="Y29" s="136"/>
      <c r="Z29" s="136"/>
      <c r="AA29" s="136"/>
    </row>
    <row r="30" spans="1:27" ht="11.25" customHeight="1" x14ac:dyDescent="0.2">
      <c r="A30" s="125" t="s">
        <v>54</v>
      </c>
      <c r="B30" s="142" t="s">
        <v>55</v>
      </c>
      <c r="C30" s="100">
        <v>5991</v>
      </c>
      <c r="D30" s="102">
        <v>61.7</v>
      </c>
      <c r="E30" s="100">
        <v>6019</v>
      </c>
      <c r="F30" s="102">
        <v>66.599999999999994</v>
      </c>
      <c r="G30" s="100">
        <v>5554</v>
      </c>
      <c r="H30" s="101">
        <v>68.099999999999994</v>
      </c>
      <c r="I30" s="134">
        <v>5617</v>
      </c>
      <c r="J30" s="135">
        <v>64.599999999999994</v>
      </c>
      <c r="K30" s="134">
        <v>5626</v>
      </c>
      <c r="L30" s="135">
        <v>63.6</v>
      </c>
      <c r="M30" s="96"/>
      <c r="N30" s="100">
        <v>5989</v>
      </c>
      <c r="O30" s="102">
        <v>55.6</v>
      </c>
      <c r="P30" s="100">
        <v>6018</v>
      </c>
      <c r="Q30" s="102">
        <v>61.5</v>
      </c>
      <c r="R30" s="100">
        <v>5558</v>
      </c>
      <c r="S30" s="101">
        <v>60</v>
      </c>
      <c r="T30" s="134">
        <v>5605</v>
      </c>
      <c r="U30" s="135">
        <v>62.3</v>
      </c>
      <c r="V30" s="134">
        <v>5654</v>
      </c>
      <c r="W30" s="135">
        <v>64.3</v>
      </c>
      <c r="X30" s="136"/>
      <c r="Y30" s="136"/>
      <c r="Z30" s="136"/>
      <c r="AA30" s="136"/>
    </row>
    <row r="31" spans="1:27" ht="11.25" customHeight="1" x14ac:dyDescent="0.2">
      <c r="A31" s="125" t="s">
        <v>56</v>
      </c>
      <c r="B31" s="142" t="s">
        <v>57</v>
      </c>
      <c r="C31" s="100">
        <v>1524</v>
      </c>
      <c r="D31" s="102">
        <v>54.7</v>
      </c>
      <c r="E31" s="100">
        <v>1524</v>
      </c>
      <c r="F31" s="102">
        <v>63.6</v>
      </c>
      <c r="G31" s="100">
        <v>1406</v>
      </c>
      <c r="H31" s="101">
        <v>68.900000000000006</v>
      </c>
      <c r="I31" s="134">
        <v>1356</v>
      </c>
      <c r="J31" s="135">
        <v>70.2</v>
      </c>
      <c r="K31" s="134">
        <v>1417</v>
      </c>
      <c r="L31" s="135">
        <v>72.5</v>
      </c>
      <c r="M31" s="96"/>
      <c r="N31" s="100">
        <v>1526</v>
      </c>
      <c r="O31" s="102">
        <v>53.5</v>
      </c>
      <c r="P31" s="100">
        <v>1523</v>
      </c>
      <c r="Q31" s="102">
        <v>60</v>
      </c>
      <c r="R31" s="100">
        <v>1423</v>
      </c>
      <c r="S31" s="101">
        <v>61.8</v>
      </c>
      <c r="T31" s="134">
        <v>1357</v>
      </c>
      <c r="U31" s="135">
        <v>68.099999999999994</v>
      </c>
      <c r="V31" s="134">
        <v>1417</v>
      </c>
      <c r="W31" s="135">
        <v>66.7</v>
      </c>
      <c r="X31" s="136"/>
      <c r="Y31" s="136"/>
      <c r="Z31" s="136"/>
      <c r="AA31" s="136"/>
    </row>
    <row r="32" spans="1:27" ht="11.25" customHeight="1" x14ac:dyDescent="0.2">
      <c r="A32" s="125" t="s">
        <v>58</v>
      </c>
      <c r="B32" s="142" t="s">
        <v>59</v>
      </c>
      <c r="C32" s="100">
        <v>1636</v>
      </c>
      <c r="D32" s="102">
        <v>42.8</v>
      </c>
      <c r="E32" s="100">
        <v>1635</v>
      </c>
      <c r="F32" s="102">
        <v>44.8</v>
      </c>
      <c r="G32" s="100">
        <v>1535</v>
      </c>
      <c r="H32" s="101">
        <v>57.2</v>
      </c>
      <c r="I32" s="134">
        <v>1435</v>
      </c>
      <c r="J32" s="135">
        <v>48.8</v>
      </c>
      <c r="K32" s="134">
        <v>1378</v>
      </c>
      <c r="L32" s="135">
        <v>53.6</v>
      </c>
      <c r="M32" s="96"/>
      <c r="N32" s="100">
        <v>1629</v>
      </c>
      <c r="O32" s="102">
        <v>35.5</v>
      </c>
      <c r="P32" s="100">
        <v>1638</v>
      </c>
      <c r="Q32" s="102">
        <v>42.6</v>
      </c>
      <c r="R32" s="100">
        <v>1543</v>
      </c>
      <c r="S32" s="101">
        <v>43.6</v>
      </c>
      <c r="T32" s="134">
        <v>1438</v>
      </c>
      <c r="U32" s="135">
        <v>49.4</v>
      </c>
      <c r="V32" s="134">
        <v>1378</v>
      </c>
      <c r="W32" s="135">
        <v>51.7</v>
      </c>
      <c r="X32" s="136"/>
      <c r="Y32" s="136"/>
      <c r="Z32" s="136"/>
      <c r="AA32" s="136"/>
    </row>
    <row r="33" spans="1:27" ht="11.25" customHeight="1" x14ac:dyDescent="0.2">
      <c r="A33" s="125" t="s">
        <v>60</v>
      </c>
      <c r="B33" s="142" t="s">
        <v>61</v>
      </c>
      <c r="C33" s="100">
        <v>13432</v>
      </c>
      <c r="D33" s="102">
        <v>67.3</v>
      </c>
      <c r="E33" s="100">
        <v>13236</v>
      </c>
      <c r="F33" s="102">
        <v>71</v>
      </c>
      <c r="G33" s="100">
        <v>12534</v>
      </c>
      <c r="H33" s="101">
        <v>74.8</v>
      </c>
      <c r="I33" s="134">
        <v>12713</v>
      </c>
      <c r="J33" s="135">
        <v>69.2</v>
      </c>
      <c r="K33" s="134">
        <v>13006</v>
      </c>
      <c r="L33" s="135">
        <v>69.3</v>
      </c>
      <c r="M33" s="96"/>
      <c r="N33" s="100">
        <v>13451</v>
      </c>
      <c r="O33" s="102">
        <v>58.6</v>
      </c>
      <c r="P33" s="100">
        <v>13257</v>
      </c>
      <c r="Q33" s="102">
        <v>61.9</v>
      </c>
      <c r="R33" s="100">
        <v>12539</v>
      </c>
      <c r="S33" s="101">
        <v>63.9</v>
      </c>
      <c r="T33" s="134">
        <v>12739</v>
      </c>
      <c r="U33" s="135">
        <v>68.099999999999994</v>
      </c>
      <c r="V33" s="134">
        <v>13039</v>
      </c>
      <c r="W33" s="135">
        <v>71.7</v>
      </c>
      <c r="X33" s="136"/>
      <c r="Y33" s="136"/>
      <c r="Z33" s="136"/>
      <c r="AA33" s="136"/>
    </row>
    <row r="34" spans="1:27" ht="11.25" customHeight="1" x14ac:dyDescent="0.2">
      <c r="A34" s="125" t="s">
        <v>62</v>
      </c>
      <c r="B34" s="142" t="s">
        <v>63</v>
      </c>
      <c r="C34" s="100">
        <v>5230</v>
      </c>
      <c r="D34" s="102">
        <v>60.4</v>
      </c>
      <c r="E34" s="100">
        <v>5009</v>
      </c>
      <c r="F34" s="102">
        <v>69.400000000000006</v>
      </c>
      <c r="G34" s="100">
        <v>4974</v>
      </c>
      <c r="H34" s="101">
        <v>69.599999999999994</v>
      </c>
      <c r="I34" s="134">
        <v>4876</v>
      </c>
      <c r="J34" s="135">
        <v>64.900000000000006</v>
      </c>
      <c r="K34" s="134">
        <v>4979</v>
      </c>
      <c r="L34" s="135">
        <v>67.099999999999994</v>
      </c>
      <c r="M34" s="96"/>
      <c r="N34" s="100">
        <v>5248</v>
      </c>
      <c r="O34" s="102">
        <v>46.3</v>
      </c>
      <c r="P34" s="100">
        <v>5024</v>
      </c>
      <c r="Q34" s="102">
        <v>56.7</v>
      </c>
      <c r="R34" s="100">
        <v>4989</v>
      </c>
      <c r="S34" s="101">
        <v>58.4</v>
      </c>
      <c r="T34" s="134">
        <v>4879</v>
      </c>
      <c r="U34" s="135">
        <v>63.8</v>
      </c>
      <c r="V34" s="134">
        <v>4996</v>
      </c>
      <c r="W34" s="135">
        <v>62.5</v>
      </c>
      <c r="X34" s="136"/>
      <c r="Y34" s="136"/>
      <c r="Z34" s="136"/>
      <c r="AA34" s="136"/>
    </row>
    <row r="35" spans="1:27" ht="11.25" customHeight="1" x14ac:dyDescent="0.2">
      <c r="A35" s="125" t="s">
        <v>64</v>
      </c>
      <c r="B35" s="142" t="s">
        <v>65</v>
      </c>
      <c r="C35" s="100">
        <v>4347</v>
      </c>
      <c r="D35" s="102">
        <v>54.6</v>
      </c>
      <c r="E35" s="100">
        <v>4209</v>
      </c>
      <c r="F35" s="102">
        <v>62.9</v>
      </c>
      <c r="G35" s="100">
        <v>4096</v>
      </c>
      <c r="H35" s="101">
        <v>66.5</v>
      </c>
      <c r="I35" s="134">
        <v>4064</v>
      </c>
      <c r="J35" s="135">
        <v>67</v>
      </c>
      <c r="K35" s="134">
        <v>4226</v>
      </c>
      <c r="L35" s="135">
        <v>67.7</v>
      </c>
      <c r="M35" s="96"/>
      <c r="N35" s="100">
        <v>4419</v>
      </c>
      <c r="O35" s="102">
        <v>44.4</v>
      </c>
      <c r="P35" s="100">
        <v>4260</v>
      </c>
      <c r="Q35" s="102">
        <v>53.4</v>
      </c>
      <c r="R35" s="100">
        <v>4165</v>
      </c>
      <c r="S35" s="101">
        <v>56.7</v>
      </c>
      <c r="T35" s="134">
        <v>4100</v>
      </c>
      <c r="U35" s="135">
        <v>62.4</v>
      </c>
      <c r="V35" s="134">
        <v>4282</v>
      </c>
      <c r="W35" s="135">
        <v>63.6</v>
      </c>
      <c r="X35" s="136"/>
      <c r="Y35" s="136"/>
      <c r="Z35" s="136"/>
      <c r="AA35" s="136"/>
    </row>
    <row r="36" spans="1:27" ht="11.25" customHeight="1" x14ac:dyDescent="0.2">
      <c r="A36" s="125" t="s">
        <v>66</v>
      </c>
      <c r="B36" s="142" t="s">
        <v>67</v>
      </c>
      <c r="C36" s="100">
        <v>2957</v>
      </c>
      <c r="D36" s="102">
        <v>62</v>
      </c>
      <c r="E36" s="100">
        <v>2943</v>
      </c>
      <c r="F36" s="102">
        <v>67.599999999999994</v>
      </c>
      <c r="G36" s="100">
        <v>2851</v>
      </c>
      <c r="H36" s="101">
        <v>69.400000000000006</v>
      </c>
      <c r="I36" s="134">
        <v>2913</v>
      </c>
      <c r="J36" s="135">
        <v>61.2</v>
      </c>
      <c r="K36" s="134">
        <v>3013</v>
      </c>
      <c r="L36" s="135">
        <v>63.3</v>
      </c>
      <c r="M36" s="96"/>
      <c r="N36" s="100">
        <v>2971</v>
      </c>
      <c r="O36" s="102">
        <v>52.2</v>
      </c>
      <c r="P36" s="100">
        <v>2945</v>
      </c>
      <c r="Q36" s="102">
        <v>57.7</v>
      </c>
      <c r="R36" s="100">
        <v>2844</v>
      </c>
      <c r="S36" s="101">
        <v>63</v>
      </c>
      <c r="T36" s="134">
        <v>2926</v>
      </c>
      <c r="U36" s="135">
        <v>65</v>
      </c>
      <c r="V36" s="134">
        <v>3009</v>
      </c>
      <c r="W36" s="135">
        <v>66.7</v>
      </c>
      <c r="X36" s="136"/>
      <c r="Y36" s="136"/>
      <c r="Z36" s="136"/>
      <c r="AA36" s="136"/>
    </row>
    <row r="37" spans="1:27" ht="11.25" customHeight="1" x14ac:dyDescent="0.2">
      <c r="A37" s="125" t="s">
        <v>68</v>
      </c>
      <c r="B37" s="142" t="s">
        <v>69</v>
      </c>
      <c r="C37" s="100">
        <v>2534</v>
      </c>
      <c r="D37" s="102">
        <v>63.4</v>
      </c>
      <c r="E37" s="100">
        <v>2486</v>
      </c>
      <c r="F37" s="102">
        <v>65.8</v>
      </c>
      <c r="G37" s="100">
        <v>2345</v>
      </c>
      <c r="H37" s="101">
        <v>66.7</v>
      </c>
      <c r="I37" s="134">
        <v>2350</v>
      </c>
      <c r="J37" s="135">
        <v>62.8</v>
      </c>
      <c r="K37" s="134">
        <v>2358</v>
      </c>
      <c r="L37" s="135">
        <v>66.7</v>
      </c>
      <c r="M37" s="96"/>
      <c r="N37" s="100">
        <v>2533</v>
      </c>
      <c r="O37" s="102">
        <v>59.6</v>
      </c>
      <c r="P37" s="100">
        <v>2496</v>
      </c>
      <c r="Q37" s="102">
        <v>62.2</v>
      </c>
      <c r="R37" s="100">
        <v>2365</v>
      </c>
      <c r="S37" s="101">
        <v>63.3</v>
      </c>
      <c r="T37" s="134">
        <v>2359</v>
      </c>
      <c r="U37" s="135">
        <v>66</v>
      </c>
      <c r="V37" s="134">
        <v>2368</v>
      </c>
      <c r="W37" s="135">
        <v>69.099999999999994</v>
      </c>
      <c r="X37" s="136"/>
      <c r="Y37" s="136"/>
      <c r="Z37" s="136"/>
      <c r="AA37" s="136"/>
    </row>
    <row r="38" spans="1:27" ht="11.25" customHeight="1" x14ac:dyDescent="0.2">
      <c r="A38" s="125" t="s">
        <v>70</v>
      </c>
      <c r="B38" s="142" t="s">
        <v>71</v>
      </c>
      <c r="C38" s="100">
        <v>2288</v>
      </c>
      <c r="D38" s="102">
        <v>59.7</v>
      </c>
      <c r="E38" s="100">
        <v>2159</v>
      </c>
      <c r="F38" s="102">
        <v>65.400000000000006</v>
      </c>
      <c r="G38" s="100">
        <v>2099</v>
      </c>
      <c r="H38" s="101">
        <v>66.3</v>
      </c>
      <c r="I38" s="134">
        <v>1997</v>
      </c>
      <c r="J38" s="135">
        <v>59.3</v>
      </c>
      <c r="K38" s="134">
        <v>2160</v>
      </c>
      <c r="L38" s="135">
        <v>64.400000000000006</v>
      </c>
      <c r="M38" s="96"/>
      <c r="N38" s="100">
        <v>2304</v>
      </c>
      <c r="O38" s="102">
        <v>50.2</v>
      </c>
      <c r="P38" s="100">
        <v>2150</v>
      </c>
      <c r="Q38" s="102">
        <v>54.6</v>
      </c>
      <c r="R38" s="100">
        <v>2118</v>
      </c>
      <c r="S38" s="101">
        <v>57</v>
      </c>
      <c r="T38" s="134">
        <v>2008</v>
      </c>
      <c r="U38" s="135">
        <v>58.6</v>
      </c>
      <c r="V38" s="134">
        <v>2175</v>
      </c>
      <c r="W38" s="135">
        <v>62.3</v>
      </c>
      <c r="X38" s="136"/>
      <c r="Y38" s="136"/>
      <c r="Z38" s="136"/>
      <c r="AA38" s="136"/>
    </row>
    <row r="39" spans="1:27" ht="11.25" customHeight="1" x14ac:dyDescent="0.2">
      <c r="A39" s="125" t="s">
        <v>72</v>
      </c>
      <c r="B39" s="142" t="s">
        <v>73</v>
      </c>
      <c r="C39" s="100">
        <v>3491</v>
      </c>
      <c r="D39" s="102">
        <v>67.7</v>
      </c>
      <c r="E39" s="100">
        <v>3278</v>
      </c>
      <c r="F39" s="102">
        <v>69.7</v>
      </c>
      <c r="G39" s="100">
        <v>3295</v>
      </c>
      <c r="H39" s="101">
        <v>72.599999999999994</v>
      </c>
      <c r="I39" s="134">
        <v>3309</v>
      </c>
      <c r="J39" s="135">
        <v>65.7</v>
      </c>
      <c r="K39" s="134">
        <v>3403</v>
      </c>
      <c r="L39" s="135">
        <v>70.3</v>
      </c>
      <c r="M39" s="96"/>
      <c r="N39" s="100">
        <v>3490</v>
      </c>
      <c r="O39" s="102">
        <v>55</v>
      </c>
      <c r="P39" s="100">
        <v>3280</v>
      </c>
      <c r="Q39" s="102">
        <v>59.4</v>
      </c>
      <c r="R39" s="100">
        <v>3306</v>
      </c>
      <c r="S39" s="101">
        <v>62.1</v>
      </c>
      <c r="T39" s="134">
        <v>3320</v>
      </c>
      <c r="U39" s="135">
        <v>64.900000000000006</v>
      </c>
      <c r="V39" s="134">
        <v>3415</v>
      </c>
      <c r="W39" s="135">
        <v>67.8</v>
      </c>
      <c r="X39" s="136"/>
      <c r="Y39" s="136"/>
      <c r="Z39" s="136"/>
      <c r="AA39" s="136"/>
    </row>
    <row r="40" spans="1:27" ht="11.25" customHeight="1" x14ac:dyDescent="0.2">
      <c r="A40" s="125" t="s">
        <v>74</v>
      </c>
      <c r="B40" s="142" t="s">
        <v>75</v>
      </c>
      <c r="C40" s="100">
        <v>2144</v>
      </c>
      <c r="D40" s="102">
        <v>58</v>
      </c>
      <c r="E40" s="100">
        <v>1995</v>
      </c>
      <c r="F40" s="102">
        <v>65.599999999999994</v>
      </c>
      <c r="G40" s="100">
        <v>1944</v>
      </c>
      <c r="H40" s="101">
        <v>68.7</v>
      </c>
      <c r="I40" s="134">
        <v>1913</v>
      </c>
      <c r="J40" s="135">
        <v>61.9</v>
      </c>
      <c r="K40" s="134">
        <v>1925</v>
      </c>
      <c r="L40" s="135">
        <v>60.6</v>
      </c>
      <c r="M40" s="96"/>
      <c r="N40" s="100">
        <v>2139</v>
      </c>
      <c r="O40" s="102">
        <v>49</v>
      </c>
      <c r="P40" s="100">
        <v>1997</v>
      </c>
      <c r="Q40" s="102">
        <v>55.3</v>
      </c>
      <c r="R40" s="100">
        <v>1946</v>
      </c>
      <c r="S40" s="101">
        <v>56.5</v>
      </c>
      <c r="T40" s="134">
        <v>1904</v>
      </c>
      <c r="U40" s="135">
        <v>64.099999999999994</v>
      </c>
      <c r="V40" s="134">
        <v>1930</v>
      </c>
      <c r="W40" s="135">
        <v>65.900000000000006</v>
      </c>
      <c r="X40" s="136"/>
      <c r="Y40" s="136"/>
      <c r="Z40" s="136"/>
      <c r="AA40" s="136"/>
    </row>
    <row r="41" spans="1:27" ht="11.25" customHeight="1" x14ac:dyDescent="0.2">
      <c r="A41" s="125" t="s">
        <v>76</v>
      </c>
      <c r="B41" s="142" t="s">
        <v>77</v>
      </c>
      <c r="C41" s="100">
        <v>2992</v>
      </c>
      <c r="D41" s="102">
        <v>66.7</v>
      </c>
      <c r="E41" s="100">
        <v>2968</v>
      </c>
      <c r="F41" s="102">
        <v>73.099999999999994</v>
      </c>
      <c r="G41" s="100">
        <v>2930</v>
      </c>
      <c r="H41" s="101">
        <v>75.599999999999994</v>
      </c>
      <c r="I41" s="134">
        <v>2766</v>
      </c>
      <c r="J41" s="135">
        <v>72</v>
      </c>
      <c r="K41" s="134">
        <v>2937</v>
      </c>
      <c r="L41" s="135">
        <v>71.3</v>
      </c>
      <c r="M41" s="96"/>
      <c r="N41" s="100">
        <v>2997</v>
      </c>
      <c r="O41" s="102">
        <v>61.3</v>
      </c>
      <c r="P41" s="100">
        <v>2971</v>
      </c>
      <c r="Q41" s="102">
        <v>67.099999999999994</v>
      </c>
      <c r="R41" s="100">
        <v>2931</v>
      </c>
      <c r="S41" s="101">
        <v>68.900000000000006</v>
      </c>
      <c r="T41" s="134">
        <v>2783</v>
      </c>
      <c r="U41" s="135">
        <v>73.900000000000006</v>
      </c>
      <c r="V41" s="134">
        <v>2950</v>
      </c>
      <c r="W41" s="135">
        <v>75.599999999999994</v>
      </c>
      <c r="X41" s="136"/>
      <c r="Y41" s="136"/>
      <c r="Z41" s="136"/>
      <c r="AA41" s="136"/>
    </row>
    <row r="42" spans="1:27" ht="11.25" customHeight="1" x14ac:dyDescent="0.2">
      <c r="A42" s="125" t="s">
        <v>78</v>
      </c>
      <c r="B42" s="142" t="s">
        <v>79</v>
      </c>
      <c r="C42" s="100">
        <v>2931</v>
      </c>
      <c r="D42" s="102">
        <v>59.2</v>
      </c>
      <c r="E42" s="100">
        <v>2877</v>
      </c>
      <c r="F42" s="102">
        <v>60.5</v>
      </c>
      <c r="G42" s="100">
        <v>2775</v>
      </c>
      <c r="H42" s="101">
        <v>69.099999999999994</v>
      </c>
      <c r="I42" s="134">
        <v>2790</v>
      </c>
      <c r="J42" s="135">
        <v>65.2</v>
      </c>
      <c r="K42" s="134">
        <v>2664</v>
      </c>
      <c r="L42" s="135">
        <v>69</v>
      </c>
      <c r="M42" s="96"/>
      <c r="N42" s="100">
        <v>2942</v>
      </c>
      <c r="O42" s="102">
        <v>50.5</v>
      </c>
      <c r="P42" s="100">
        <v>2886</v>
      </c>
      <c r="Q42" s="102">
        <v>55.1</v>
      </c>
      <c r="R42" s="100">
        <v>2780</v>
      </c>
      <c r="S42" s="101">
        <v>57.8</v>
      </c>
      <c r="T42" s="134">
        <v>2788</v>
      </c>
      <c r="U42" s="135">
        <v>65.5</v>
      </c>
      <c r="V42" s="134">
        <v>2671</v>
      </c>
      <c r="W42" s="135">
        <v>67.099999999999994</v>
      </c>
      <c r="X42" s="136"/>
      <c r="Y42" s="136"/>
      <c r="Z42" s="136"/>
      <c r="AA42" s="136"/>
    </row>
    <row r="43" spans="1:27" ht="11.25" customHeight="1" x14ac:dyDescent="0.2">
      <c r="A43" s="125" t="s">
        <v>80</v>
      </c>
      <c r="B43" s="142" t="s">
        <v>81</v>
      </c>
      <c r="C43" s="100">
        <v>2835</v>
      </c>
      <c r="D43" s="102">
        <v>74.099999999999994</v>
      </c>
      <c r="E43" s="100">
        <v>2818</v>
      </c>
      <c r="F43" s="102">
        <v>78.400000000000006</v>
      </c>
      <c r="G43" s="100">
        <v>2753</v>
      </c>
      <c r="H43" s="101">
        <v>78.5</v>
      </c>
      <c r="I43" s="134">
        <v>2852</v>
      </c>
      <c r="J43" s="135">
        <v>75.900000000000006</v>
      </c>
      <c r="K43" s="134">
        <v>2852</v>
      </c>
      <c r="L43" s="135">
        <v>74.5</v>
      </c>
      <c r="M43" s="96"/>
      <c r="N43" s="100">
        <v>2834</v>
      </c>
      <c r="O43" s="102">
        <v>67.400000000000006</v>
      </c>
      <c r="P43" s="100">
        <v>2817</v>
      </c>
      <c r="Q43" s="102">
        <v>72.5</v>
      </c>
      <c r="R43" s="100">
        <v>2743</v>
      </c>
      <c r="S43" s="101">
        <v>74.599999999999994</v>
      </c>
      <c r="T43" s="134">
        <v>2853</v>
      </c>
      <c r="U43" s="135">
        <v>79.099999999999994</v>
      </c>
      <c r="V43" s="134">
        <v>2850</v>
      </c>
      <c r="W43" s="135">
        <v>79.7</v>
      </c>
      <c r="X43" s="136"/>
      <c r="Y43" s="136"/>
      <c r="Z43" s="136"/>
      <c r="AA43" s="136"/>
    </row>
    <row r="44" spans="1:27" ht="11.25" customHeight="1" x14ac:dyDescent="0.2">
      <c r="A44" s="125" t="s">
        <v>82</v>
      </c>
      <c r="B44" s="142" t="s">
        <v>83</v>
      </c>
      <c r="C44" s="100">
        <v>2532</v>
      </c>
      <c r="D44" s="102">
        <v>71.3</v>
      </c>
      <c r="E44" s="100">
        <v>2492</v>
      </c>
      <c r="F44" s="102">
        <v>73.7</v>
      </c>
      <c r="G44" s="100">
        <v>2427</v>
      </c>
      <c r="H44" s="101">
        <v>73.599999999999994</v>
      </c>
      <c r="I44" s="134">
        <v>2369</v>
      </c>
      <c r="J44" s="135">
        <v>71.7</v>
      </c>
      <c r="K44" s="134">
        <v>2412</v>
      </c>
      <c r="L44" s="135">
        <v>76.7</v>
      </c>
      <c r="M44" s="96"/>
      <c r="N44" s="100">
        <v>2538</v>
      </c>
      <c r="O44" s="102">
        <v>62.7</v>
      </c>
      <c r="P44" s="100">
        <v>2501</v>
      </c>
      <c r="Q44" s="102">
        <v>64.2</v>
      </c>
      <c r="R44" s="100">
        <v>2431</v>
      </c>
      <c r="S44" s="101">
        <v>68.2</v>
      </c>
      <c r="T44" s="134">
        <v>2372</v>
      </c>
      <c r="U44" s="135">
        <v>72.3</v>
      </c>
      <c r="V44" s="134">
        <v>2410</v>
      </c>
      <c r="W44" s="135">
        <v>71</v>
      </c>
      <c r="X44" s="136"/>
      <c r="Y44" s="136"/>
      <c r="Z44" s="136"/>
      <c r="AA44" s="136"/>
    </row>
    <row r="45" spans="1:27" ht="11.25" customHeight="1" x14ac:dyDescent="0.2">
      <c r="A45" s="125" t="s">
        <v>84</v>
      </c>
      <c r="B45" s="142" t="s">
        <v>85</v>
      </c>
      <c r="C45" s="100">
        <v>3881</v>
      </c>
      <c r="D45" s="102">
        <v>63.8</v>
      </c>
      <c r="E45" s="100">
        <v>3820</v>
      </c>
      <c r="F45" s="102">
        <v>70.5</v>
      </c>
      <c r="G45" s="100">
        <v>3720</v>
      </c>
      <c r="H45" s="101">
        <v>71.3</v>
      </c>
      <c r="I45" s="134">
        <v>3630</v>
      </c>
      <c r="J45" s="135">
        <v>71.7</v>
      </c>
      <c r="K45" s="134">
        <v>3719</v>
      </c>
      <c r="L45" s="135">
        <v>73.7</v>
      </c>
      <c r="M45" s="96"/>
      <c r="N45" s="100">
        <v>3888</v>
      </c>
      <c r="O45" s="102">
        <v>52.3</v>
      </c>
      <c r="P45" s="100">
        <v>3813</v>
      </c>
      <c r="Q45" s="102">
        <v>59.2</v>
      </c>
      <c r="R45" s="100">
        <v>3717</v>
      </c>
      <c r="S45" s="101">
        <v>60.9</v>
      </c>
      <c r="T45" s="134">
        <v>3633</v>
      </c>
      <c r="U45" s="135">
        <v>70.2</v>
      </c>
      <c r="V45" s="134">
        <v>3722</v>
      </c>
      <c r="W45" s="135">
        <v>70.900000000000006</v>
      </c>
      <c r="X45" s="136"/>
      <c r="Y45" s="136"/>
      <c r="Z45" s="136"/>
      <c r="AA45" s="136"/>
    </row>
    <row r="46" spans="1:27" ht="11.25" customHeight="1" x14ac:dyDescent="0.2">
      <c r="A46" s="125" t="s">
        <v>86</v>
      </c>
      <c r="B46" s="142" t="s">
        <v>87</v>
      </c>
      <c r="C46" s="100">
        <v>3945</v>
      </c>
      <c r="D46" s="102">
        <v>65.400000000000006</v>
      </c>
      <c r="E46" s="100">
        <v>3953</v>
      </c>
      <c r="F46" s="102">
        <v>72.099999999999994</v>
      </c>
      <c r="G46" s="100">
        <v>3815</v>
      </c>
      <c r="H46" s="101">
        <v>73.5</v>
      </c>
      <c r="I46" s="134">
        <v>3740</v>
      </c>
      <c r="J46" s="135">
        <v>72</v>
      </c>
      <c r="K46" s="134">
        <v>3687</v>
      </c>
      <c r="L46" s="135">
        <v>72.900000000000006</v>
      </c>
      <c r="M46" s="96"/>
      <c r="N46" s="100">
        <v>3943</v>
      </c>
      <c r="O46" s="102">
        <v>58.4</v>
      </c>
      <c r="P46" s="100">
        <v>3952</v>
      </c>
      <c r="Q46" s="102">
        <v>63.5</v>
      </c>
      <c r="R46" s="100">
        <v>3813</v>
      </c>
      <c r="S46" s="101">
        <v>67.3</v>
      </c>
      <c r="T46" s="134">
        <v>3742</v>
      </c>
      <c r="U46" s="135">
        <v>73.7</v>
      </c>
      <c r="V46" s="134">
        <v>3687</v>
      </c>
      <c r="W46" s="135">
        <v>73.7</v>
      </c>
      <c r="X46" s="136"/>
      <c r="Y46" s="136"/>
      <c r="Z46" s="136"/>
      <c r="AA46" s="136"/>
    </row>
    <row r="47" spans="1:27" ht="11.25" customHeight="1" x14ac:dyDescent="0.2">
      <c r="A47" s="3"/>
      <c r="B47" s="142"/>
      <c r="C47" s="100"/>
      <c r="D47" s="114"/>
      <c r="E47" s="100"/>
      <c r="F47" s="114"/>
      <c r="G47" s="100"/>
      <c r="H47" s="101"/>
      <c r="M47" s="96"/>
      <c r="N47" s="100"/>
      <c r="O47" s="102"/>
      <c r="P47" s="100"/>
      <c r="Q47" s="102"/>
      <c r="R47" s="100"/>
      <c r="S47" s="101"/>
      <c r="V47" s="149"/>
      <c r="W47" s="149"/>
      <c r="X47" s="136"/>
      <c r="Y47" s="136"/>
      <c r="Z47" s="136"/>
      <c r="AA47" s="136"/>
    </row>
    <row r="48" spans="1:27" s="98" customFormat="1" ht="11.25" customHeight="1" x14ac:dyDescent="0.2">
      <c r="A48" s="16" t="s">
        <v>382</v>
      </c>
      <c r="B48" s="92" t="s">
        <v>88</v>
      </c>
      <c r="C48" s="93">
        <v>59496</v>
      </c>
      <c r="D48" s="97">
        <v>61.4</v>
      </c>
      <c r="E48" s="93">
        <v>58914</v>
      </c>
      <c r="F48" s="97">
        <v>65.8</v>
      </c>
      <c r="G48" s="93">
        <v>56846</v>
      </c>
      <c r="H48" s="95">
        <v>68.599999999999994</v>
      </c>
      <c r="I48" s="93">
        <v>56748</v>
      </c>
      <c r="J48" s="95">
        <v>66.099999999999994</v>
      </c>
      <c r="K48" s="93">
        <v>56962</v>
      </c>
      <c r="L48" s="95">
        <v>68.900000000000006</v>
      </c>
      <c r="M48" s="96"/>
      <c r="N48" s="93">
        <v>59603</v>
      </c>
      <c r="O48" s="97">
        <v>52.2</v>
      </c>
      <c r="P48" s="93">
        <v>59027</v>
      </c>
      <c r="Q48" s="97">
        <v>57</v>
      </c>
      <c r="R48" s="93">
        <v>57016</v>
      </c>
      <c r="S48" s="95">
        <v>59</v>
      </c>
      <c r="T48" s="93">
        <v>56814</v>
      </c>
      <c r="U48" s="95">
        <v>65.3</v>
      </c>
      <c r="V48" s="93">
        <v>57090</v>
      </c>
      <c r="W48" s="95">
        <v>67.900000000000006</v>
      </c>
      <c r="X48" s="136"/>
      <c r="Y48" s="136"/>
      <c r="Z48" s="136"/>
      <c r="AA48" s="136"/>
    </row>
    <row r="49" spans="1:27" ht="11.25" customHeight="1" x14ac:dyDescent="0.2">
      <c r="A49" s="125" t="s">
        <v>89</v>
      </c>
      <c r="B49" s="142" t="s">
        <v>90</v>
      </c>
      <c r="C49" s="100">
        <v>2615</v>
      </c>
      <c r="D49" s="102">
        <v>59.5</v>
      </c>
      <c r="E49" s="100">
        <v>2540</v>
      </c>
      <c r="F49" s="102">
        <v>58.8</v>
      </c>
      <c r="G49" s="100">
        <v>2507</v>
      </c>
      <c r="H49" s="101">
        <v>60.5</v>
      </c>
      <c r="I49" s="134">
        <v>2530</v>
      </c>
      <c r="J49" s="135">
        <v>56</v>
      </c>
      <c r="K49" s="134">
        <v>2513</v>
      </c>
      <c r="L49" s="135">
        <v>59.1</v>
      </c>
      <c r="M49" s="96"/>
      <c r="N49" s="100">
        <v>2613</v>
      </c>
      <c r="O49" s="102">
        <v>39</v>
      </c>
      <c r="P49" s="100">
        <v>2544</v>
      </c>
      <c r="Q49" s="102">
        <v>42.5</v>
      </c>
      <c r="R49" s="100">
        <v>2525</v>
      </c>
      <c r="S49" s="101">
        <v>43.6</v>
      </c>
      <c r="T49" s="134">
        <v>2539</v>
      </c>
      <c r="U49" s="135">
        <v>50.2</v>
      </c>
      <c r="V49" s="134">
        <v>2516</v>
      </c>
      <c r="W49" s="135">
        <v>53.6</v>
      </c>
      <c r="X49" s="136"/>
      <c r="Y49" s="136"/>
      <c r="Z49" s="136"/>
      <c r="AA49" s="136"/>
    </row>
    <row r="50" spans="1:27" ht="11.25" customHeight="1" x14ac:dyDescent="0.2">
      <c r="A50" s="125" t="s">
        <v>91</v>
      </c>
      <c r="B50" s="142" t="s">
        <v>92</v>
      </c>
      <c r="C50" s="100">
        <v>5705</v>
      </c>
      <c r="D50" s="102">
        <v>58.1</v>
      </c>
      <c r="E50" s="100">
        <v>5650</v>
      </c>
      <c r="F50" s="102">
        <v>62</v>
      </c>
      <c r="G50" s="100">
        <v>5361</v>
      </c>
      <c r="H50" s="101">
        <v>66.2</v>
      </c>
      <c r="I50" s="134">
        <v>5353</v>
      </c>
      <c r="J50" s="135">
        <v>66.099999999999994</v>
      </c>
      <c r="K50" s="134">
        <v>5420</v>
      </c>
      <c r="L50" s="135">
        <v>66.5</v>
      </c>
      <c r="M50" s="96"/>
      <c r="N50" s="100">
        <v>5710</v>
      </c>
      <c r="O50" s="102">
        <v>48.9</v>
      </c>
      <c r="P50" s="100">
        <v>5661</v>
      </c>
      <c r="Q50" s="102">
        <v>53</v>
      </c>
      <c r="R50" s="100">
        <v>5379</v>
      </c>
      <c r="S50" s="101">
        <v>55.9</v>
      </c>
      <c r="T50" s="134">
        <v>5374</v>
      </c>
      <c r="U50" s="135">
        <v>61.7</v>
      </c>
      <c r="V50" s="134">
        <v>5460</v>
      </c>
      <c r="W50" s="135">
        <v>64.400000000000006</v>
      </c>
      <c r="X50" s="136"/>
      <c r="Y50" s="136"/>
      <c r="Z50" s="136"/>
      <c r="AA50" s="136"/>
    </row>
    <row r="51" spans="1:27" ht="11.25" customHeight="1" x14ac:dyDescent="0.2">
      <c r="A51" s="125" t="s">
        <v>93</v>
      </c>
      <c r="B51" s="142" t="s">
        <v>94</v>
      </c>
      <c r="C51" s="100">
        <v>2594</v>
      </c>
      <c r="D51" s="102">
        <v>63.3</v>
      </c>
      <c r="E51" s="100">
        <v>2581</v>
      </c>
      <c r="F51" s="102">
        <v>69</v>
      </c>
      <c r="G51" s="100">
        <v>2543</v>
      </c>
      <c r="H51" s="101">
        <v>70.8</v>
      </c>
      <c r="I51" s="134">
        <v>2578</v>
      </c>
      <c r="J51" s="135">
        <v>68.099999999999994</v>
      </c>
      <c r="K51" s="134">
        <v>2565</v>
      </c>
      <c r="L51" s="135">
        <v>72.599999999999994</v>
      </c>
      <c r="M51" s="96"/>
      <c r="N51" s="100">
        <v>2592</v>
      </c>
      <c r="O51" s="102">
        <v>54.7</v>
      </c>
      <c r="P51" s="100">
        <v>2585</v>
      </c>
      <c r="Q51" s="102">
        <v>58.5</v>
      </c>
      <c r="R51" s="100">
        <v>2552</v>
      </c>
      <c r="S51" s="101">
        <v>61.1</v>
      </c>
      <c r="T51" s="134">
        <v>2575</v>
      </c>
      <c r="U51" s="135">
        <v>67.099999999999994</v>
      </c>
      <c r="V51" s="134">
        <v>2565</v>
      </c>
      <c r="W51" s="135">
        <v>71.3</v>
      </c>
      <c r="X51" s="136"/>
      <c r="Y51" s="136"/>
      <c r="Z51" s="136"/>
      <c r="AA51" s="136"/>
    </row>
    <row r="52" spans="1:27" ht="11.25" customHeight="1" x14ac:dyDescent="0.2">
      <c r="A52" s="125" t="s">
        <v>95</v>
      </c>
      <c r="B52" s="142" t="s">
        <v>96</v>
      </c>
      <c r="C52" s="100">
        <v>3623</v>
      </c>
      <c r="D52" s="102">
        <v>54.1</v>
      </c>
      <c r="E52" s="100">
        <v>3510</v>
      </c>
      <c r="F52" s="102">
        <v>61.9</v>
      </c>
      <c r="G52" s="100">
        <v>3446</v>
      </c>
      <c r="H52" s="101">
        <v>65.099999999999994</v>
      </c>
      <c r="I52" s="134">
        <v>3353</v>
      </c>
      <c r="J52" s="135">
        <v>60.2</v>
      </c>
      <c r="K52" s="134">
        <v>3379</v>
      </c>
      <c r="L52" s="135">
        <v>65.8</v>
      </c>
      <c r="M52" s="96"/>
      <c r="N52" s="100">
        <v>3623</v>
      </c>
      <c r="O52" s="102">
        <v>43.8</v>
      </c>
      <c r="P52" s="100">
        <v>3515</v>
      </c>
      <c r="Q52" s="102">
        <v>52.5</v>
      </c>
      <c r="R52" s="100">
        <v>3456</v>
      </c>
      <c r="S52" s="101">
        <v>54.3</v>
      </c>
      <c r="T52" s="134">
        <v>3352</v>
      </c>
      <c r="U52" s="135">
        <v>61.3</v>
      </c>
      <c r="V52" s="134">
        <v>3386</v>
      </c>
      <c r="W52" s="135">
        <v>62.4</v>
      </c>
      <c r="X52" s="136"/>
      <c r="Y52" s="136"/>
      <c r="Z52" s="136"/>
      <c r="AA52" s="136"/>
    </row>
    <row r="53" spans="1:27" ht="11.25" customHeight="1" x14ac:dyDescent="0.2">
      <c r="A53" s="125" t="s">
        <v>97</v>
      </c>
      <c r="B53" s="142" t="s">
        <v>98</v>
      </c>
      <c r="C53" s="100">
        <v>3971</v>
      </c>
      <c r="D53" s="102">
        <v>67</v>
      </c>
      <c r="E53" s="100">
        <v>3915</v>
      </c>
      <c r="F53" s="102">
        <v>71.3</v>
      </c>
      <c r="G53" s="100">
        <v>3867</v>
      </c>
      <c r="H53" s="101">
        <v>69.3</v>
      </c>
      <c r="I53" s="134">
        <v>3710</v>
      </c>
      <c r="J53" s="135">
        <v>63.4</v>
      </c>
      <c r="K53" s="134">
        <v>3832</v>
      </c>
      <c r="L53" s="135">
        <v>68.8</v>
      </c>
      <c r="M53" s="96"/>
      <c r="N53" s="100">
        <v>3972</v>
      </c>
      <c r="O53" s="102">
        <v>58.2</v>
      </c>
      <c r="P53" s="100">
        <v>3922</v>
      </c>
      <c r="Q53" s="102">
        <v>63.3</v>
      </c>
      <c r="R53" s="100">
        <v>3867</v>
      </c>
      <c r="S53" s="101">
        <v>62.5</v>
      </c>
      <c r="T53" s="134">
        <v>3716</v>
      </c>
      <c r="U53" s="135">
        <v>66</v>
      </c>
      <c r="V53" s="134">
        <v>3836</v>
      </c>
      <c r="W53" s="135">
        <v>70.3</v>
      </c>
      <c r="X53" s="136"/>
      <c r="Y53" s="136"/>
      <c r="Z53" s="136"/>
      <c r="AA53" s="136"/>
    </row>
    <row r="54" spans="1:27" ht="11.25" customHeight="1" x14ac:dyDescent="0.2">
      <c r="A54" s="125" t="s">
        <v>99</v>
      </c>
      <c r="B54" s="142" t="s">
        <v>100</v>
      </c>
      <c r="C54" s="100">
        <v>2839</v>
      </c>
      <c r="D54" s="102">
        <v>50.1</v>
      </c>
      <c r="E54" s="100">
        <v>2735</v>
      </c>
      <c r="F54" s="102">
        <v>58.9</v>
      </c>
      <c r="G54" s="100">
        <v>2450</v>
      </c>
      <c r="H54" s="101">
        <v>60.8</v>
      </c>
      <c r="I54" s="134">
        <v>2487</v>
      </c>
      <c r="J54" s="135">
        <v>57.5</v>
      </c>
      <c r="K54" s="134">
        <v>2381</v>
      </c>
      <c r="L54" s="135">
        <v>62.5</v>
      </c>
      <c r="M54" s="96"/>
      <c r="N54" s="100">
        <v>2853</v>
      </c>
      <c r="O54" s="102">
        <v>36.9</v>
      </c>
      <c r="P54" s="100">
        <v>2743</v>
      </c>
      <c r="Q54" s="102">
        <v>42.8</v>
      </c>
      <c r="R54" s="100">
        <v>2478</v>
      </c>
      <c r="S54" s="101">
        <v>46.8</v>
      </c>
      <c r="T54" s="134">
        <v>2496</v>
      </c>
      <c r="U54" s="135">
        <v>53.8</v>
      </c>
      <c r="V54" s="134">
        <v>2389</v>
      </c>
      <c r="W54" s="135">
        <v>58.3</v>
      </c>
      <c r="X54" s="136"/>
      <c r="Y54" s="136"/>
      <c r="Z54" s="136"/>
      <c r="AA54" s="136"/>
    </row>
    <row r="55" spans="1:27" ht="11.25" customHeight="1" x14ac:dyDescent="0.2">
      <c r="A55" s="125" t="s">
        <v>101</v>
      </c>
      <c r="B55" s="142" t="s">
        <v>102</v>
      </c>
      <c r="C55" s="100">
        <v>4597</v>
      </c>
      <c r="D55" s="102">
        <v>64.3</v>
      </c>
      <c r="E55" s="100">
        <v>4509</v>
      </c>
      <c r="F55" s="102">
        <v>66.900000000000006</v>
      </c>
      <c r="G55" s="100">
        <v>4455</v>
      </c>
      <c r="H55" s="101">
        <v>74.3</v>
      </c>
      <c r="I55" s="134">
        <v>4547</v>
      </c>
      <c r="J55" s="135">
        <v>73.2</v>
      </c>
      <c r="K55" s="134">
        <v>4548</v>
      </c>
      <c r="L55" s="135">
        <v>72.400000000000006</v>
      </c>
      <c r="M55" s="96"/>
      <c r="N55" s="100">
        <v>4602</v>
      </c>
      <c r="O55" s="102">
        <v>53.7</v>
      </c>
      <c r="P55" s="100">
        <v>4518</v>
      </c>
      <c r="Q55" s="102">
        <v>60.4</v>
      </c>
      <c r="R55" s="100">
        <v>4472</v>
      </c>
      <c r="S55" s="101">
        <v>62.3</v>
      </c>
      <c r="T55" s="134">
        <v>4563</v>
      </c>
      <c r="U55" s="135">
        <v>69.5</v>
      </c>
      <c r="V55" s="134">
        <v>4559</v>
      </c>
      <c r="W55" s="135">
        <v>70.8</v>
      </c>
      <c r="X55" s="136"/>
      <c r="Y55" s="136"/>
      <c r="Z55" s="136"/>
      <c r="AA55" s="136"/>
    </row>
    <row r="56" spans="1:27" ht="11.25" customHeight="1" x14ac:dyDescent="0.2">
      <c r="A56" s="125" t="s">
        <v>103</v>
      </c>
      <c r="B56" s="142" t="s">
        <v>104</v>
      </c>
      <c r="C56" s="100">
        <v>8008</v>
      </c>
      <c r="D56" s="102">
        <v>57.8</v>
      </c>
      <c r="E56" s="100">
        <v>7943</v>
      </c>
      <c r="F56" s="102">
        <v>62.2</v>
      </c>
      <c r="G56" s="100">
        <v>7468</v>
      </c>
      <c r="H56" s="101">
        <v>65.7</v>
      </c>
      <c r="I56" s="134">
        <v>7500</v>
      </c>
      <c r="J56" s="135">
        <v>62.4</v>
      </c>
      <c r="K56" s="134">
        <v>7611</v>
      </c>
      <c r="L56" s="135">
        <v>64.400000000000006</v>
      </c>
      <c r="M56" s="96"/>
      <c r="N56" s="100">
        <v>8022</v>
      </c>
      <c r="O56" s="102">
        <v>50.9</v>
      </c>
      <c r="P56" s="100">
        <v>7971</v>
      </c>
      <c r="Q56" s="102">
        <v>56</v>
      </c>
      <c r="R56" s="100">
        <v>7493</v>
      </c>
      <c r="S56" s="101">
        <v>59.4</v>
      </c>
      <c r="T56" s="134">
        <v>7498</v>
      </c>
      <c r="U56" s="135">
        <v>66.3</v>
      </c>
      <c r="V56" s="134">
        <v>7634</v>
      </c>
      <c r="W56" s="135">
        <v>66.900000000000006</v>
      </c>
      <c r="X56" s="136"/>
      <c r="Y56" s="136"/>
      <c r="Z56" s="136"/>
      <c r="AA56" s="136"/>
    </row>
    <row r="57" spans="1:27" ht="11.25" customHeight="1" x14ac:dyDescent="0.2">
      <c r="A57" s="125" t="s">
        <v>105</v>
      </c>
      <c r="B57" s="142" t="s">
        <v>106</v>
      </c>
      <c r="C57" s="100">
        <v>1925</v>
      </c>
      <c r="D57" s="102">
        <v>59.2</v>
      </c>
      <c r="E57" s="100">
        <v>1963</v>
      </c>
      <c r="F57" s="102">
        <v>66.099999999999994</v>
      </c>
      <c r="G57" s="100">
        <v>1814</v>
      </c>
      <c r="H57" s="101">
        <v>66.900000000000006</v>
      </c>
      <c r="I57" s="134">
        <v>1835</v>
      </c>
      <c r="J57" s="135">
        <v>64.900000000000006</v>
      </c>
      <c r="K57" s="134">
        <v>1824</v>
      </c>
      <c r="L57" s="135">
        <v>64.599999999999994</v>
      </c>
      <c r="M57" s="96"/>
      <c r="N57" s="100">
        <v>1930</v>
      </c>
      <c r="O57" s="102">
        <v>51.8</v>
      </c>
      <c r="P57" s="100">
        <v>1970</v>
      </c>
      <c r="Q57" s="102">
        <v>56.3</v>
      </c>
      <c r="R57" s="100">
        <v>1825</v>
      </c>
      <c r="S57" s="101">
        <v>59.5</v>
      </c>
      <c r="T57" s="134">
        <v>1825</v>
      </c>
      <c r="U57" s="135">
        <v>64.900000000000006</v>
      </c>
      <c r="V57" s="134">
        <v>1825</v>
      </c>
      <c r="W57" s="135">
        <v>66.2</v>
      </c>
      <c r="X57" s="136"/>
      <c r="Y57" s="136"/>
      <c r="Z57" s="136"/>
      <c r="AA57" s="136"/>
    </row>
    <row r="58" spans="1:27" ht="11.25" customHeight="1" x14ac:dyDescent="0.2">
      <c r="A58" s="125" t="s">
        <v>107</v>
      </c>
      <c r="B58" s="142" t="s">
        <v>108</v>
      </c>
      <c r="C58" s="100">
        <v>1986</v>
      </c>
      <c r="D58" s="102">
        <v>59</v>
      </c>
      <c r="E58" s="100">
        <v>1986</v>
      </c>
      <c r="F58" s="102">
        <v>62.5</v>
      </c>
      <c r="G58" s="100">
        <v>1973</v>
      </c>
      <c r="H58" s="101">
        <v>65.400000000000006</v>
      </c>
      <c r="I58" s="134">
        <v>1911</v>
      </c>
      <c r="J58" s="135">
        <v>62.3</v>
      </c>
      <c r="K58" s="134">
        <v>1879</v>
      </c>
      <c r="L58" s="135">
        <v>64.8</v>
      </c>
      <c r="M58" s="96"/>
      <c r="N58" s="100">
        <v>1986</v>
      </c>
      <c r="O58" s="102">
        <v>51.2</v>
      </c>
      <c r="P58" s="100">
        <v>1984</v>
      </c>
      <c r="Q58" s="102">
        <v>56.4</v>
      </c>
      <c r="R58" s="100">
        <v>1978</v>
      </c>
      <c r="S58" s="101">
        <v>55.9</v>
      </c>
      <c r="T58" s="134">
        <v>1913</v>
      </c>
      <c r="U58" s="135">
        <v>66.099999999999994</v>
      </c>
      <c r="V58" s="134">
        <v>1883</v>
      </c>
      <c r="W58" s="135">
        <v>70.900000000000006</v>
      </c>
      <c r="X58" s="136"/>
      <c r="Y58" s="136"/>
      <c r="Z58" s="136"/>
      <c r="AA58" s="136"/>
    </row>
    <row r="59" spans="1:27" ht="11.25" customHeight="1" x14ac:dyDescent="0.2">
      <c r="A59" s="125" t="s">
        <v>109</v>
      </c>
      <c r="B59" s="142" t="s">
        <v>110</v>
      </c>
      <c r="C59" s="100">
        <v>6851</v>
      </c>
      <c r="D59" s="102">
        <v>70.599999999999994</v>
      </c>
      <c r="E59" s="100">
        <v>6818</v>
      </c>
      <c r="F59" s="102">
        <v>72.400000000000006</v>
      </c>
      <c r="G59" s="100">
        <v>6592</v>
      </c>
      <c r="H59" s="101">
        <v>74.900000000000006</v>
      </c>
      <c r="I59" s="134">
        <v>6659</v>
      </c>
      <c r="J59" s="135">
        <v>70.099999999999994</v>
      </c>
      <c r="K59" s="134">
        <v>6643</v>
      </c>
      <c r="L59" s="135">
        <v>71</v>
      </c>
      <c r="M59" s="96"/>
      <c r="N59" s="100">
        <v>6858</v>
      </c>
      <c r="O59" s="102">
        <v>64.3</v>
      </c>
      <c r="P59" s="100">
        <v>6828</v>
      </c>
      <c r="Q59" s="102">
        <v>67.400000000000006</v>
      </c>
      <c r="R59" s="100">
        <v>6585</v>
      </c>
      <c r="S59" s="101">
        <v>69.2</v>
      </c>
      <c r="T59" s="134">
        <v>6668</v>
      </c>
      <c r="U59" s="135">
        <v>73.400000000000006</v>
      </c>
      <c r="V59" s="134">
        <v>6625</v>
      </c>
      <c r="W59" s="135">
        <v>75.400000000000006</v>
      </c>
      <c r="X59" s="136"/>
      <c r="Y59" s="136"/>
      <c r="Z59" s="136"/>
      <c r="AA59" s="136"/>
    </row>
    <row r="60" spans="1:27" ht="11.25" customHeight="1" x14ac:dyDescent="0.2">
      <c r="A60" s="125" t="s">
        <v>111</v>
      </c>
      <c r="B60" s="142" t="s">
        <v>112</v>
      </c>
      <c r="C60" s="100">
        <v>3625</v>
      </c>
      <c r="D60" s="102">
        <v>62.3</v>
      </c>
      <c r="E60" s="100">
        <v>3593</v>
      </c>
      <c r="F60" s="102">
        <v>65.8</v>
      </c>
      <c r="G60" s="100">
        <v>3441</v>
      </c>
      <c r="H60" s="101">
        <v>71.900000000000006</v>
      </c>
      <c r="I60" s="134">
        <v>3452</v>
      </c>
      <c r="J60" s="135">
        <v>71.8</v>
      </c>
      <c r="K60" s="134">
        <v>3441</v>
      </c>
      <c r="L60" s="135">
        <v>75.5</v>
      </c>
      <c r="M60" s="96"/>
      <c r="N60" s="100">
        <v>3633</v>
      </c>
      <c r="O60" s="102">
        <v>51.6</v>
      </c>
      <c r="P60" s="100">
        <v>3590</v>
      </c>
      <c r="Q60" s="102">
        <v>55.1</v>
      </c>
      <c r="R60" s="100">
        <v>3447</v>
      </c>
      <c r="S60" s="101">
        <v>60</v>
      </c>
      <c r="T60" s="134">
        <v>3454</v>
      </c>
      <c r="U60" s="135">
        <v>65.8</v>
      </c>
      <c r="V60" s="134">
        <v>3439</v>
      </c>
      <c r="W60" s="135">
        <v>70.400000000000006</v>
      </c>
      <c r="X60" s="136"/>
      <c r="Y60" s="136"/>
      <c r="Z60" s="136"/>
      <c r="AA60" s="136"/>
    </row>
    <row r="61" spans="1:27" ht="11.25" customHeight="1" x14ac:dyDescent="0.2">
      <c r="A61" s="125" t="s">
        <v>113</v>
      </c>
      <c r="B61" s="142" t="s">
        <v>114</v>
      </c>
      <c r="C61" s="100">
        <v>5598</v>
      </c>
      <c r="D61" s="102">
        <v>59.2</v>
      </c>
      <c r="E61" s="100">
        <v>5494</v>
      </c>
      <c r="F61" s="102">
        <v>64.599999999999994</v>
      </c>
      <c r="G61" s="100">
        <v>5321</v>
      </c>
      <c r="H61" s="101">
        <v>65</v>
      </c>
      <c r="I61" s="134">
        <v>5270</v>
      </c>
      <c r="J61" s="135">
        <v>67.2</v>
      </c>
      <c r="K61" s="134">
        <v>5395</v>
      </c>
      <c r="L61" s="135">
        <v>70.7</v>
      </c>
      <c r="M61" s="96"/>
      <c r="N61" s="100">
        <v>5623</v>
      </c>
      <c r="O61" s="102">
        <v>52.5</v>
      </c>
      <c r="P61" s="100">
        <v>5515</v>
      </c>
      <c r="Q61" s="102">
        <v>58.6</v>
      </c>
      <c r="R61" s="100">
        <v>5336</v>
      </c>
      <c r="S61" s="101">
        <v>57.6</v>
      </c>
      <c r="T61" s="134">
        <v>5279</v>
      </c>
      <c r="U61" s="135">
        <v>65</v>
      </c>
      <c r="V61" s="134">
        <v>5426</v>
      </c>
      <c r="W61" s="135">
        <v>66.599999999999994</v>
      </c>
      <c r="X61" s="136"/>
      <c r="Y61" s="136"/>
      <c r="Z61" s="136"/>
      <c r="AA61" s="136"/>
    </row>
    <row r="62" spans="1:27" ht="11.25" customHeight="1" x14ac:dyDescent="0.2">
      <c r="A62" s="125" t="s">
        <v>115</v>
      </c>
      <c r="B62" s="142" t="s">
        <v>116</v>
      </c>
      <c r="C62" s="100">
        <v>3870</v>
      </c>
      <c r="D62" s="102">
        <v>64.900000000000006</v>
      </c>
      <c r="E62" s="100">
        <v>3946</v>
      </c>
      <c r="F62" s="102">
        <v>71.599999999999994</v>
      </c>
      <c r="G62" s="100">
        <v>3887</v>
      </c>
      <c r="H62" s="101">
        <v>73</v>
      </c>
      <c r="I62" s="134">
        <v>3892</v>
      </c>
      <c r="J62" s="135">
        <v>70.400000000000006</v>
      </c>
      <c r="K62" s="134">
        <v>3832</v>
      </c>
      <c r="L62" s="135">
        <v>76.900000000000006</v>
      </c>
      <c r="M62" s="96"/>
      <c r="N62" s="100">
        <v>3902</v>
      </c>
      <c r="O62" s="102">
        <v>52.2</v>
      </c>
      <c r="P62" s="100">
        <v>3950</v>
      </c>
      <c r="Q62" s="102">
        <v>55.4</v>
      </c>
      <c r="R62" s="100">
        <v>3898</v>
      </c>
      <c r="S62" s="101">
        <v>57.7</v>
      </c>
      <c r="T62" s="134">
        <v>3886</v>
      </c>
      <c r="U62" s="135">
        <v>64.5</v>
      </c>
      <c r="V62" s="134">
        <v>3849</v>
      </c>
      <c r="W62" s="135">
        <v>70.2</v>
      </c>
      <c r="X62" s="136"/>
      <c r="Y62" s="136"/>
      <c r="Z62" s="136"/>
      <c r="AA62" s="136"/>
    </row>
    <row r="63" spans="1:27" ht="11.25" customHeight="1" x14ac:dyDescent="0.2">
      <c r="A63" s="125" t="s">
        <v>117</v>
      </c>
      <c r="B63" s="142" t="s">
        <v>118</v>
      </c>
      <c r="C63" s="100">
        <v>1689</v>
      </c>
      <c r="D63" s="102">
        <v>69.8</v>
      </c>
      <c r="E63" s="100">
        <v>1731</v>
      </c>
      <c r="F63" s="102">
        <v>70.2</v>
      </c>
      <c r="G63" s="100">
        <v>1721</v>
      </c>
      <c r="H63" s="101">
        <v>75.7</v>
      </c>
      <c r="I63" s="134">
        <v>1671</v>
      </c>
      <c r="J63" s="135">
        <v>71</v>
      </c>
      <c r="K63" s="134">
        <v>1699</v>
      </c>
      <c r="L63" s="135">
        <v>76</v>
      </c>
      <c r="M63" s="96"/>
      <c r="N63" s="100">
        <v>1684</v>
      </c>
      <c r="O63" s="102">
        <v>63.7</v>
      </c>
      <c r="P63" s="100">
        <v>1731</v>
      </c>
      <c r="Q63" s="102">
        <v>64.900000000000006</v>
      </c>
      <c r="R63" s="100">
        <v>1725</v>
      </c>
      <c r="S63" s="101">
        <v>67.400000000000006</v>
      </c>
      <c r="T63" s="134">
        <v>1676</v>
      </c>
      <c r="U63" s="135">
        <v>73.599999999999994</v>
      </c>
      <c r="V63" s="134">
        <v>1698</v>
      </c>
      <c r="W63" s="135">
        <v>73.5</v>
      </c>
      <c r="X63" s="136"/>
      <c r="Y63" s="136"/>
      <c r="Z63" s="136"/>
      <c r="AA63" s="136"/>
    </row>
    <row r="64" spans="1:27" ht="11.25" customHeight="1" x14ac:dyDescent="0.2">
      <c r="A64" s="3"/>
      <c r="B64" s="142"/>
      <c r="C64" s="100"/>
      <c r="D64" s="102"/>
      <c r="E64" s="100"/>
      <c r="F64" s="102"/>
      <c r="G64" s="100"/>
      <c r="H64" s="101"/>
      <c r="M64" s="96"/>
      <c r="N64" s="100"/>
      <c r="P64" s="100"/>
      <c r="R64" s="100"/>
      <c r="S64" s="101"/>
      <c r="V64" s="149"/>
      <c r="W64" s="149"/>
      <c r="X64" s="136"/>
      <c r="Y64" s="136"/>
      <c r="Z64" s="136"/>
      <c r="AA64" s="136"/>
    </row>
    <row r="65" spans="1:27" s="98" customFormat="1" ht="11.25" customHeight="1" x14ac:dyDescent="0.2">
      <c r="A65" s="16" t="s">
        <v>385</v>
      </c>
      <c r="B65" s="92" t="s">
        <v>119</v>
      </c>
      <c r="C65" s="93">
        <v>50322</v>
      </c>
      <c r="D65" s="97">
        <v>64.599999999999994</v>
      </c>
      <c r="E65" s="93">
        <v>50641</v>
      </c>
      <c r="F65" s="97">
        <v>68.8</v>
      </c>
      <c r="G65" s="93">
        <v>48935</v>
      </c>
      <c r="H65" s="95">
        <v>71.5</v>
      </c>
      <c r="I65" s="93">
        <v>47740</v>
      </c>
      <c r="J65" s="95">
        <v>67.599999999999994</v>
      </c>
      <c r="K65" s="93">
        <v>48873</v>
      </c>
      <c r="L65" s="95">
        <v>68.5</v>
      </c>
      <c r="M65" s="96"/>
      <c r="N65" s="93">
        <v>50496</v>
      </c>
      <c r="O65" s="97">
        <v>56.1</v>
      </c>
      <c r="P65" s="93">
        <v>50718</v>
      </c>
      <c r="Q65" s="97">
        <v>59.9</v>
      </c>
      <c r="R65" s="93">
        <v>49031</v>
      </c>
      <c r="S65" s="95">
        <v>62.5</v>
      </c>
      <c r="T65" s="93">
        <v>47809</v>
      </c>
      <c r="U65" s="95">
        <v>65.7</v>
      </c>
      <c r="V65" s="93">
        <v>49032</v>
      </c>
      <c r="W65" s="95">
        <v>68.900000000000006</v>
      </c>
      <c r="X65" s="136"/>
      <c r="Y65" s="136"/>
      <c r="Z65" s="136"/>
      <c r="AA65" s="136"/>
    </row>
    <row r="66" spans="1:27" ht="11.25" customHeight="1" x14ac:dyDescent="0.2">
      <c r="A66" s="125" t="s">
        <v>120</v>
      </c>
      <c r="B66" s="142" t="s">
        <v>121</v>
      </c>
      <c r="C66" s="100">
        <v>2767</v>
      </c>
      <c r="D66" s="102">
        <v>62.4</v>
      </c>
      <c r="E66" s="100">
        <v>2810</v>
      </c>
      <c r="F66" s="102">
        <v>69.400000000000006</v>
      </c>
      <c r="G66" s="100">
        <v>2738</v>
      </c>
      <c r="H66" s="101">
        <v>71.8</v>
      </c>
      <c r="I66" s="134">
        <v>2600</v>
      </c>
      <c r="J66" s="135">
        <v>67.900000000000006</v>
      </c>
      <c r="K66" s="134">
        <v>2834</v>
      </c>
      <c r="L66" s="135">
        <v>66.8</v>
      </c>
      <c r="M66" s="96"/>
      <c r="N66" s="100">
        <v>2773</v>
      </c>
      <c r="O66" s="102">
        <v>53.9</v>
      </c>
      <c r="P66" s="100">
        <v>2817</v>
      </c>
      <c r="Q66" s="102">
        <v>63.2</v>
      </c>
      <c r="R66" s="100">
        <v>2732</v>
      </c>
      <c r="S66" s="101">
        <v>64</v>
      </c>
      <c r="T66" s="134">
        <v>2610</v>
      </c>
      <c r="U66" s="135">
        <v>65.8</v>
      </c>
      <c r="V66" s="134">
        <v>2852</v>
      </c>
      <c r="W66" s="135">
        <v>68.099999999999994</v>
      </c>
      <c r="X66" s="136"/>
      <c r="Y66" s="136"/>
      <c r="Z66" s="136"/>
      <c r="AA66" s="136"/>
    </row>
    <row r="67" spans="1:27" ht="11.25" customHeight="1" x14ac:dyDescent="0.2">
      <c r="A67" s="125" t="s">
        <v>122</v>
      </c>
      <c r="B67" s="142" t="s">
        <v>123</v>
      </c>
      <c r="C67" s="100">
        <v>8762</v>
      </c>
      <c r="D67" s="102">
        <v>63.8</v>
      </c>
      <c r="E67" s="100">
        <v>8697</v>
      </c>
      <c r="F67" s="102">
        <v>66.7</v>
      </c>
      <c r="G67" s="100">
        <v>8614</v>
      </c>
      <c r="H67" s="101">
        <v>68.900000000000006</v>
      </c>
      <c r="I67" s="134">
        <v>8203</v>
      </c>
      <c r="J67" s="135">
        <v>63.8</v>
      </c>
      <c r="K67" s="134">
        <v>8305</v>
      </c>
      <c r="L67" s="135">
        <v>65</v>
      </c>
      <c r="M67" s="96"/>
      <c r="N67" s="100">
        <v>8794</v>
      </c>
      <c r="O67" s="102">
        <v>56.6</v>
      </c>
      <c r="P67" s="100">
        <v>8690</v>
      </c>
      <c r="Q67" s="102">
        <v>59.5</v>
      </c>
      <c r="R67" s="100">
        <v>8621</v>
      </c>
      <c r="S67" s="101">
        <v>61.4</v>
      </c>
      <c r="T67" s="134">
        <v>8200</v>
      </c>
      <c r="U67" s="135">
        <v>65.5</v>
      </c>
      <c r="V67" s="134">
        <v>8300</v>
      </c>
      <c r="W67" s="135">
        <v>70</v>
      </c>
      <c r="X67" s="136"/>
      <c r="Y67" s="136"/>
      <c r="Z67" s="136"/>
      <c r="AA67" s="136"/>
    </row>
    <row r="68" spans="1:27" ht="11.25" customHeight="1" x14ac:dyDescent="0.2">
      <c r="A68" s="125" t="s">
        <v>124</v>
      </c>
      <c r="B68" s="142" t="s">
        <v>125</v>
      </c>
      <c r="C68" s="100">
        <v>3271</v>
      </c>
      <c r="D68" s="102">
        <v>64.400000000000006</v>
      </c>
      <c r="E68" s="100">
        <v>3355</v>
      </c>
      <c r="F68" s="102">
        <v>69.900000000000006</v>
      </c>
      <c r="G68" s="100">
        <v>3143</v>
      </c>
      <c r="H68" s="101">
        <v>74.7</v>
      </c>
      <c r="I68" s="134">
        <v>3142</v>
      </c>
      <c r="J68" s="135">
        <v>71.3</v>
      </c>
      <c r="K68" s="134">
        <v>3265</v>
      </c>
      <c r="L68" s="135">
        <v>70.400000000000006</v>
      </c>
      <c r="M68" s="96"/>
      <c r="N68" s="100">
        <v>3313</v>
      </c>
      <c r="O68" s="102">
        <v>54.4</v>
      </c>
      <c r="P68" s="100">
        <v>3380</v>
      </c>
      <c r="Q68" s="102">
        <v>59.6</v>
      </c>
      <c r="R68" s="100">
        <v>3156</v>
      </c>
      <c r="S68" s="101">
        <v>61.5</v>
      </c>
      <c r="T68" s="134">
        <v>3193</v>
      </c>
      <c r="U68" s="135">
        <v>62.1</v>
      </c>
      <c r="V68" s="134">
        <v>3297</v>
      </c>
      <c r="W68" s="135">
        <v>65.7</v>
      </c>
      <c r="X68" s="136"/>
      <c r="Y68" s="136"/>
      <c r="Z68" s="136"/>
      <c r="AA68" s="136"/>
    </row>
    <row r="69" spans="1:27" ht="11.25" customHeight="1" x14ac:dyDescent="0.2">
      <c r="A69" s="125" t="s">
        <v>126</v>
      </c>
      <c r="B69" s="142" t="s">
        <v>127</v>
      </c>
      <c r="C69" s="100">
        <v>7266</v>
      </c>
      <c r="D69" s="102">
        <v>69.900000000000006</v>
      </c>
      <c r="E69" s="100">
        <v>7350</v>
      </c>
      <c r="F69" s="102">
        <v>72.400000000000006</v>
      </c>
      <c r="G69" s="100">
        <v>7297</v>
      </c>
      <c r="H69" s="101">
        <v>73.900000000000006</v>
      </c>
      <c r="I69" s="134">
        <v>7080</v>
      </c>
      <c r="J69" s="135">
        <v>70.099999999999994</v>
      </c>
      <c r="K69" s="134">
        <v>7163</v>
      </c>
      <c r="L69" s="135">
        <v>70</v>
      </c>
      <c r="M69" s="96"/>
      <c r="N69" s="100">
        <v>7282</v>
      </c>
      <c r="O69" s="102">
        <v>58.8</v>
      </c>
      <c r="P69" s="100">
        <v>7352</v>
      </c>
      <c r="Q69" s="102">
        <v>61.7</v>
      </c>
      <c r="R69" s="100">
        <v>7291</v>
      </c>
      <c r="S69" s="101">
        <v>61.7</v>
      </c>
      <c r="T69" s="134">
        <v>7083</v>
      </c>
      <c r="U69" s="135">
        <v>62.5</v>
      </c>
      <c r="V69" s="134">
        <v>7182</v>
      </c>
      <c r="W69" s="135">
        <v>68.099999999999994</v>
      </c>
      <c r="X69" s="136"/>
      <c r="Y69" s="136"/>
      <c r="Z69" s="136"/>
      <c r="AA69" s="136"/>
    </row>
    <row r="70" spans="1:27" ht="11.25" customHeight="1" x14ac:dyDescent="0.2">
      <c r="A70" s="125" t="s">
        <v>128</v>
      </c>
      <c r="B70" s="142" t="s">
        <v>129</v>
      </c>
      <c r="C70" s="100">
        <v>8249</v>
      </c>
      <c r="D70" s="102">
        <v>69.099999999999994</v>
      </c>
      <c r="E70" s="100">
        <v>8425</v>
      </c>
      <c r="F70" s="102">
        <v>74</v>
      </c>
      <c r="G70" s="100">
        <v>8086</v>
      </c>
      <c r="H70" s="101">
        <v>74.099999999999994</v>
      </c>
      <c r="I70" s="134">
        <v>7848</v>
      </c>
      <c r="J70" s="135">
        <v>69.5</v>
      </c>
      <c r="K70" s="134">
        <v>7945</v>
      </c>
      <c r="L70" s="135">
        <v>69</v>
      </c>
      <c r="M70" s="96"/>
      <c r="N70" s="100">
        <v>8251</v>
      </c>
      <c r="O70" s="102">
        <v>62.6</v>
      </c>
      <c r="P70" s="100">
        <v>8425</v>
      </c>
      <c r="Q70" s="102">
        <v>65.3</v>
      </c>
      <c r="R70" s="100">
        <v>8083</v>
      </c>
      <c r="S70" s="101">
        <v>68.900000000000006</v>
      </c>
      <c r="T70" s="134">
        <v>7820</v>
      </c>
      <c r="U70" s="135">
        <v>71.099999999999994</v>
      </c>
      <c r="V70" s="134">
        <v>8016</v>
      </c>
      <c r="W70" s="135">
        <v>72</v>
      </c>
      <c r="X70" s="136"/>
      <c r="Y70" s="136"/>
      <c r="Z70" s="136"/>
      <c r="AA70" s="136"/>
    </row>
    <row r="71" spans="1:27" ht="11.25" customHeight="1" x14ac:dyDescent="0.2">
      <c r="A71" s="125" t="s">
        <v>130</v>
      </c>
      <c r="B71" s="142" t="s">
        <v>131</v>
      </c>
      <c r="C71" s="100">
        <v>7835</v>
      </c>
      <c r="D71" s="102">
        <v>66.099999999999994</v>
      </c>
      <c r="E71" s="100">
        <v>7771</v>
      </c>
      <c r="F71" s="102">
        <v>69.5</v>
      </c>
      <c r="G71" s="100">
        <v>7591</v>
      </c>
      <c r="H71" s="101">
        <v>72</v>
      </c>
      <c r="I71" s="134">
        <v>7420</v>
      </c>
      <c r="J71" s="135">
        <v>67.7</v>
      </c>
      <c r="K71" s="134">
        <v>7756</v>
      </c>
      <c r="L71" s="135">
        <v>70.3</v>
      </c>
      <c r="M71" s="96"/>
      <c r="N71" s="100">
        <v>7832</v>
      </c>
      <c r="O71" s="102">
        <v>55</v>
      </c>
      <c r="P71" s="100">
        <v>7793</v>
      </c>
      <c r="Q71" s="102">
        <v>58.4</v>
      </c>
      <c r="R71" s="100">
        <v>7617</v>
      </c>
      <c r="S71" s="101">
        <v>61.9</v>
      </c>
      <c r="T71" s="134">
        <v>7426</v>
      </c>
      <c r="U71" s="135">
        <v>66.5</v>
      </c>
      <c r="V71" s="134">
        <v>7765</v>
      </c>
      <c r="W71" s="135">
        <v>69.3</v>
      </c>
      <c r="X71" s="136"/>
      <c r="Y71" s="136"/>
      <c r="Z71" s="136"/>
      <c r="AA71" s="136"/>
    </row>
    <row r="72" spans="1:27" ht="11.25" customHeight="1" x14ac:dyDescent="0.2">
      <c r="A72" s="125" t="s">
        <v>132</v>
      </c>
      <c r="B72" s="142" t="s">
        <v>133</v>
      </c>
      <c r="C72" s="100">
        <v>2657</v>
      </c>
      <c r="D72" s="102">
        <v>53.7</v>
      </c>
      <c r="E72" s="100">
        <v>2664</v>
      </c>
      <c r="F72" s="102">
        <v>60.9</v>
      </c>
      <c r="G72" s="100">
        <v>2436</v>
      </c>
      <c r="H72" s="101">
        <v>63</v>
      </c>
      <c r="I72" s="134">
        <v>2428</v>
      </c>
      <c r="J72" s="135">
        <v>57.6</v>
      </c>
      <c r="K72" s="134">
        <v>2600</v>
      </c>
      <c r="L72" s="135">
        <v>62.1</v>
      </c>
      <c r="M72" s="96"/>
      <c r="N72" s="100">
        <v>2704</v>
      </c>
      <c r="O72" s="102">
        <v>48.7</v>
      </c>
      <c r="P72" s="100">
        <v>2671</v>
      </c>
      <c r="Q72" s="102">
        <v>52.8</v>
      </c>
      <c r="R72" s="100">
        <v>2466</v>
      </c>
      <c r="S72" s="101">
        <v>51.9</v>
      </c>
      <c r="T72" s="134">
        <v>2437</v>
      </c>
      <c r="U72" s="135">
        <v>60.4</v>
      </c>
      <c r="V72" s="134">
        <v>2622</v>
      </c>
      <c r="W72" s="135">
        <v>59.5</v>
      </c>
      <c r="X72" s="136"/>
      <c r="Y72" s="136"/>
      <c r="Z72" s="136"/>
      <c r="AA72" s="136"/>
    </row>
    <row r="73" spans="1:27" ht="11.25" customHeight="1" x14ac:dyDescent="0.2">
      <c r="A73" s="125" t="s">
        <v>134</v>
      </c>
      <c r="B73" s="142" t="s">
        <v>135</v>
      </c>
      <c r="C73" s="100">
        <v>9052</v>
      </c>
      <c r="D73" s="102">
        <v>59.3</v>
      </c>
      <c r="E73" s="100">
        <v>9083</v>
      </c>
      <c r="F73" s="102">
        <v>63.7</v>
      </c>
      <c r="G73" s="100">
        <v>8589</v>
      </c>
      <c r="H73" s="101">
        <v>69.5</v>
      </c>
      <c r="I73" s="134">
        <v>8552</v>
      </c>
      <c r="J73" s="135">
        <v>69.3</v>
      </c>
      <c r="K73" s="134">
        <v>8542</v>
      </c>
      <c r="L73" s="135">
        <v>70.2</v>
      </c>
      <c r="M73" s="96"/>
      <c r="N73" s="100">
        <v>9083</v>
      </c>
      <c r="O73" s="102">
        <v>51.5</v>
      </c>
      <c r="P73" s="100">
        <v>9102</v>
      </c>
      <c r="Q73" s="102">
        <v>55.5</v>
      </c>
      <c r="R73" s="100">
        <v>8624</v>
      </c>
      <c r="S73" s="101">
        <v>61.1</v>
      </c>
      <c r="T73" s="134">
        <v>8567</v>
      </c>
      <c r="U73" s="135">
        <v>65.400000000000006</v>
      </c>
      <c r="V73" s="134">
        <v>8536</v>
      </c>
      <c r="W73" s="135">
        <v>69.099999999999994</v>
      </c>
      <c r="X73" s="136"/>
      <c r="Y73" s="136"/>
      <c r="Z73" s="136"/>
      <c r="AA73" s="136"/>
    </row>
    <row r="74" spans="1:27" ht="11.25" customHeight="1" x14ac:dyDescent="0.2">
      <c r="A74" s="125" t="s">
        <v>136</v>
      </c>
      <c r="B74" s="142" t="s">
        <v>137</v>
      </c>
      <c r="C74" s="100">
        <v>463</v>
      </c>
      <c r="D74" s="102">
        <v>71.7</v>
      </c>
      <c r="E74" s="100">
        <v>486</v>
      </c>
      <c r="F74" s="102">
        <v>72.8</v>
      </c>
      <c r="G74" s="100">
        <v>441</v>
      </c>
      <c r="H74" s="101">
        <v>83.2</v>
      </c>
      <c r="I74" s="134">
        <v>467</v>
      </c>
      <c r="J74" s="135">
        <v>59.7</v>
      </c>
      <c r="K74" s="134">
        <v>463</v>
      </c>
      <c r="L74" s="135">
        <v>69.099999999999994</v>
      </c>
      <c r="M74" s="96"/>
      <c r="N74" s="100">
        <v>464</v>
      </c>
      <c r="O74" s="102">
        <v>64.400000000000006</v>
      </c>
      <c r="P74" s="100">
        <v>488</v>
      </c>
      <c r="Q74" s="102">
        <v>68.2</v>
      </c>
      <c r="R74" s="100">
        <v>441</v>
      </c>
      <c r="S74" s="101">
        <v>68</v>
      </c>
      <c r="T74" s="134">
        <v>473</v>
      </c>
      <c r="U74" s="135">
        <v>66.8</v>
      </c>
      <c r="V74" s="134">
        <v>462</v>
      </c>
      <c r="W74" s="135">
        <v>81.8</v>
      </c>
      <c r="X74" s="136"/>
      <c r="Y74" s="136"/>
      <c r="Z74" s="136"/>
      <c r="AA74" s="136"/>
    </row>
    <row r="75" spans="1:27" ht="11.25" customHeight="1" x14ac:dyDescent="0.2">
      <c r="A75" s="3"/>
      <c r="B75" s="142"/>
      <c r="C75" s="100"/>
      <c r="D75" s="114"/>
      <c r="E75" s="100"/>
      <c r="F75" s="114"/>
      <c r="G75" s="100"/>
      <c r="H75" s="101"/>
      <c r="M75" s="96"/>
      <c r="N75" s="100"/>
      <c r="O75" s="102"/>
      <c r="P75" s="100"/>
      <c r="Q75" s="102"/>
      <c r="R75" s="100"/>
      <c r="S75" s="101"/>
      <c r="V75" s="149"/>
      <c r="W75" s="149"/>
      <c r="X75" s="136"/>
      <c r="Y75" s="136"/>
      <c r="Z75" s="136"/>
      <c r="AA75" s="136"/>
    </row>
    <row r="76" spans="1:27" s="98" customFormat="1" ht="11.25" customHeight="1" x14ac:dyDescent="0.2">
      <c r="A76" s="17" t="s">
        <v>386</v>
      </c>
      <c r="B76" s="92" t="s">
        <v>138</v>
      </c>
      <c r="C76" s="93">
        <v>63176</v>
      </c>
      <c r="D76" s="97">
        <v>63.6</v>
      </c>
      <c r="E76" s="93">
        <v>63181</v>
      </c>
      <c r="F76" s="97">
        <v>69.599999999999994</v>
      </c>
      <c r="G76" s="93">
        <v>61074</v>
      </c>
      <c r="H76" s="95">
        <v>71.3</v>
      </c>
      <c r="I76" s="93">
        <v>61589</v>
      </c>
      <c r="J76" s="95">
        <v>68.400000000000006</v>
      </c>
      <c r="K76" s="93">
        <v>62854</v>
      </c>
      <c r="L76" s="95">
        <v>70</v>
      </c>
      <c r="M76" s="96"/>
      <c r="N76" s="93">
        <v>63229</v>
      </c>
      <c r="O76" s="97">
        <v>55.8</v>
      </c>
      <c r="P76" s="93">
        <v>63377</v>
      </c>
      <c r="Q76" s="97">
        <v>60.2</v>
      </c>
      <c r="R76" s="93">
        <v>61145</v>
      </c>
      <c r="S76" s="95">
        <v>63.3</v>
      </c>
      <c r="T76" s="93">
        <v>61776</v>
      </c>
      <c r="U76" s="95">
        <v>67.5</v>
      </c>
      <c r="V76" s="93">
        <v>63047</v>
      </c>
      <c r="W76" s="95">
        <v>68.900000000000006</v>
      </c>
      <c r="X76" s="136"/>
      <c r="Y76" s="136"/>
      <c r="Z76" s="136"/>
      <c r="AA76" s="136"/>
    </row>
    <row r="77" spans="1:27" ht="11.25" customHeight="1" x14ac:dyDescent="0.2">
      <c r="A77" s="125" t="s">
        <v>139</v>
      </c>
      <c r="B77" s="142" t="s">
        <v>140</v>
      </c>
      <c r="C77" s="100">
        <v>11810</v>
      </c>
      <c r="D77" s="102">
        <v>63.6</v>
      </c>
      <c r="E77" s="100">
        <v>11840</v>
      </c>
      <c r="F77" s="102">
        <v>70.900000000000006</v>
      </c>
      <c r="G77" s="100">
        <v>11597</v>
      </c>
      <c r="H77" s="101">
        <v>73</v>
      </c>
      <c r="I77" s="134">
        <v>11898</v>
      </c>
      <c r="J77" s="135">
        <v>71.3</v>
      </c>
      <c r="K77" s="134">
        <v>12045</v>
      </c>
      <c r="L77" s="135">
        <v>72</v>
      </c>
      <c r="M77" s="96"/>
      <c r="N77" s="100">
        <v>11857</v>
      </c>
      <c r="O77" s="102">
        <v>55.7</v>
      </c>
      <c r="P77" s="100">
        <v>11888</v>
      </c>
      <c r="Q77" s="102">
        <v>61.8</v>
      </c>
      <c r="R77" s="100">
        <v>11612</v>
      </c>
      <c r="S77" s="101">
        <v>65.7</v>
      </c>
      <c r="T77" s="134">
        <v>11928</v>
      </c>
      <c r="U77" s="135">
        <v>69.5</v>
      </c>
      <c r="V77" s="134">
        <v>12119</v>
      </c>
      <c r="W77" s="135">
        <v>71</v>
      </c>
      <c r="X77" s="136"/>
      <c r="Y77" s="136"/>
      <c r="Z77" s="136"/>
      <c r="AA77" s="136"/>
    </row>
    <row r="78" spans="1:27" ht="11.25" customHeight="1" x14ac:dyDescent="0.2">
      <c r="A78" s="125" t="s">
        <v>141</v>
      </c>
      <c r="B78" s="142" t="s">
        <v>142</v>
      </c>
      <c r="C78" s="100">
        <v>3403</v>
      </c>
      <c r="D78" s="102">
        <v>62.1</v>
      </c>
      <c r="E78" s="100">
        <v>3490</v>
      </c>
      <c r="F78" s="102">
        <v>68.099999999999994</v>
      </c>
      <c r="G78" s="100">
        <v>3279</v>
      </c>
      <c r="H78" s="101">
        <v>69</v>
      </c>
      <c r="I78" s="134">
        <v>3422</v>
      </c>
      <c r="J78" s="135">
        <v>68.8</v>
      </c>
      <c r="K78" s="134">
        <v>3459</v>
      </c>
      <c r="L78" s="135">
        <v>69.599999999999994</v>
      </c>
      <c r="M78" s="96"/>
      <c r="N78" s="100">
        <v>3394</v>
      </c>
      <c r="O78" s="102">
        <v>54.5</v>
      </c>
      <c r="P78" s="100">
        <v>3514</v>
      </c>
      <c r="Q78" s="102">
        <v>58.7</v>
      </c>
      <c r="R78" s="100">
        <v>3294</v>
      </c>
      <c r="S78" s="101">
        <v>62.8</v>
      </c>
      <c r="T78" s="134">
        <v>3451</v>
      </c>
      <c r="U78" s="135">
        <v>69.5</v>
      </c>
      <c r="V78" s="134">
        <v>3482</v>
      </c>
      <c r="W78" s="135">
        <v>68.400000000000006</v>
      </c>
      <c r="X78" s="136"/>
      <c r="Y78" s="136"/>
      <c r="Z78" s="136"/>
      <c r="AA78" s="136"/>
    </row>
    <row r="79" spans="1:27" ht="11.25" customHeight="1" x14ac:dyDescent="0.2">
      <c r="A79" s="125" t="s">
        <v>143</v>
      </c>
      <c r="B79" s="142" t="s">
        <v>144</v>
      </c>
      <c r="C79" s="100">
        <v>3919</v>
      </c>
      <c r="D79" s="102">
        <v>66.599999999999994</v>
      </c>
      <c r="E79" s="100">
        <v>3899</v>
      </c>
      <c r="F79" s="102">
        <v>71.900000000000006</v>
      </c>
      <c r="G79" s="100">
        <v>3737</v>
      </c>
      <c r="H79" s="101">
        <v>72.400000000000006</v>
      </c>
      <c r="I79" s="134">
        <v>3799</v>
      </c>
      <c r="J79" s="135">
        <v>66.900000000000006</v>
      </c>
      <c r="K79" s="134">
        <v>3872</v>
      </c>
      <c r="L79" s="135">
        <v>68.2</v>
      </c>
      <c r="M79" s="96"/>
      <c r="N79" s="100">
        <v>3922</v>
      </c>
      <c r="O79" s="102">
        <v>54.8</v>
      </c>
      <c r="P79" s="100">
        <v>3912</v>
      </c>
      <c r="Q79" s="102">
        <v>60.4</v>
      </c>
      <c r="R79" s="100">
        <v>3742</v>
      </c>
      <c r="S79" s="101">
        <v>62.8</v>
      </c>
      <c r="T79" s="134">
        <v>3818</v>
      </c>
      <c r="U79" s="135">
        <v>63.4</v>
      </c>
      <c r="V79" s="134">
        <v>3885</v>
      </c>
      <c r="W79" s="135">
        <v>66.2</v>
      </c>
      <c r="X79" s="136"/>
      <c r="Y79" s="136"/>
      <c r="Z79" s="136"/>
      <c r="AA79" s="136"/>
    </row>
    <row r="80" spans="1:27" ht="11.25" customHeight="1" x14ac:dyDescent="0.2">
      <c r="A80" s="125" t="s">
        <v>355</v>
      </c>
      <c r="B80" s="142" t="s">
        <v>145</v>
      </c>
      <c r="C80" s="100">
        <v>1854</v>
      </c>
      <c r="D80" s="102">
        <v>66.2</v>
      </c>
      <c r="E80" s="100">
        <v>1867</v>
      </c>
      <c r="F80" s="102">
        <v>71.8</v>
      </c>
      <c r="G80" s="100">
        <v>1786</v>
      </c>
      <c r="H80" s="101">
        <v>75.099999999999994</v>
      </c>
      <c r="I80" s="134">
        <v>1785</v>
      </c>
      <c r="J80" s="135">
        <v>64.099999999999994</v>
      </c>
      <c r="K80" s="134">
        <v>1758</v>
      </c>
      <c r="L80" s="135">
        <v>65</v>
      </c>
      <c r="M80" s="96"/>
      <c r="N80" s="100">
        <v>1854</v>
      </c>
      <c r="O80" s="102">
        <v>62.2</v>
      </c>
      <c r="P80" s="100">
        <v>1858</v>
      </c>
      <c r="Q80" s="102">
        <v>64.5</v>
      </c>
      <c r="R80" s="100">
        <v>1788</v>
      </c>
      <c r="S80" s="101">
        <v>64.8</v>
      </c>
      <c r="T80" s="134">
        <v>1778</v>
      </c>
      <c r="U80" s="135">
        <v>70.5</v>
      </c>
      <c r="V80" s="134">
        <v>1753</v>
      </c>
      <c r="W80" s="135">
        <v>68</v>
      </c>
      <c r="X80" s="136"/>
      <c r="Y80" s="136"/>
      <c r="Z80" s="136"/>
      <c r="AA80" s="136"/>
    </row>
    <row r="81" spans="1:27" ht="11.25" customHeight="1" x14ac:dyDescent="0.2">
      <c r="A81" s="125" t="s">
        <v>146</v>
      </c>
      <c r="B81" s="142" t="s">
        <v>147</v>
      </c>
      <c r="C81" s="100">
        <v>3479</v>
      </c>
      <c r="D81" s="102">
        <v>54.4</v>
      </c>
      <c r="E81" s="100">
        <v>3436</v>
      </c>
      <c r="F81" s="102">
        <v>62</v>
      </c>
      <c r="G81" s="100">
        <v>3419</v>
      </c>
      <c r="H81" s="101">
        <v>67.8</v>
      </c>
      <c r="I81" s="134">
        <v>3535</v>
      </c>
      <c r="J81" s="135">
        <v>64.900000000000006</v>
      </c>
      <c r="K81" s="134">
        <v>3568</v>
      </c>
      <c r="L81" s="135">
        <v>68.7</v>
      </c>
      <c r="M81" s="96"/>
      <c r="N81" s="100">
        <v>3484</v>
      </c>
      <c r="O81" s="102">
        <v>46.4</v>
      </c>
      <c r="P81" s="100">
        <v>3453</v>
      </c>
      <c r="Q81" s="102">
        <v>50</v>
      </c>
      <c r="R81" s="100">
        <v>3440</v>
      </c>
      <c r="S81" s="101">
        <v>56.3</v>
      </c>
      <c r="T81" s="134">
        <v>3564</v>
      </c>
      <c r="U81" s="135">
        <v>64.900000000000006</v>
      </c>
      <c r="V81" s="134">
        <v>3599</v>
      </c>
      <c r="W81" s="135">
        <v>63.3</v>
      </c>
      <c r="X81" s="136"/>
      <c r="Y81" s="136"/>
      <c r="Z81" s="136"/>
      <c r="AA81" s="136"/>
    </row>
    <row r="82" spans="1:27" ht="11.25" customHeight="1" x14ac:dyDescent="0.2">
      <c r="A82" s="125" t="s">
        <v>148</v>
      </c>
      <c r="B82" s="142" t="s">
        <v>149</v>
      </c>
      <c r="C82" s="100">
        <v>3110</v>
      </c>
      <c r="D82" s="102">
        <v>68.599999999999994</v>
      </c>
      <c r="E82" s="100">
        <v>3191</v>
      </c>
      <c r="F82" s="102">
        <v>69.099999999999994</v>
      </c>
      <c r="G82" s="100">
        <v>3089</v>
      </c>
      <c r="H82" s="101">
        <v>70</v>
      </c>
      <c r="I82" s="134">
        <v>3021</v>
      </c>
      <c r="J82" s="135">
        <v>65.5</v>
      </c>
      <c r="K82" s="134">
        <v>3169</v>
      </c>
      <c r="L82" s="135">
        <v>67.3</v>
      </c>
      <c r="M82" s="96"/>
      <c r="N82" s="100">
        <v>3139</v>
      </c>
      <c r="O82" s="102">
        <v>65.3</v>
      </c>
      <c r="P82" s="100">
        <v>3201</v>
      </c>
      <c r="Q82" s="102">
        <v>67.5</v>
      </c>
      <c r="R82" s="100">
        <v>3079</v>
      </c>
      <c r="S82" s="101">
        <v>66.8</v>
      </c>
      <c r="T82" s="134">
        <v>3017</v>
      </c>
      <c r="U82" s="135">
        <v>69.3</v>
      </c>
      <c r="V82" s="134">
        <v>3174</v>
      </c>
      <c r="W82" s="135">
        <v>70.8</v>
      </c>
      <c r="X82" s="136"/>
      <c r="Y82" s="136"/>
      <c r="Z82" s="136"/>
      <c r="AA82" s="136"/>
    </row>
    <row r="83" spans="1:27" ht="11.25" customHeight="1" x14ac:dyDescent="0.2">
      <c r="A83" s="125" t="s">
        <v>150</v>
      </c>
      <c r="B83" s="142" t="s">
        <v>151</v>
      </c>
      <c r="C83" s="100">
        <v>3046</v>
      </c>
      <c r="D83" s="102">
        <v>68.400000000000006</v>
      </c>
      <c r="E83" s="100">
        <v>3056</v>
      </c>
      <c r="F83" s="102">
        <v>74.099999999999994</v>
      </c>
      <c r="G83" s="100">
        <v>2983</v>
      </c>
      <c r="H83" s="101">
        <v>74.5</v>
      </c>
      <c r="I83" s="134">
        <v>3019</v>
      </c>
      <c r="J83" s="135">
        <v>70.8</v>
      </c>
      <c r="K83" s="134">
        <v>2998</v>
      </c>
      <c r="L83" s="135">
        <v>74.5</v>
      </c>
      <c r="M83" s="96"/>
      <c r="N83" s="100">
        <v>3050</v>
      </c>
      <c r="O83" s="102">
        <v>56.5</v>
      </c>
      <c r="P83" s="100">
        <v>3059</v>
      </c>
      <c r="Q83" s="102">
        <v>60.7</v>
      </c>
      <c r="R83" s="100">
        <v>2982</v>
      </c>
      <c r="S83" s="101">
        <v>62.7</v>
      </c>
      <c r="T83" s="134">
        <v>3025</v>
      </c>
      <c r="U83" s="135">
        <v>67.8</v>
      </c>
      <c r="V83" s="134">
        <v>3007</v>
      </c>
      <c r="W83" s="135">
        <v>71.3</v>
      </c>
      <c r="X83" s="136"/>
      <c r="Y83" s="136"/>
      <c r="Z83" s="136"/>
      <c r="AA83" s="136"/>
    </row>
    <row r="84" spans="1:27" ht="11.25" customHeight="1" x14ac:dyDescent="0.2">
      <c r="A84" s="125" t="s">
        <v>152</v>
      </c>
      <c r="B84" s="142" t="s">
        <v>153</v>
      </c>
      <c r="C84" s="100">
        <v>9626</v>
      </c>
      <c r="D84" s="102">
        <v>66</v>
      </c>
      <c r="E84" s="100">
        <v>9642</v>
      </c>
      <c r="F84" s="102">
        <v>71.400000000000006</v>
      </c>
      <c r="G84" s="100">
        <v>9213</v>
      </c>
      <c r="H84" s="101">
        <v>70.8</v>
      </c>
      <c r="I84" s="134">
        <v>9374</v>
      </c>
      <c r="J84" s="135">
        <v>68</v>
      </c>
      <c r="K84" s="134">
        <v>9552</v>
      </c>
      <c r="L84" s="135">
        <v>68.5</v>
      </c>
      <c r="M84" s="96"/>
      <c r="N84" s="100">
        <v>9585</v>
      </c>
      <c r="O84" s="102">
        <v>59.2</v>
      </c>
      <c r="P84" s="100">
        <v>9658</v>
      </c>
      <c r="Q84" s="102">
        <v>59.9</v>
      </c>
      <c r="R84" s="100">
        <v>9208</v>
      </c>
      <c r="S84" s="101">
        <v>61.9</v>
      </c>
      <c r="T84" s="134">
        <v>9399</v>
      </c>
      <c r="U84" s="135">
        <v>66.7</v>
      </c>
      <c r="V84" s="134">
        <v>9550</v>
      </c>
      <c r="W84" s="135">
        <v>67.900000000000006</v>
      </c>
      <c r="X84" s="136"/>
      <c r="Y84" s="136"/>
      <c r="Z84" s="136"/>
      <c r="AA84" s="136"/>
    </row>
    <row r="85" spans="1:27" ht="11.25" customHeight="1" x14ac:dyDescent="0.2">
      <c r="A85" s="125" t="s">
        <v>154</v>
      </c>
      <c r="B85" s="142" t="s">
        <v>155</v>
      </c>
      <c r="C85" s="100">
        <v>2637</v>
      </c>
      <c r="D85" s="102">
        <v>59.1</v>
      </c>
      <c r="E85" s="100">
        <v>2552</v>
      </c>
      <c r="F85" s="102">
        <v>66.5</v>
      </c>
      <c r="G85" s="100">
        <v>2517</v>
      </c>
      <c r="H85" s="101">
        <v>64.900000000000006</v>
      </c>
      <c r="I85" s="134">
        <v>2346</v>
      </c>
      <c r="J85" s="135">
        <v>65.8</v>
      </c>
      <c r="K85" s="134">
        <v>2555</v>
      </c>
      <c r="L85" s="135">
        <v>63.2</v>
      </c>
      <c r="M85" s="96"/>
      <c r="N85" s="100">
        <v>2640</v>
      </c>
      <c r="O85" s="102">
        <v>43.8</v>
      </c>
      <c r="P85" s="100">
        <v>2553</v>
      </c>
      <c r="Q85" s="102">
        <v>50.6</v>
      </c>
      <c r="R85" s="100">
        <v>2507</v>
      </c>
      <c r="S85" s="101">
        <v>52.5</v>
      </c>
      <c r="T85" s="134">
        <v>2355</v>
      </c>
      <c r="U85" s="135">
        <v>55.2</v>
      </c>
      <c r="V85" s="134">
        <v>2559</v>
      </c>
      <c r="W85" s="135">
        <v>57.8</v>
      </c>
      <c r="X85" s="136"/>
      <c r="Y85" s="136"/>
      <c r="Z85" s="136"/>
      <c r="AA85" s="136"/>
    </row>
    <row r="86" spans="1:27" ht="11.25" customHeight="1" x14ac:dyDescent="0.2">
      <c r="A86" s="125" t="s">
        <v>156</v>
      </c>
      <c r="B86" s="142" t="s">
        <v>157</v>
      </c>
      <c r="C86" s="100">
        <v>2086</v>
      </c>
      <c r="D86" s="102">
        <v>58.4</v>
      </c>
      <c r="E86" s="100">
        <v>2101</v>
      </c>
      <c r="F86" s="102">
        <v>66.099999999999994</v>
      </c>
      <c r="G86" s="100">
        <v>1989</v>
      </c>
      <c r="H86" s="101">
        <v>66</v>
      </c>
      <c r="I86" s="134">
        <v>1943</v>
      </c>
      <c r="J86" s="135">
        <v>65.8</v>
      </c>
      <c r="K86" s="134">
        <v>2058</v>
      </c>
      <c r="L86" s="135">
        <v>67.8</v>
      </c>
      <c r="M86" s="96"/>
      <c r="N86" s="100">
        <v>2091</v>
      </c>
      <c r="O86" s="102">
        <v>54.8</v>
      </c>
      <c r="P86" s="100">
        <v>2102</v>
      </c>
      <c r="Q86" s="102">
        <v>61.2</v>
      </c>
      <c r="R86" s="100">
        <v>1994</v>
      </c>
      <c r="S86" s="101">
        <v>62.7</v>
      </c>
      <c r="T86" s="134">
        <v>1951</v>
      </c>
      <c r="U86" s="135">
        <v>69</v>
      </c>
      <c r="V86" s="134">
        <v>2057</v>
      </c>
      <c r="W86" s="135">
        <v>66.3</v>
      </c>
      <c r="X86" s="136"/>
      <c r="Y86" s="136"/>
      <c r="Z86" s="136"/>
      <c r="AA86" s="136"/>
    </row>
    <row r="87" spans="1:27" ht="11.25" customHeight="1" x14ac:dyDescent="0.2">
      <c r="A87" s="125" t="s">
        <v>158</v>
      </c>
      <c r="B87" s="142" t="s">
        <v>159</v>
      </c>
      <c r="C87" s="100">
        <v>3627</v>
      </c>
      <c r="D87" s="102">
        <v>57.4</v>
      </c>
      <c r="E87" s="100">
        <v>3521</v>
      </c>
      <c r="F87" s="102">
        <v>63.6</v>
      </c>
      <c r="G87" s="100">
        <v>3363</v>
      </c>
      <c r="H87" s="101">
        <v>68.099999999999994</v>
      </c>
      <c r="I87" s="134">
        <v>3293</v>
      </c>
      <c r="J87" s="135">
        <v>61.6</v>
      </c>
      <c r="K87" s="134">
        <v>3391</v>
      </c>
      <c r="L87" s="135">
        <v>65.900000000000006</v>
      </c>
      <c r="M87" s="96"/>
      <c r="N87" s="100">
        <v>3622</v>
      </c>
      <c r="O87" s="102">
        <v>49.7</v>
      </c>
      <c r="P87" s="100">
        <v>3531</v>
      </c>
      <c r="Q87" s="102">
        <v>54</v>
      </c>
      <c r="R87" s="100">
        <v>3373</v>
      </c>
      <c r="S87" s="101">
        <v>60.2</v>
      </c>
      <c r="T87" s="134">
        <v>3308</v>
      </c>
      <c r="U87" s="135">
        <v>66</v>
      </c>
      <c r="V87" s="134">
        <v>3401</v>
      </c>
      <c r="W87" s="135">
        <v>66.400000000000006</v>
      </c>
      <c r="X87" s="136"/>
      <c r="Y87" s="136"/>
      <c r="Z87" s="136"/>
      <c r="AA87" s="136"/>
    </row>
    <row r="88" spans="1:27" ht="11.25" customHeight="1" x14ac:dyDescent="0.2">
      <c r="A88" s="125" t="s">
        <v>160</v>
      </c>
      <c r="B88" s="142" t="s">
        <v>161</v>
      </c>
      <c r="C88" s="100">
        <v>5844</v>
      </c>
      <c r="D88" s="102">
        <v>67.2</v>
      </c>
      <c r="E88" s="100">
        <v>6006</v>
      </c>
      <c r="F88" s="102">
        <v>73.599999999999994</v>
      </c>
      <c r="G88" s="100">
        <v>5821</v>
      </c>
      <c r="H88" s="101">
        <v>74.599999999999994</v>
      </c>
      <c r="I88" s="134">
        <v>5745</v>
      </c>
      <c r="J88" s="135">
        <v>71.099999999999994</v>
      </c>
      <c r="K88" s="134">
        <v>5934</v>
      </c>
      <c r="L88" s="135">
        <v>74.099999999999994</v>
      </c>
      <c r="M88" s="96"/>
      <c r="N88" s="100">
        <v>5855</v>
      </c>
      <c r="O88" s="102">
        <v>60.9</v>
      </c>
      <c r="P88" s="100">
        <v>6025</v>
      </c>
      <c r="Q88" s="102">
        <v>64.7</v>
      </c>
      <c r="R88" s="100">
        <v>5842</v>
      </c>
      <c r="S88" s="101">
        <v>65.900000000000006</v>
      </c>
      <c r="T88" s="134">
        <v>5758</v>
      </c>
      <c r="U88" s="135">
        <v>68.7</v>
      </c>
      <c r="V88" s="134">
        <v>5947</v>
      </c>
      <c r="W88" s="135">
        <v>71.900000000000006</v>
      </c>
      <c r="X88" s="136"/>
      <c r="Y88" s="136"/>
      <c r="Z88" s="136"/>
      <c r="AA88" s="136"/>
    </row>
    <row r="89" spans="1:27" ht="11.25" customHeight="1" x14ac:dyDescent="0.2">
      <c r="A89" s="125" t="s">
        <v>162</v>
      </c>
      <c r="B89" s="142" t="s">
        <v>163</v>
      </c>
      <c r="C89" s="100">
        <v>2659</v>
      </c>
      <c r="D89" s="102">
        <v>60.3</v>
      </c>
      <c r="E89" s="100">
        <v>2626</v>
      </c>
      <c r="F89" s="102">
        <v>65.400000000000006</v>
      </c>
      <c r="G89" s="100">
        <v>2432</v>
      </c>
      <c r="H89" s="101">
        <v>72.3</v>
      </c>
      <c r="I89" s="134">
        <v>2518</v>
      </c>
      <c r="J89" s="135">
        <v>69.8</v>
      </c>
      <c r="K89" s="134">
        <v>2549</v>
      </c>
      <c r="L89" s="135">
        <v>71</v>
      </c>
      <c r="M89" s="96"/>
      <c r="N89" s="100">
        <v>2666</v>
      </c>
      <c r="O89" s="102">
        <v>52.6</v>
      </c>
      <c r="P89" s="100">
        <v>2656</v>
      </c>
      <c r="Q89" s="102">
        <v>60.1</v>
      </c>
      <c r="R89" s="100">
        <v>2425</v>
      </c>
      <c r="S89" s="101">
        <v>64.8</v>
      </c>
      <c r="T89" s="134">
        <v>2514</v>
      </c>
      <c r="U89" s="135">
        <v>65.2</v>
      </c>
      <c r="V89" s="134">
        <v>2559</v>
      </c>
      <c r="W89" s="135">
        <v>71.599999999999994</v>
      </c>
      <c r="X89" s="136"/>
      <c r="Y89" s="136"/>
      <c r="Z89" s="136"/>
      <c r="AA89" s="136"/>
    </row>
    <row r="90" spans="1:27" ht="11.25" customHeight="1" x14ac:dyDescent="0.2">
      <c r="A90" s="125" t="s">
        <v>164</v>
      </c>
      <c r="B90" s="142" t="s">
        <v>165</v>
      </c>
      <c r="C90" s="100">
        <v>6076</v>
      </c>
      <c r="D90" s="102">
        <v>63.3</v>
      </c>
      <c r="E90" s="100">
        <v>5954</v>
      </c>
      <c r="F90" s="102">
        <v>69</v>
      </c>
      <c r="G90" s="100">
        <v>5849</v>
      </c>
      <c r="H90" s="101">
        <v>72.099999999999994</v>
      </c>
      <c r="I90" s="134">
        <v>5891</v>
      </c>
      <c r="J90" s="135">
        <v>69.900000000000006</v>
      </c>
      <c r="K90" s="134">
        <v>5946</v>
      </c>
      <c r="L90" s="135">
        <v>73.3</v>
      </c>
      <c r="M90" s="96"/>
      <c r="N90" s="100">
        <v>6070</v>
      </c>
      <c r="O90" s="102">
        <v>56</v>
      </c>
      <c r="P90" s="100">
        <v>5967</v>
      </c>
      <c r="Q90" s="102">
        <v>61.6</v>
      </c>
      <c r="R90" s="100">
        <v>5859</v>
      </c>
      <c r="S90" s="101">
        <v>66.8</v>
      </c>
      <c r="T90" s="134">
        <v>5910</v>
      </c>
      <c r="U90" s="135">
        <v>71.3</v>
      </c>
      <c r="V90" s="134">
        <v>5955</v>
      </c>
      <c r="W90" s="135">
        <v>73</v>
      </c>
      <c r="X90" s="136"/>
      <c r="Y90" s="136"/>
      <c r="Z90" s="136"/>
      <c r="AA90" s="136"/>
    </row>
    <row r="91" spans="1:27" ht="11.25" customHeight="1" x14ac:dyDescent="0.2">
      <c r="A91" s="3"/>
      <c r="B91" s="142"/>
      <c r="C91" s="100"/>
      <c r="D91" s="114"/>
      <c r="E91" s="100"/>
      <c r="F91" s="114"/>
      <c r="G91" s="100"/>
      <c r="H91" s="101"/>
      <c r="M91" s="96"/>
      <c r="N91" s="100"/>
      <c r="O91" s="102"/>
      <c r="P91" s="100"/>
      <c r="Q91" s="102"/>
      <c r="R91" s="100"/>
      <c r="S91" s="101"/>
      <c r="V91" s="149"/>
      <c r="W91" s="149"/>
      <c r="X91" s="136"/>
      <c r="Y91" s="136"/>
      <c r="Z91" s="136"/>
      <c r="AA91" s="136"/>
    </row>
    <row r="92" spans="1:27" s="98" customFormat="1" ht="11.25" customHeight="1" x14ac:dyDescent="0.2">
      <c r="A92" s="17" t="s">
        <v>383</v>
      </c>
      <c r="B92" s="92" t="s">
        <v>166</v>
      </c>
      <c r="C92" s="93">
        <v>63607</v>
      </c>
      <c r="D92" s="94">
        <v>65.8</v>
      </c>
      <c r="E92" s="93">
        <v>64219</v>
      </c>
      <c r="F92" s="97">
        <v>70.2</v>
      </c>
      <c r="G92" s="93">
        <v>62297</v>
      </c>
      <c r="H92" s="95">
        <v>71.8</v>
      </c>
      <c r="I92" s="93">
        <v>61788</v>
      </c>
      <c r="J92" s="95">
        <v>66.5</v>
      </c>
      <c r="K92" s="93">
        <v>63261</v>
      </c>
      <c r="L92" s="95">
        <v>68.900000000000006</v>
      </c>
      <c r="M92" s="96"/>
      <c r="N92" s="93">
        <v>63620</v>
      </c>
      <c r="O92" s="97">
        <v>61.4</v>
      </c>
      <c r="P92" s="93">
        <v>64294</v>
      </c>
      <c r="Q92" s="97">
        <v>64.599999999999994</v>
      </c>
      <c r="R92" s="93">
        <v>62317</v>
      </c>
      <c r="S92" s="95">
        <v>67.5</v>
      </c>
      <c r="T92" s="93">
        <v>61956</v>
      </c>
      <c r="U92" s="95">
        <v>69.8</v>
      </c>
      <c r="V92" s="93">
        <v>63431</v>
      </c>
      <c r="W92" s="95">
        <v>71.5</v>
      </c>
      <c r="X92" s="136"/>
      <c r="Y92" s="136"/>
      <c r="Z92" s="136"/>
      <c r="AA92" s="136"/>
    </row>
    <row r="93" spans="1:27" ht="11.25" customHeight="1" x14ac:dyDescent="0.2">
      <c r="A93" s="125" t="s">
        <v>167</v>
      </c>
      <c r="B93" s="126" t="s">
        <v>168</v>
      </c>
      <c r="C93" s="100">
        <v>1784</v>
      </c>
      <c r="D93" s="102">
        <v>65.3</v>
      </c>
      <c r="E93" s="100">
        <v>1777</v>
      </c>
      <c r="F93" s="102">
        <v>69</v>
      </c>
      <c r="G93" s="100">
        <v>1714</v>
      </c>
      <c r="H93" s="101">
        <v>75.3</v>
      </c>
      <c r="I93" s="134">
        <v>1767</v>
      </c>
      <c r="J93" s="135">
        <v>65.8</v>
      </c>
      <c r="K93" s="134">
        <v>1809</v>
      </c>
      <c r="L93" s="135">
        <v>70.400000000000006</v>
      </c>
      <c r="M93" s="96"/>
      <c r="N93" s="100">
        <v>1775</v>
      </c>
      <c r="O93" s="115">
        <v>61.1</v>
      </c>
      <c r="P93" s="100">
        <v>1764</v>
      </c>
      <c r="Q93" s="115">
        <v>62.4</v>
      </c>
      <c r="R93" s="100">
        <v>1725</v>
      </c>
      <c r="S93" s="101">
        <v>65.3</v>
      </c>
      <c r="T93" s="134">
        <v>1778</v>
      </c>
      <c r="U93" s="135">
        <v>69.599999999999994</v>
      </c>
      <c r="V93" s="134">
        <v>1815</v>
      </c>
      <c r="W93" s="135">
        <v>71.599999999999994</v>
      </c>
      <c r="X93" s="136"/>
      <c r="Y93" s="136"/>
      <c r="Z93" s="136"/>
      <c r="AA93" s="136"/>
    </row>
    <row r="94" spans="1:27" ht="11.25" customHeight="1" x14ac:dyDescent="0.2">
      <c r="A94" s="125" t="s">
        <v>169</v>
      </c>
      <c r="B94" s="142" t="s">
        <v>170</v>
      </c>
      <c r="C94" s="100">
        <v>5703</v>
      </c>
      <c r="D94" s="102">
        <v>69</v>
      </c>
      <c r="E94" s="100">
        <v>5931</v>
      </c>
      <c r="F94" s="102">
        <v>71.400000000000006</v>
      </c>
      <c r="G94" s="100">
        <v>5774</v>
      </c>
      <c r="H94" s="101">
        <v>72.400000000000006</v>
      </c>
      <c r="I94" s="134">
        <v>5719</v>
      </c>
      <c r="J94" s="135">
        <v>68</v>
      </c>
      <c r="K94" s="134">
        <v>5910</v>
      </c>
      <c r="L94" s="135">
        <v>70.5</v>
      </c>
      <c r="M94" s="96"/>
      <c r="N94" s="100">
        <v>5704</v>
      </c>
      <c r="O94" s="102">
        <v>64.7</v>
      </c>
      <c r="P94" s="100">
        <v>5942</v>
      </c>
      <c r="Q94" s="102">
        <v>68.7</v>
      </c>
      <c r="R94" s="100">
        <v>5784</v>
      </c>
      <c r="S94" s="101">
        <v>66.8</v>
      </c>
      <c r="T94" s="134">
        <v>5735</v>
      </c>
      <c r="U94" s="135">
        <v>66</v>
      </c>
      <c r="V94" s="134">
        <v>5921</v>
      </c>
      <c r="W94" s="135">
        <v>72.900000000000006</v>
      </c>
      <c r="X94" s="136"/>
      <c r="Y94" s="136"/>
      <c r="Z94" s="136"/>
      <c r="AA94" s="136"/>
    </row>
    <row r="95" spans="1:27" ht="11.25" customHeight="1" x14ac:dyDescent="0.2">
      <c r="A95" s="125" t="s">
        <v>171</v>
      </c>
      <c r="B95" s="126" t="s">
        <v>172</v>
      </c>
      <c r="C95" s="100">
        <v>2821</v>
      </c>
      <c r="D95" s="102">
        <v>63.6</v>
      </c>
      <c r="E95" s="100">
        <v>2944</v>
      </c>
      <c r="F95" s="102">
        <v>67.5</v>
      </c>
      <c r="G95" s="100">
        <v>2780</v>
      </c>
      <c r="H95" s="101">
        <v>71.099999999999994</v>
      </c>
      <c r="I95" s="134">
        <v>2861</v>
      </c>
      <c r="J95" s="135">
        <v>63.9</v>
      </c>
      <c r="K95" s="134">
        <v>2793</v>
      </c>
      <c r="L95" s="135">
        <v>64.2</v>
      </c>
      <c r="M95" s="96"/>
      <c r="N95" s="100">
        <v>2825</v>
      </c>
      <c r="O95" s="115">
        <v>58.8</v>
      </c>
      <c r="P95" s="100">
        <v>2952</v>
      </c>
      <c r="Q95" s="115">
        <v>62.6</v>
      </c>
      <c r="R95" s="100">
        <v>2777</v>
      </c>
      <c r="S95" s="101">
        <v>65.599999999999994</v>
      </c>
      <c r="T95" s="134">
        <v>2857</v>
      </c>
      <c r="U95" s="135">
        <v>69.2</v>
      </c>
      <c r="V95" s="134">
        <v>2792</v>
      </c>
      <c r="W95" s="135">
        <v>70.599999999999994</v>
      </c>
      <c r="X95" s="136"/>
      <c r="Y95" s="136"/>
      <c r="Z95" s="136"/>
      <c r="AA95" s="136"/>
    </row>
    <row r="96" spans="1:27" ht="11.25" customHeight="1" x14ac:dyDescent="0.2">
      <c r="A96" s="125" t="s">
        <v>173</v>
      </c>
      <c r="B96" s="142" t="s">
        <v>174</v>
      </c>
      <c r="C96" s="100">
        <v>15833</v>
      </c>
      <c r="D96" s="102">
        <v>63.3</v>
      </c>
      <c r="E96" s="100">
        <v>15921</v>
      </c>
      <c r="F96" s="102">
        <v>68.599999999999994</v>
      </c>
      <c r="G96" s="100">
        <v>15281</v>
      </c>
      <c r="H96" s="101">
        <v>71.599999999999994</v>
      </c>
      <c r="I96" s="134">
        <v>15143</v>
      </c>
      <c r="J96" s="135">
        <v>66.5</v>
      </c>
      <c r="K96" s="134">
        <v>15315</v>
      </c>
      <c r="L96" s="135">
        <v>69.2</v>
      </c>
      <c r="M96" s="96"/>
      <c r="N96" s="100">
        <v>15797</v>
      </c>
      <c r="O96" s="102">
        <v>58.6</v>
      </c>
      <c r="P96" s="100">
        <v>15945</v>
      </c>
      <c r="Q96" s="102">
        <v>61.9</v>
      </c>
      <c r="R96" s="100">
        <v>15261</v>
      </c>
      <c r="S96" s="101">
        <v>66.400000000000006</v>
      </c>
      <c r="T96" s="134">
        <v>15168</v>
      </c>
      <c r="U96" s="135">
        <v>71</v>
      </c>
      <c r="V96" s="134">
        <v>15338</v>
      </c>
      <c r="W96" s="135">
        <v>71.7</v>
      </c>
      <c r="X96" s="136"/>
      <c r="Y96" s="136"/>
      <c r="Z96" s="136"/>
      <c r="AA96" s="136"/>
    </row>
    <row r="97" spans="1:27" ht="11.25" customHeight="1" x14ac:dyDescent="0.2">
      <c r="A97" s="125" t="s">
        <v>175</v>
      </c>
      <c r="B97" s="142" t="s">
        <v>176</v>
      </c>
      <c r="C97" s="100">
        <v>12715</v>
      </c>
      <c r="D97" s="102">
        <v>70.5</v>
      </c>
      <c r="E97" s="100">
        <v>12800</v>
      </c>
      <c r="F97" s="102">
        <v>75.5</v>
      </c>
      <c r="G97" s="100">
        <v>12568</v>
      </c>
      <c r="H97" s="101">
        <v>76</v>
      </c>
      <c r="I97" s="134">
        <v>12331</v>
      </c>
      <c r="J97" s="135">
        <v>70</v>
      </c>
      <c r="K97" s="134">
        <v>12693</v>
      </c>
      <c r="L97" s="135">
        <v>72.099999999999994</v>
      </c>
      <c r="M97" s="96"/>
      <c r="N97" s="100">
        <v>12736</v>
      </c>
      <c r="O97" s="102">
        <v>66.8</v>
      </c>
      <c r="P97" s="100">
        <v>12823</v>
      </c>
      <c r="Q97" s="102">
        <v>70.7</v>
      </c>
      <c r="R97" s="100">
        <v>12598</v>
      </c>
      <c r="S97" s="101">
        <v>73.5</v>
      </c>
      <c r="T97" s="134">
        <v>12375</v>
      </c>
      <c r="U97" s="135">
        <v>75.7</v>
      </c>
      <c r="V97" s="134">
        <v>12761</v>
      </c>
      <c r="W97" s="135">
        <v>75.900000000000006</v>
      </c>
      <c r="X97" s="136"/>
      <c r="Y97" s="136"/>
      <c r="Z97" s="136"/>
      <c r="AA97" s="136"/>
    </row>
    <row r="98" spans="1:27" ht="11.25" customHeight="1" x14ac:dyDescent="0.2">
      <c r="A98" s="125" t="s">
        <v>177</v>
      </c>
      <c r="B98" s="142" t="s">
        <v>178</v>
      </c>
      <c r="C98" s="100">
        <v>2258</v>
      </c>
      <c r="D98" s="102">
        <v>63</v>
      </c>
      <c r="E98" s="100">
        <v>2251</v>
      </c>
      <c r="F98" s="102">
        <v>70.900000000000006</v>
      </c>
      <c r="G98" s="100">
        <v>2230</v>
      </c>
      <c r="H98" s="101">
        <v>68.8</v>
      </c>
      <c r="I98" s="134">
        <v>2307</v>
      </c>
      <c r="J98" s="135">
        <v>69.2</v>
      </c>
      <c r="K98" s="134">
        <v>2314</v>
      </c>
      <c r="L98" s="135">
        <v>72.900000000000006</v>
      </c>
      <c r="M98" s="96"/>
      <c r="N98" s="100">
        <v>2290</v>
      </c>
      <c r="O98" s="102">
        <v>65.7</v>
      </c>
      <c r="P98" s="100">
        <v>2278</v>
      </c>
      <c r="Q98" s="102">
        <v>67.400000000000006</v>
      </c>
      <c r="R98" s="100">
        <v>2238</v>
      </c>
      <c r="S98" s="101">
        <v>71</v>
      </c>
      <c r="T98" s="134">
        <v>2327</v>
      </c>
      <c r="U98" s="135">
        <v>74.8</v>
      </c>
      <c r="V98" s="134">
        <v>2331</v>
      </c>
      <c r="W98" s="135">
        <v>75.8</v>
      </c>
      <c r="X98" s="136"/>
      <c r="Y98" s="136"/>
      <c r="Z98" s="136"/>
      <c r="AA98" s="136"/>
    </row>
    <row r="99" spans="1:27" ht="11.25" customHeight="1" x14ac:dyDescent="0.2">
      <c r="A99" s="125" t="s">
        <v>179</v>
      </c>
      <c r="B99" s="142" t="s">
        <v>180</v>
      </c>
      <c r="C99" s="100">
        <v>8692</v>
      </c>
      <c r="D99" s="102">
        <v>64.400000000000006</v>
      </c>
      <c r="E99" s="100">
        <v>8896</v>
      </c>
      <c r="F99" s="102">
        <v>66.599999999999994</v>
      </c>
      <c r="G99" s="100">
        <v>8636</v>
      </c>
      <c r="H99" s="101">
        <v>69.2</v>
      </c>
      <c r="I99" s="134">
        <v>8390</v>
      </c>
      <c r="J99" s="135">
        <v>66.7</v>
      </c>
      <c r="K99" s="134">
        <v>8722</v>
      </c>
      <c r="L99" s="135">
        <v>66.099999999999994</v>
      </c>
      <c r="M99" s="96"/>
      <c r="N99" s="100">
        <v>8704</v>
      </c>
      <c r="O99" s="102">
        <v>61.3</v>
      </c>
      <c r="P99" s="100">
        <v>8898</v>
      </c>
      <c r="Q99" s="102">
        <v>63.2</v>
      </c>
      <c r="R99" s="100">
        <v>8644</v>
      </c>
      <c r="S99" s="101">
        <v>65.7</v>
      </c>
      <c r="T99" s="134">
        <v>8399</v>
      </c>
      <c r="U99" s="135">
        <v>67.7</v>
      </c>
      <c r="V99" s="134">
        <v>8748</v>
      </c>
      <c r="W99" s="135">
        <v>66.900000000000006</v>
      </c>
      <c r="X99" s="136"/>
      <c r="Y99" s="136"/>
      <c r="Z99" s="136"/>
      <c r="AA99" s="136"/>
    </row>
    <row r="100" spans="1:27" ht="11.25" customHeight="1" x14ac:dyDescent="0.2">
      <c r="A100" s="125" t="s">
        <v>181</v>
      </c>
      <c r="B100" s="142" t="s">
        <v>182</v>
      </c>
      <c r="C100" s="100">
        <v>2193</v>
      </c>
      <c r="D100" s="102">
        <v>54.7</v>
      </c>
      <c r="E100" s="100">
        <v>2158</v>
      </c>
      <c r="F100" s="102">
        <v>62.8</v>
      </c>
      <c r="G100" s="100">
        <v>2113</v>
      </c>
      <c r="H100" s="101">
        <v>63.1</v>
      </c>
      <c r="I100" s="134">
        <v>2099</v>
      </c>
      <c r="J100" s="135">
        <v>60.6</v>
      </c>
      <c r="K100" s="134">
        <v>2130</v>
      </c>
      <c r="L100" s="135">
        <v>67.3</v>
      </c>
      <c r="M100" s="96"/>
      <c r="N100" s="100">
        <v>2191</v>
      </c>
      <c r="O100" s="102">
        <v>47.5</v>
      </c>
      <c r="P100" s="100">
        <v>2150</v>
      </c>
      <c r="Q100" s="102">
        <v>52.7</v>
      </c>
      <c r="R100" s="100">
        <v>2127</v>
      </c>
      <c r="S100" s="101">
        <v>56.4</v>
      </c>
      <c r="T100" s="134">
        <v>2116</v>
      </c>
      <c r="U100" s="135">
        <v>59.5</v>
      </c>
      <c r="V100" s="134">
        <v>2148</v>
      </c>
      <c r="W100" s="135">
        <v>65.8</v>
      </c>
      <c r="X100" s="136"/>
      <c r="Y100" s="136"/>
      <c r="Z100" s="136"/>
      <c r="AA100" s="136"/>
    </row>
    <row r="101" spans="1:27" ht="11.25" customHeight="1" x14ac:dyDescent="0.2">
      <c r="A101" s="125" t="s">
        <v>183</v>
      </c>
      <c r="B101" s="142" t="s">
        <v>184</v>
      </c>
      <c r="C101" s="100">
        <v>2152</v>
      </c>
      <c r="D101" s="102">
        <v>72.900000000000006</v>
      </c>
      <c r="E101" s="100">
        <v>2180</v>
      </c>
      <c r="F101" s="102">
        <v>75.7</v>
      </c>
      <c r="G101" s="100">
        <v>1999</v>
      </c>
      <c r="H101" s="101">
        <v>75.900000000000006</v>
      </c>
      <c r="I101" s="134">
        <v>2122</v>
      </c>
      <c r="J101" s="135">
        <v>68.5</v>
      </c>
      <c r="K101" s="134">
        <v>2166</v>
      </c>
      <c r="L101" s="135">
        <v>67.599999999999994</v>
      </c>
      <c r="M101" s="96"/>
      <c r="N101" s="100">
        <v>2151</v>
      </c>
      <c r="O101" s="102">
        <v>66</v>
      </c>
      <c r="P101" s="100">
        <v>2183</v>
      </c>
      <c r="Q101" s="102">
        <v>68.900000000000006</v>
      </c>
      <c r="R101" s="100">
        <v>2004</v>
      </c>
      <c r="S101" s="101">
        <v>70.5</v>
      </c>
      <c r="T101" s="134">
        <v>2123</v>
      </c>
      <c r="U101" s="135">
        <v>70.400000000000006</v>
      </c>
      <c r="V101" s="134">
        <v>2172</v>
      </c>
      <c r="W101" s="135">
        <v>71.900000000000006</v>
      </c>
      <c r="X101" s="136"/>
      <c r="Y101" s="136"/>
      <c r="Z101" s="136"/>
      <c r="AA101" s="136"/>
    </row>
    <row r="102" spans="1:27" ht="11.25" customHeight="1" x14ac:dyDescent="0.2">
      <c r="A102" s="125" t="s">
        <v>185</v>
      </c>
      <c r="B102" s="142" t="s">
        <v>186</v>
      </c>
      <c r="C102" s="100">
        <v>7623</v>
      </c>
      <c r="D102" s="102">
        <v>65.7</v>
      </c>
      <c r="E102" s="100">
        <v>7611</v>
      </c>
      <c r="F102" s="102">
        <v>69.3</v>
      </c>
      <c r="G102" s="100">
        <v>7488</v>
      </c>
      <c r="H102" s="101">
        <v>69.7</v>
      </c>
      <c r="I102" s="134">
        <v>7373</v>
      </c>
      <c r="J102" s="135">
        <v>61.1</v>
      </c>
      <c r="K102" s="134">
        <v>7613</v>
      </c>
      <c r="L102" s="135">
        <v>65.400000000000006</v>
      </c>
      <c r="M102" s="96"/>
      <c r="N102" s="100">
        <v>7611</v>
      </c>
      <c r="O102" s="102">
        <v>59.1</v>
      </c>
      <c r="P102" s="100">
        <v>7604</v>
      </c>
      <c r="Q102" s="102">
        <v>60.2</v>
      </c>
      <c r="R102" s="100">
        <v>7448</v>
      </c>
      <c r="S102" s="101">
        <v>63.5</v>
      </c>
      <c r="T102" s="134">
        <v>7384</v>
      </c>
      <c r="U102" s="135">
        <v>63.5</v>
      </c>
      <c r="V102" s="134">
        <v>7612</v>
      </c>
      <c r="W102" s="135">
        <v>68.2</v>
      </c>
      <c r="X102" s="136"/>
      <c r="Y102" s="136"/>
      <c r="Z102" s="136"/>
      <c r="AA102" s="136"/>
    </row>
    <row r="103" spans="1:27" ht="11.25" customHeight="1" x14ac:dyDescent="0.2">
      <c r="A103" s="125" t="s">
        <v>187</v>
      </c>
      <c r="B103" s="142" t="s">
        <v>188</v>
      </c>
      <c r="C103" s="100">
        <v>1833</v>
      </c>
      <c r="D103" s="102">
        <v>63.3</v>
      </c>
      <c r="E103" s="100">
        <v>1750</v>
      </c>
      <c r="F103" s="102">
        <v>71.3</v>
      </c>
      <c r="G103" s="100">
        <v>1714</v>
      </c>
      <c r="H103" s="101">
        <v>71.8</v>
      </c>
      <c r="I103" s="134">
        <v>1676</v>
      </c>
      <c r="J103" s="135">
        <v>67.099999999999994</v>
      </c>
      <c r="K103" s="134">
        <v>1796</v>
      </c>
      <c r="L103" s="135">
        <v>72.3</v>
      </c>
      <c r="M103" s="96"/>
      <c r="N103" s="100">
        <v>1836</v>
      </c>
      <c r="O103" s="102">
        <v>57.6</v>
      </c>
      <c r="P103" s="100">
        <v>1755</v>
      </c>
      <c r="Q103" s="102">
        <v>67</v>
      </c>
      <c r="R103" s="100">
        <v>1711</v>
      </c>
      <c r="S103" s="101">
        <v>73.3</v>
      </c>
      <c r="T103" s="134">
        <v>1694</v>
      </c>
      <c r="U103" s="135">
        <v>74.7</v>
      </c>
      <c r="V103" s="134">
        <v>1793</v>
      </c>
      <c r="W103" s="135">
        <v>73.8</v>
      </c>
      <c r="X103" s="136"/>
      <c r="Y103" s="136"/>
      <c r="Z103" s="136"/>
      <c r="AA103" s="136"/>
    </row>
    <row r="104" spans="1:27" ht="11.25" customHeight="1" x14ac:dyDescent="0.2">
      <c r="A104" s="3"/>
      <c r="B104" s="142"/>
      <c r="C104" s="100"/>
      <c r="D104" s="114"/>
      <c r="E104" s="100"/>
      <c r="F104" s="114"/>
      <c r="G104" s="100"/>
      <c r="H104" s="101"/>
      <c r="M104" s="96"/>
      <c r="N104" s="100"/>
      <c r="O104" s="102"/>
      <c r="P104" s="100"/>
      <c r="Q104" s="102"/>
      <c r="R104" s="100"/>
      <c r="S104" s="101"/>
      <c r="V104" s="149"/>
      <c r="W104" s="149"/>
      <c r="X104" s="136"/>
      <c r="Y104" s="136"/>
      <c r="Z104" s="136"/>
      <c r="AA104" s="136"/>
    </row>
    <row r="105" spans="1:27" s="98" customFormat="1" ht="11.25" customHeight="1" x14ac:dyDescent="0.2">
      <c r="A105" s="17" t="s">
        <v>384</v>
      </c>
      <c r="B105" s="92" t="s">
        <v>189</v>
      </c>
      <c r="C105" s="93">
        <v>68991</v>
      </c>
      <c r="D105" s="97">
        <v>70.599999999999994</v>
      </c>
      <c r="E105" s="93">
        <v>69901</v>
      </c>
      <c r="F105" s="97">
        <v>74.599999999999994</v>
      </c>
      <c r="G105" s="93">
        <v>69227</v>
      </c>
      <c r="H105" s="95">
        <v>77.099999999999994</v>
      </c>
      <c r="I105" s="93">
        <v>70028</v>
      </c>
      <c r="J105" s="95">
        <v>73.8</v>
      </c>
      <c r="K105" s="93">
        <v>72176</v>
      </c>
      <c r="L105" s="95">
        <v>77</v>
      </c>
      <c r="M105" s="96"/>
      <c r="N105" s="93">
        <v>69893</v>
      </c>
      <c r="O105" s="97">
        <v>66</v>
      </c>
      <c r="P105" s="93">
        <v>70754</v>
      </c>
      <c r="Q105" s="97">
        <v>69.2</v>
      </c>
      <c r="R105" s="93">
        <v>69998</v>
      </c>
      <c r="S105" s="95">
        <v>72.5</v>
      </c>
      <c r="T105" s="93">
        <v>70787</v>
      </c>
      <c r="U105" s="95">
        <v>75.3</v>
      </c>
      <c r="V105" s="93">
        <v>72983</v>
      </c>
      <c r="W105" s="95">
        <v>77.400000000000006</v>
      </c>
      <c r="X105" s="136"/>
      <c r="Y105" s="136"/>
      <c r="Z105" s="136"/>
      <c r="AA105" s="136"/>
    </row>
    <row r="106" spans="1:27" s="98" customFormat="1" ht="11.25" customHeight="1" x14ac:dyDescent="0.2">
      <c r="A106" s="16" t="s">
        <v>190</v>
      </c>
      <c r="B106" s="92" t="s">
        <v>191</v>
      </c>
      <c r="C106" s="93">
        <v>21201</v>
      </c>
      <c r="D106" s="97">
        <v>68.599999999999994</v>
      </c>
      <c r="E106" s="93">
        <v>21402</v>
      </c>
      <c r="F106" s="97">
        <v>72.3</v>
      </c>
      <c r="G106" s="93">
        <v>21423</v>
      </c>
      <c r="H106" s="95">
        <v>76.2</v>
      </c>
      <c r="I106" s="93">
        <v>22207</v>
      </c>
      <c r="J106" s="95">
        <v>74</v>
      </c>
      <c r="K106" s="93">
        <v>22913</v>
      </c>
      <c r="L106" s="95">
        <v>76.900000000000006</v>
      </c>
      <c r="M106" s="96"/>
      <c r="N106" s="93">
        <v>21488</v>
      </c>
      <c r="O106" s="97">
        <v>63.6</v>
      </c>
      <c r="P106" s="93">
        <v>21721</v>
      </c>
      <c r="Q106" s="97">
        <v>67.7</v>
      </c>
      <c r="R106" s="93">
        <v>21738</v>
      </c>
      <c r="S106" s="95">
        <v>72.5</v>
      </c>
      <c r="T106" s="93">
        <v>22466</v>
      </c>
      <c r="U106" s="95">
        <v>75.2</v>
      </c>
      <c r="V106" s="93">
        <v>23191</v>
      </c>
      <c r="W106" s="95">
        <v>77</v>
      </c>
      <c r="X106" s="136"/>
      <c r="Y106" s="136"/>
      <c r="Z106" s="136"/>
      <c r="AA106" s="136"/>
    </row>
    <row r="107" spans="1:27" ht="11.25" customHeight="1" x14ac:dyDescent="0.2">
      <c r="A107" s="125" t="s">
        <v>192</v>
      </c>
      <c r="B107" s="142" t="s">
        <v>193</v>
      </c>
      <c r="C107" s="100">
        <v>1382</v>
      </c>
      <c r="D107" s="102">
        <v>71.599999999999994</v>
      </c>
      <c r="E107" s="100">
        <v>1450</v>
      </c>
      <c r="F107" s="102">
        <v>72.8</v>
      </c>
      <c r="G107" s="100">
        <v>1420</v>
      </c>
      <c r="H107" s="101">
        <v>77</v>
      </c>
      <c r="I107" s="134">
        <v>1431</v>
      </c>
      <c r="J107" s="135">
        <v>73.599999999999994</v>
      </c>
      <c r="K107" s="134">
        <v>1462</v>
      </c>
      <c r="L107" s="135">
        <v>73.900000000000006</v>
      </c>
      <c r="M107" s="96"/>
      <c r="N107" s="100">
        <v>1385</v>
      </c>
      <c r="O107" s="102">
        <v>59.2</v>
      </c>
      <c r="P107" s="100">
        <v>1454</v>
      </c>
      <c r="Q107" s="102">
        <v>65.400000000000006</v>
      </c>
      <c r="R107" s="100">
        <v>1427</v>
      </c>
      <c r="S107" s="101">
        <v>71.5</v>
      </c>
      <c r="T107" s="134">
        <v>1437</v>
      </c>
      <c r="U107" s="135">
        <v>71.3</v>
      </c>
      <c r="V107" s="134">
        <v>1461</v>
      </c>
      <c r="W107" s="135">
        <v>72.099999999999994</v>
      </c>
      <c r="X107" s="136"/>
      <c r="Y107" s="136"/>
      <c r="Z107" s="136"/>
      <c r="AA107" s="136"/>
    </row>
    <row r="108" spans="1:27" ht="11.25" customHeight="1" x14ac:dyDescent="0.2">
      <c r="A108" s="125" t="s">
        <v>194</v>
      </c>
      <c r="B108" s="142" t="s">
        <v>195</v>
      </c>
      <c r="C108" s="100" t="s">
        <v>196</v>
      </c>
      <c r="D108" s="100" t="s">
        <v>196</v>
      </c>
      <c r="E108" s="100" t="s">
        <v>196</v>
      </c>
      <c r="F108" s="100" t="s">
        <v>196</v>
      </c>
      <c r="G108" s="100" t="s">
        <v>196</v>
      </c>
      <c r="H108" s="100" t="s">
        <v>196</v>
      </c>
      <c r="I108" s="100" t="s">
        <v>196</v>
      </c>
      <c r="J108" s="100" t="s">
        <v>196</v>
      </c>
      <c r="K108" s="100" t="s">
        <v>196</v>
      </c>
      <c r="L108" s="100" t="s">
        <v>196</v>
      </c>
      <c r="M108" s="96"/>
      <c r="N108" s="100" t="s">
        <v>196</v>
      </c>
      <c r="O108" s="100" t="s">
        <v>196</v>
      </c>
      <c r="P108" s="100" t="s">
        <v>196</v>
      </c>
      <c r="Q108" s="100" t="s">
        <v>196</v>
      </c>
      <c r="R108" s="100" t="s">
        <v>196</v>
      </c>
      <c r="S108" s="100" t="s">
        <v>196</v>
      </c>
      <c r="T108" s="100" t="s">
        <v>196</v>
      </c>
      <c r="U108" s="100" t="s">
        <v>196</v>
      </c>
      <c r="V108" s="134" t="s">
        <v>196</v>
      </c>
      <c r="W108" s="135" t="s">
        <v>196</v>
      </c>
      <c r="X108" s="136"/>
      <c r="Y108" s="136"/>
      <c r="Z108" s="136"/>
      <c r="AA108" s="136"/>
    </row>
    <row r="109" spans="1:27" ht="11.25" customHeight="1" x14ac:dyDescent="0.2">
      <c r="A109" s="125" t="s">
        <v>197</v>
      </c>
      <c r="B109" s="142" t="s">
        <v>198</v>
      </c>
      <c r="C109" s="100">
        <v>1268</v>
      </c>
      <c r="D109" s="102">
        <v>69.7</v>
      </c>
      <c r="E109" s="100">
        <v>1254</v>
      </c>
      <c r="F109" s="102">
        <v>77.400000000000006</v>
      </c>
      <c r="G109" s="100">
        <v>1388</v>
      </c>
      <c r="H109" s="101">
        <v>77.099999999999994</v>
      </c>
      <c r="I109" s="134">
        <v>1488</v>
      </c>
      <c r="J109" s="135">
        <v>76.900000000000006</v>
      </c>
      <c r="K109" s="134">
        <v>1569</v>
      </c>
      <c r="L109" s="135">
        <v>76.400000000000006</v>
      </c>
      <c r="M109" s="96"/>
      <c r="N109" s="100">
        <v>1280</v>
      </c>
      <c r="O109" s="102">
        <v>68.7</v>
      </c>
      <c r="P109" s="100">
        <v>1267</v>
      </c>
      <c r="Q109" s="102">
        <v>68.5</v>
      </c>
      <c r="R109" s="100">
        <v>1403</v>
      </c>
      <c r="S109" s="101">
        <v>71</v>
      </c>
      <c r="T109" s="134">
        <v>1504</v>
      </c>
      <c r="U109" s="135">
        <v>77.3</v>
      </c>
      <c r="V109" s="134">
        <v>1583</v>
      </c>
      <c r="W109" s="135">
        <v>78.5</v>
      </c>
      <c r="X109" s="136"/>
      <c r="Y109" s="136"/>
      <c r="Z109" s="136"/>
      <c r="AA109" s="136"/>
    </row>
    <row r="110" spans="1:27" ht="11.25" customHeight="1" x14ac:dyDescent="0.2">
      <c r="A110" s="125" t="s">
        <v>199</v>
      </c>
      <c r="B110" s="142" t="s">
        <v>200</v>
      </c>
      <c r="C110" s="100">
        <v>974</v>
      </c>
      <c r="D110" s="102">
        <v>76.400000000000006</v>
      </c>
      <c r="E110" s="100">
        <v>956</v>
      </c>
      <c r="F110" s="102">
        <v>85</v>
      </c>
      <c r="G110" s="100">
        <v>979</v>
      </c>
      <c r="H110" s="101">
        <v>81.7</v>
      </c>
      <c r="I110" s="134">
        <v>1035</v>
      </c>
      <c r="J110" s="135">
        <v>74.599999999999994</v>
      </c>
      <c r="K110" s="134">
        <v>1089</v>
      </c>
      <c r="L110" s="135">
        <v>71.599999999999994</v>
      </c>
      <c r="M110" s="96"/>
      <c r="N110" s="100">
        <v>992</v>
      </c>
      <c r="O110" s="102">
        <v>76.5</v>
      </c>
      <c r="P110" s="100">
        <v>975</v>
      </c>
      <c r="Q110" s="102">
        <v>79.7</v>
      </c>
      <c r="R110" s="100">
        <v>1001</v>
      </c>
      <c r="S110" s="101">
        <v>82.6</v>
      </c>
      <c r="T110" s="134">
        <v>1052</v>
      </c>
      <c r="U110" s="135">
        <v>79.3</v>
      </c>
      <c r="V110" s="134">
        <v>1119</v>
      </c>
      <c r="W110" s="135">
        <v>80.599999999999994</v>
      </c>
      <c r="X110" s="136"/>
      <c r="Y110" s="136"/>
      <c r="Z110" s="136"/>
      <c r="AA110" s="136"/>
    </row>
    <row r="111" spans="1:27" ht="11.25" customHeight="1" x14ac:dyDescent="0.2">
      <c r="A111" s="125" t="s">
        <v>201</v>
      </c>
      <c r="B111" s="142" t="s">
        <v>202</v>
      </c>
      <c r="C111" s="100">
        <v>1977</v>
      </c>
      <c r="D111" s="102">
        <v>66.900000000000006</v>
      </c>
      <c r="E111" s="100">
        <v>1971</v>
      </c>
      <c r="F111" s="102">
        <v>69.3</v>
      </c>
      <c r="G111" s="100">
        <v>1865</v>
      </c>
      <c r="H111" s="101">
        <v>77.5</v>
      </c>
      <c r="I111" s="134">
        <v>1960</v>
      </c>
      <c r="J111" s="135">
        <v>73.8</v>
      </c>
      <c r="K111" s="134">
        <v>2029</v>
      </c>
      <c r="L111" s="135">
        <v>77.599999999999994</v>
      </c>
      <c r="M111" s="96"/>
      <c r="N111" s="100">
        <v>1998</v>
      </c>
      <c r="O111" s="102">
        <v>66</v>
      </c>
      <c r="P111" s="100">
        <v>2000</v>
      </c>
      <c r="Q111" s="102">
        <v>66.7</v>
      </c>
      <c r="R111" s="100">
        <v>1924</v>
      </c>
      <c r="S111" s="101">
        <v>72.7</v>
      </c>
      <c r="T111" s="134">
        <v>1977</v>
      </c>
      <c r="U111" s="135">
        <v>76.5</v>
      </c>
      <c r="V111" s="134">
        <v>2057</v>
      </c>
      <c r="W111" s="135">
        <v>79.8</v>
      </c>
      <c r="X111" s="136"/>
      <c r="Y111" s="136"/>
      <c r="Z111" s="136"/>
      <c r="AA111" s="136"/>
    </row>
    <row r="112" spans="1:27" ht="11.25" customHeight="1" x14ac:dyDescent="0.2">
      <c r="A112" s="125" t="s">
        <v>203</v>
      </c>
      <c r="B112" s="142" t="s">
        <v>204</v>
      </c>
      <c r="C112" s="100">
        <v>1308</v>
      </c>
      <c r="D112" s="102">
        <v>69.3</v>
      </c>
      <c r="E112" s="100">
        <v>1310</v>
      </c>
      <c r="F112" s="102">
        <v>69.400000000000006</v>
      </c>
      <c r="G112" s="100">
        <v>1242</v>
      </c>
      <c r="H112" s="101">
        <v>67.2</v>
      </c>
      <c r="I112" s="134">
        <v>1374</v>
      </c>
      <c r="J112" s="135">
        <v>68.599999999999994</v>
      </c>
      <c r="K112" s="134">
        <v>1356</v>
      </c>
      <c r="L112" s="135">
        <v>78.2</v>
      </c>
      <c r="M112" s="96"/>
      <c r="N112" s="100">
        <v>1319</v>
      </c>
      <c r="O112" s="102">
        <v>62.3</v>
      </c>
      <c r="P112" s="100">
        <v>1330</v>
      </c>
      <c r="Q112" s="102">
        <v>66.5</v>
      </c>
      <c r="R112" s="100">
        <v>1262</v>
      </c>
      <c r="S112" s="101">
        <v>68.099999999999994</v>
      </c>
      <c r="T112" s="134">
        <v>1394</v>
      </c>
      <c r="U112" s="135">
        <v>71.2</v>
      </c>
      <c r="V112" s="134">
        <v>1374</v>
      </c>
      <c r="W112" s="135">
        <v>79.5</v>
      </c>
      <c r="X112" s="136"/>
      <c r="Y112" s="136"/>
      <c r="Z112" s="136"/>
      <c r="AA112" s="136"/>
    </row>
    <row r="113" spans="1:27" ht="11.25" customHeight="1" x14ac:dyDescent="0.2">
      <c r="A113" s="125" t="s">
        <v>205</v>
      </c>
      <c r="B113" s="142" t="s">
        <v>206</v>
      </c>
      <c r="C113" s="100">
        <v>555</v>
      </c>
      <c r="D113" s="102">
        <v>74.2</v>
      </c>
      <c r="E113" s="100">
        <v>536</v>
      </c>
      <c r="F113" s="102">
        <v>79.900000000000006</v>
      </c>
      <c r="G113" s="100">
        <v>565</v>
      </c>
      <c r="H113" s="101">
        <v>84.2</v>
      </c>
      <c r="I113" s="134">
        <v>591</v>
      </c>
      <c r="J113" s="135">
        <v>84.6</v>
      </c>
      <c r="K113" s="134">
        <v>598</v>
      </c>
      <c r="L113" s="135">
        <v>86</v>
      </c>
      <c r="M113" s="96"/>
      <c r="N113" s="100">
        <v>557</v>
      </c>
      <c r="O113" s="102">
        <v>69.7</v>
      </c>
      <c r="P113" s="100">
        <v>537</v>
      </c>
      <c r="Q113" s="102">
        <v>78.2</v>
      </c>
      <c r="R113" s="100">
        <v>570</v>
      </c>
      <c r="S113" s="101">
        <v>78.599999999999994</v>
      </c>
      <c r="T113" s="134">
        <v>593</v>
      </c>
      <c r="U113" s="135">
        <v>81.599999999999994</v>
      </c>
      <c r="V113" s="134">
        <v>595</v>
      </c>
      <c r="W113" s="135">
        <v>82.9</v>
      </c>
      <c r="X113" s="136"/>
      <c r="Y113" s="136"/>
      <c r="Z113" s="136"/>
      <c r="AA113" s="136"/>
    </row>
    <row r="114" spans="1:27" ht="11.25" customHeight="1" x14ac:dyDescent="0.2">
      <c r="A114" s="125" t="s">
        <v>207</v>
      </c>
      <c r="B114" s="142" t="s">
        <v>208</v>
      </c>
      <c r="C114" s="100">
        <v>1437</v>
      </c>
      <c r="D114" s="102">
        <v>68.900000000000006</v>
      </c>
      <c r="E114" s="100">
        <v>1514</v>
      </c>
      <c r="F114" s="102">
        <v>68.3</v>
      </c>
      <c r="G114" s="100">
        <v>1508</v>
      </c>
      <c r="H114" s="101">
        <v>73</v>
      </c>
      <c r="I114" s="134">
        <v>1679</v>
      </c>
      <c r="J114" s="135">
        <v>74.3</v>
      </c>
      <c r="K114" s="134">
        <v>1777</v>
      </c>
      <c r="L114" s="135">
        <v>76.599999999999994</v>
      </c>
      <c r="M114" s="96"/>
      <c r="N114" s="100">
        <v>1474</v>
      </c>
      <c r="O114" s="102">
        <v>63.4</v>
      </c>
      <c r="P114" s="100">
        <v>1539</v>
      </c>
      <c r="Q114" s="102">
        <v>66.400000000000006</v>
      </c>
      <c r="R114" s="100">
        <v>1534</v>
      </c>
      <c r="S114" s="101">
        <v>71.599999999999994</v>
      </c>
      <c r="T114" s="134">
        <v>1685</v>
      </c>
      <c r="U114" s="135">
        <v>75.5</v>
      </c>
      <c r="V114" s="134">
        <v>1800</v>
      </c>
      <c r="W114" s="135">
        <v>78.8</v>
      </c>
      <c r="X114" s="136"/>
      <c r="Y114" s="136"/>
      <c r="Z114" s="136"/>
      <c r="AA114" s="136"/>
    </row>
    <row r="115" spans="1:27" ht="11.25" customHeight="1" x14ac:dyDescent="0.2">
      <c r="A115" s="125" t="s">
        <v>209</v>
      </c>
      <c r="B115" s="142" t="s">
        <v>210</v>
      </c>
      <c r="C115" s="100">
        <v>1977</v>
      </c>
      <c r="D115" s="102">
        <v>67.900000000000006</v>
      </c>
      <c r="E115" s="100">
        <v>2026</v>
      </c>
      <c r="F115" s="102">
        <v>67</v>
      </c>
      <c r="G115" s="100">
        <v>2012</v>
      </c>
      <c r="H115" s="101">
        <v>73.2</v>
      </c>
      <c r="I115" s="134">
        <v>2094</v>
      </c>
      <c r="J115" s="135">
        <v>69.599999999999994</v>
      </c>
      <c r="K115" s="134">
        <v>2197</v>
      </c>
      <c r="L115" s="135">
        <v>72</v>
      </c>
      <c r="M115" s="96"/>
      <c r="N115" s="100">
        <v>1998</v>
      </c>
      <c r="O115" s="102">
        <v>59.9</v>
      </c>
      <c r="P115" s="100">
        <v>2062</v>
      </c>
      <c r="Q115" s="102">
        <v>58.1</v>
      </c>
      <c r="R115" s="100">
        <v>2036</v>
      </c>
      <c r="S115" s="101">
        <v>68.400000000000006</v>
      </c>
      <c r="T115" s="134">
        <v>2109</v>
      </c>
      <c r="U115" s="135">
        <v>68.400000000000006</v>
      </c>
      <c r="V115" s="134">
        <v>2210</v>
      </c>
      <c r="W115" s="135">
        <v>70.5</v>
      </c>
      <c r="X115" s="136"/>
      <c r="Y115" s="136"/>
      <c r="Z115" s="136"/>
      <c r="AA115" s="136"/>
    </row>
    <row r="116" spans="1:27" ht="11.25" customHeight="1" x14ac:dyDescent="0.2">
      <c r="A116" s="125" t="s">
        <v>211</v>
      </c>
      <c r="B116" s="142" t="s">
        <v>212</v>
      </c>
      <c r="C116" s="100">
        <v>3080</v>
      </c>
      <c r="D116" s="102">
        <v>68.5</v>
      </c>
      <c r="E116" s="100">
        <v>3020</v>
      </c>
      <c r="F116" s="102">
        <v>69.3</v>
      </c>
      <c r="G116" s="100">
        <v>2960</v>
      </c>
      <c r="H116" s="101">
        <v>75.3</v>
      </c>
      <c r="I116" s="134">
        <v>3182</v>
      </c>
      <c r="J116" s="135">
        <v>76.099999999999994</v>
      </c>
      <c r="K116" s="134">
        <v>3201</v>
      </c>
      <c r="L116" s="135">
        <v>77.400000000000006</v>
      </c>
      <c r="M116" s="96"/>
      <c r="N116" s="100">
        <v>3136</v>
      </c>
      <c r="O116" s="102">
        <v>63.8</v>
      </c>
      <c r="P116" s="100">
        <v>3081</v>
      </c>
      <c r="Q116" s="102">
        <v>69</v>
      </c>
      <c r="R116" s="100">
        <v>3009</v>
      </c>
      <c r="S116" s="101">
        <v>75.099999999999994</v>
      </c>
      <c r="T116" s="134">
        <v>3220</v>
      </c>
      <c r="U116" s="135">
        <v>77.8</v>
      </c>
      <c r="V116" s="134">
        <v>3273</v>
      </c>
      <c r="W116" s="135">
        <v>77</v>
      </c>
      <c r="X116" s="136"/>
      <c r="Y116" s="136"/>
      <c r="Z116" s="136"/>
      <c r="AA116" s="136"/>
    </row>
    <row r="117" spans="1:27" ht="11.25" customHeight="1" x14ac:dyDescent="0.2">
      <c r="A117" s="125" t="s">
        <v>213</v>
      </c>
      <c r="B117" s="142" t="s">
        <v>214</v>
      </c>
      <c r="C117" s="100">
        <v>2155</v>
      </c>
      <c r="D117" s="102">
        <v>65.3</v>
      </c>
      <c r="E117" s="100">
        <v>2130</v>
      </c>
      <c r="F117" s="102">
        <v>73.8</v>
      </c>
      <c r="G117" s="100">
        <v>2115</v>
      </c>
      <c r="H117" s="101">
        <v>74.8</v>
      </c>
      <c r="I117" s="134">
        <v>2102</v>
      </c>
      <c r="J117" s="135">
        <v>75</v>
      </c>
      <c r="K117" s="134">
        <v>2161</v>
      </c>
      <c r="L117" s="135">
        <v>80.099999999999994</v>
      </c>
      <c r="M117" s="96"/>
      <c r="N117" s="100">
        <v>2178</v>
      </c>
      <c r="O117" s="102">
        <v>61.8</v>
      </c>
      <c r="P117" s="100">
        <v>2170</v>
      </c>
      <c r="Q117" s="102">
        <v>69.400000000000006</v>
      </c>
      <c r="R117" s="100">
        <v>2155</v>
      </c>
      <c r="S117" s="101">
        <v>71.599999999999994</v>
      </c>
      <c r="T117" s="134">
        <v>2134</v>
      </c>
      <c r="U117" s="135">
        <v>75.099999999999994</v>
      </c>
      <c r="V117" s="134">
        <v>2190</v>
      </c>
      <c r="W117" s="135">
        <v>78.3</v>
      </c>
      <c r="X117" s="136"/>
      <c r="Y117" s="136"/>
      <c r="Z117" s="136"/>
      <c r="AA117" s="136"/>
    </row>
    <row r="118" spans="1:27" ht="11.25" customHeight="1" x14ac:dyDescent="0.2">
      <c r="A118" s="125" t="s">
        <v>215</v>
      </c>
      <c r="B118" s="142" t="s">
        <v>216</v>
      </c>
      <c r="C118" s="100">
        <v>2188</v>
      </c>
      <c r="D118" s="102">
        <v>62.8</v>
      </c>
      <c r="E118" s="100">
        <v>2255</v>
      </c>
      <c r="F118" s="102">
        <v>68.599999999999994</v>
      </c>
      <c r="G118" s="100">
        <v>2379</v>
      </c>
      <c r="H118" s="101">
        <v>75.5</v>
      </c>
      <c r="I118" s="134">
        <v>2275</v>
      </c>
      <c r="J118" s="135">
        <v>72.400000000000006</v>
      </c>
      <c r="K118" s="134">
        <v>2412</v>
      </c>
      <c r="L118" s="135">
        <v>77.5</v>
      </c>
      <c r="M118" s="96"/>
      <c r="N118" s="100">
        <v>2212</v>
      </c>
      <c r="O118" s="102">
        <v>57.5</v>
      </c>
      <c r="P118" s="100">
        <v>2280</v>
      </c>
      <c r="Q118" s="102">
        <v>64</v>
      </c>
      <c r="R118" s="100">
        <v>2397</v>
      </c>
      <c r="S118" s="101">
        <v>70.400000000000006</v>
      </c>
      <c r="T118" s="134">
        <v>2305</v>
      </c>
      <c r="U118" s="135">
        <v>73.7</v>
      </c>
      <c r="V118" s="134">
        <v>2422</v>
      </c>
      <c r="W118" s="135">
        <v>74.3</v>
      </c>
      <c r="X118" s="136"/>
      <c r="Y118" s="136"/>
      <c r="Z118" s="136"/>
      <c r="AA118" s="136"/>
    </row>
    <row r="119" spans="1:27" ht="11.25" customHeight="1" x14ac:dyDescent="0.2">
      <c r="A119" s="125" t="s">
        <v>217</v>
      </c>
      <c r="B119" s="142" t="s">
        <v>218</v>
      </c>
      <c r="C119" s="100">
        <v>1706</v>
      </c>
      <c r="D119" s="102">
        <v>70.8</v>
      </c>
      <c r="E119" s="100">
        <v>1706</v>
      </c>
      <c r="F119" s="102">
        <v>75.3</v>
      </c>
      <c r="G119" s="100">
        <v>1715</v>
      </c>
      <c r="H119" s="101">
        <v>77.400000000000006</v>
      </c>
      <c r="I119" s="134">
        <v>1703</v>
      </c>
      <c r="J119" s="135">
        <v>69.599999999999994</v>
      </c>
      <c r="K119" s="134">
        <v>1724</v>
      </c>
      <c r="L119" s="135">
        <v>72.900000000000006</v>
      </c>
      <c r="M119" s="96"/>
      <c r="N119" s="100">
        <v>1733</v>
      </c>
      <c r="O119" s="102">
        <v>65</v>
      </c>
      <c r="P119" s="100">
        <v>1734</v>
      </c>
      <c r="Q119" s="102">
        <v>69</v>
      </c>
      <c r="R119" s="100">
        <v>1740</v>
      </c>
      <c r="S119" s="101">
        <v>72.5</v>
      </c>
      <c r="T119" s="134">
        <v>1727</v>
      </c>
      <c r="U119" s="135">
        <v>72.2</v>
      </c>
      <c r="V119" s="134">
        <v>1748</v>
      </c>
      <c r="W119" s="135">
        <v>76</v>
      </c>
      <c r="X119" s="136"/>
      <c r="Y119" s="136"/>
      <c r="Z119" s="136"/>
      <c r="AA119" s="136"/>
    </row>
    <row r="120" spans="1:27" ht="11.25" customHeight="1" x14ac:dyDescent="0.2">
      <c r="A120" s="125" t="s">
        <v>219</v>
      </c>
      <c r="B120" s="142" t="s">
        <v>220</v>
      </c>
      <c r="C120" s="100">
        <v>1194</v>
      </c>
      <c r="D120" s="102">
        <v>70.900000000000006</v>
      </c>
      <c r="E120" s="100">
        <v>1274</v>
      </c>
      <c r="F120" s="102">
        <v>81.3</v>
      </c>
      <c r="G120" s="100">
        <v>1275</v>
      </c>
      <c r="H120" s="101">
        <v>84.9</v>
      </c>
      <c r="I120" s="134">
        <v>1293</v>
      </c>
      <c r="J120" s="135">
        <v>81.099999999999994</v>
      </c>
      <c r="K120" s="134">
        <v>1338</v>
      </c>
      <c r="L120" s="135">
        <v>84.8</v>
      </c>
      <c r="M120" s="96"/>
      <c r="N120" s="100">
        <v>1226</v>
      </c>
      <c r="O120" s="102">
        <v>66.2</v>
      </c>
      <c r="P120" s="100">
        <v>1292</v>
      </c>
      <c r="Q120" s="102">
        <v>74.5</v>
      </c>
      <c r="R120" s="100">
        <v>1280</v>
      </c>
      <c r="S120" s="101">
        <v>75.2</v>
      </c>
      <c r="T120" s="134">
        <v>1329</v>
      </c>
      <c r="U120" s="135">
        <v>84.3</v>
      </c>
      <c r="V120" s="134">
        <v>1359</v>
      </c>
      <c r="W120" s="135">
        <v>81.2</v>
      </c>
      <c r="X120" s="136"/>
      <c r="Y120" s="136"/>
      <c r="Z120" s="136"/>
      <c r="AA120" s="136"/>
    </row>
    <row r="121" spans="1:27" ht="11.25" customHeight="1" x14ac:dyDescent="0.2">
      <c r="A121" s="3"/>
      <c r="B121" s="142"/>
      <c r="C121" s="100"/>
      <c r="D121" s="102"/>
      <c r="E121" s="100"/>
      <c r="F121" s="102"/>
      <c r="G121" s="100"/>
      <c r="H121" s="101"/>
      <c r="M121" s="96"/>
      <c r="N121" s="100"/>
      <c r="P121" s="100"/>
      <c r="R121" s="100"/>
      <c r="S121" s="101"/>
      <c r="V121" s="149"/>
      <c r="W121" s="149"/>
      <c r="X121" s="136"/>
      <c r="Y121" s="136"/>
      <c r="Z121" s="136"/>
      <c r="AA121" s="136"/>
    </row>
    <row r="122" spans="1:27" s="98" customFormat="1" ht="11.25" customHeight="1" x14ac:dyDescent="0.2">
      <c r="A122" s="17" t="s">
        <v>221</v>
      </c>
      <c r="B122" s="92" t="s">
        <v>222</v>
      </c>
      <c r="C122" s="93">
        <v>47790</v>
      </c>
      <c r="D122" s="97">
        <v>71.5</v>
      </c>
      <c r="E122" s="93">
        <v>48499</v>
      </c>
      <c r="F122" s="94">
        <v>75.599999999999994</v>
      </c>
      <c r="G122" s="93">
        <v>47804</v>
      </c>
      <c r="H122" s="95">
        <v>77.5</v>
      </c>
      <c r="I122" s="93">
        <v>47821</v>
      </c>
      <c r="J122" s="95">
        <v>73.7</v>
      </c>
      <c r="K122" s="93">
        <v>49263</v>
      </c>
      <c r="L122" s="95">
        <v>77</v>
      </c>
      <c r="M122" s="96"/>
      <c r="N122" s="93">
        <v>48405</v>
      </c>
      <c r="O122" s="97">
        <v>67</v>
      </c>
      <c r="P122" s="93">
        <v>49033</v>
      </c>
      <c r="Q122" s="97">
        <v>69.900000000000006</v>
      </c>
      <c r="R122" s="93">
        <v>48260</v>
      </c>
      <c r="S122" s="95">
        <v>72.5</v>
      </c>
      <c r="T122" s="93">
        <v>48321</v>
      </c>
      <c r="U122" s="95">
        <v>75.400000000000006</v>
      </c>
      <c r="V122" s="93">
        <v>49792</v>
      </c>
      <c r="W122" s="95">
        <v>77.599999999999994</v>
      </c>
      <c r="X122" s="136"/>
      <c r="Y122" s="136"/>
      <c r="Z122" s="136"/>
      <c r="AA122" s="136"/>
    </row>
    <row r="123" spans="1:27" ht="11.25" customHeight="1" x14ac:dyDescent="0.2">
      <c r="A123" s="125" t="s">
        <v>223</v>
      </c>
      <c r="B123" s="142" t="s">
        <v>224</v>
      </c>
      <c r="C123" s="100">
        <v>1924</v>
      </c>
      <c r="D123" s="102">
        <v>63.5</v>
      </c>
      <c r="E123" s="100">
        <v>2013</v>
      </c>
      <c r="F123" s="102">
        <v>69.7</v>
      </c>
      <c r="G123" s="100">
        <v>1941</v>
      </c>
      <c r="H123" s="101">
        <v>73.2</v>
      </c>
      <c r="I123" s="134">
        <v>1990</v>
      </c>
      <c r="J123" s="135">
        <v>70.8</v>
      </c>
      <c r="K123" s="134">
        <v>2106</v>
      </c>
      <c r="L123" s="135">
        <v>78.5</v>
      </c>
      <c r="M123" s="96"/>
      <c r="N123" s="100">
        <v>1945</v>
      </c>
      <c r="O123" s="102">
        <v>55.2</v>
      </c>
      <c r="P123" s="100">
        <v>2036</v>
      </c>
      <c r="Q123" s="102">
        <v>60.5</v>
      </c>
      <c r="R123" s="100">
        <v>1961</v>
      </c>
      <c r="S123" s="101">
        <v>64.099999999999994</v>
      </c>
      <c r="T123" s="134">
        <v>1987</v>
      </c>
      <c r="U123" s="135">
        <v>68.900000000000006</v>
      </c>
      <c r="V123" s="134">
        <v>2120</v>
      </c>
      <c r="W123" s="135">
        <v>66.7</v>
      </c>
      <c r="X123" s="136"/>
      <c r="Y123" s="136"/>
      <c r="Z123" s="136"/>
      <c r="AA123" s="136"/>
    </row>
    <row r="124" spans="1:27" ht="11.25" customHeight="1" x14ac:dyDescent="0.2">
      <c r="A124" s="125" t="s">
        <v>225</v>
      </c>
      <c r="B124" s="142" t="s">
        <v>226</v>
      </c>
      <c r="C124" s="100">
        <v>3044</v>
      </c>
      <c r="D124" s="102">
        <v>78.5</v>
      </c>
      <c r="E124" s="100">
        <v>3193</v>
      </c>
      <c r="F124" s="102">
        <v>82.2</v>
      </c>
      <c r="G124" s="100">
        <v>3162</v>
      </c>
      <c r="H124" s="101">
        <v>82.8</v>
      </c>
      <c r="I124" s="134">
        <v>3084</v>
      </c>
      <c r="J124" s="135">
        <v>81.5</v>
      </c>
      <c r="K124" s="134">
        <v>3288</v>
      </c>
      <c r="L124" s="135">
        <v>81.8</v>
      </c>
      <c r="M124" s="96"/>
      <c r="N124" s="100">
        <v>3071</v>
      </c>
      <c r="O124" s="102">
        <v>69.3</v>
      </c>
      <c r="P124" s="100">
        <v>3234</v>
      </c>
      <c r="Q124" s="102">
        <v>75.2</v>
      </c>
      <c r="R124" s="100">
        <v>3195</v>
      </c>
      <c r="S124" s="101">
        <v>77.5</v>
      </c>
      <c r="T124" s="134">
        <v>3118</v>
      </c>
      <c r="U124" s="135">
        <v>79.599999999999994</v>
      </c>
      <c r="V124" s="134">
        <v>3317</v>
      </c>
      <c r="W124" s="135">
        <v>82.4</v>
      </c>
      <c r="X124" s="136"/>
      <c r="Y124" s="136"/>
      <c r="Z124" s="136"/>
      <c r="AA124" s="136"/>
    </row>
    <row r="125" spans="1:27" ht="11.25" customHeight="1" x14ac:dyDescent="0.2">
      <c r="A125" s="125" t="s">
        <v>227</v>
      </c>
      <c r="B125" s="142" t="s">
        <v>228</v>
      </c>
      <c r="C125" s="100">
        <v>3103</v>
      </c>
      <c r="D125" s="102">
        <v>68.900000000000006</v>
      </c>
      <c r="E125" s="100">
        <v>3185</v>
      </c>
      <c r="F125" s="102">
        <v>71.3</v>
      </c>
      <c r="G125" s="100">
        <v>3177</v>
      </c>
      <c r="H125" s="101">
        <v>74.400000000000006</v>
      </c>
      <c r="I125" s="134">
        <v>3211</v>
      </c>
      <c r="J125" s="135">
        <v>68.599999999999994</v>
      </c>
      <c r="K125" s="134">
        <v>3119</v>
      </c>
      <c r="L125" s="135">
        <v>69.900000000000006</v>
      </c>
      <c r="M125" s="96"/>
      <c r="N125" s="100">
        <v>3130</v>
      </c>
      <c r="O125" s="102">
        <v>64.8</v>
      </c>
      <c r="P125" s="100">
        <v>3198</v>
      </c>
      <c r="Q125" s="102">
        <v>65.599999999999994</v>
      </c>
      <c r="R125" s="100">
        <v>3178</v>
      </c>
      <c r="S125" s="101">
        <v>69.099999999999994</v>
      </c>
      <c r="T125" s="134">
        <v>3217</v>
      </c>
      <c r="U125" s="135">
        <v>75.599999999999994</v>
      </c>
      <c r="V125" s="134">
        <v>3140</v>
      </c>
      <c r="W125" s="135">
        <v>77</v>
      </c>
      <c r="X125" s="136"/>
      <c r="Y125" s="136"/>
      <c r="Z125" s="136"/>
      <c r="AA125" s="136"/>
    </row>
    <row r="126" spans="1:27" ht="11.25" customHeight="1" x14ac:dyDescent="0.2">
      <c r="A126" s="125" t="s">
        <v>229</v>
      </c>
      <c r="B126" s="142" t="s">
        <v>230</v>
      </c>
      <c r="C126" s="100">
        <v>2474</v>
      </c>
      <c r="D126" s="102">
        <v>75.900000000000006</v>
      </c>
      <c r="E126" s="100">
        <v>2581</v>
      </c>
      <c r="F126" s="102">
        <v>78.5</v>
      </c>
      <c r="G126" s="100">
        <v>2496</v>
      </c>
      <c r="H126" s="101">
        <v>80.599999999999994</v>
      </c>
      <c r="I126" s="134">
        <v>2554</v>
      </c>
      <c r="J126" s="135">
        <v>73.8</v>
      </c>
      <c r="K126" s="134">
        <v>2603</v>
      </c>
      <c r="L126" s="135">
        <v>77.900000000000006</v>
      </c>
      <c r="M126" s="96"/>
      <c r="N126" s="100">
        <v>2560</v>
      </c>
      <c r="O126" s="102">
        <v>75.400000000000006</v>
      </c>
      <c r="P126" s="100">
        <v>2634</v>
      </c>
      <c r="Q126" s="102">
        <v>76.3</v>
      </c>
      <c r="R126" s="100">
        <v>2571</v>
      </c>
      <c r="S126" s="101">
        <v>78.5</v>
      </c>
      <c r="T126" s="134">
        <v>2603</v>
      </c>
      <c r="U126" s="135">
        <v>77.599999999999994</v>
      </c>
      <c r="V126" s="134">
        <v>2672</v>
      </c>
      <c r="W126" s="135">
        <v>78.7</v>
      </c>
      <c r="X126" s="136"/>
      <c r="Y126" s="136"/>
      <c r="Z126" s="136"/>
      <c r="AA126" s="136"/>
    </row>
    <row r="127" spans="1:27" ht="11.25" customHeight="1" x14ac:dyDescent="0.2">
      <c r="A127" s="125" t="s">
        <v>231</v>
      </c>
      <c r="B127" s="142" t="s">
        <v>232</v>
      </c>
      <c r="C127" s="100">
        <v>3436</v>
      </c>
      <c r="D127" s="102">
        <v>74.900000000000006</v>
      </c>
      <c r="E127" s="100">
        <v>3347</v>
      </c>
      <c r="F127" s="102">
        <v>77.400000000000006</v>
      </c>
      <c r="G127" s="100">
        <v>3352</v>
      </c>
      <c r="H127" s="101">
        <v>79.8</v>
      </c>
      <c r="I127" s="134">
        <v>3267</v>
      </c>
      <c r="J127" s="135">
        <v>76.400000000000006</v>
      </c>
      <c r="K127" s="134">
        <v>3343</v>
      </c>
      <c r="L127" s="135">
        <v>81.5</v>
      </c>
      <c r="M127" s="96"/>
      <c r="N127" s="100">
        <v>3440</v>
      </c>
      <c r="O127" s="102">
        <v>69.3</v>
      </c>
      <c r="P127" s="100">
        <v>3350</v>
      </c>
      <c r="Q127" s="102">
        <v>71.900000000000006</v>
      </c>
      <c r="R127" s="100">
        <v>3359</v>
      </c>
      <c r="S127" s="101">
        <v>72.5</v>
      </c>
      <c r="T127" s="134">
        <v>3268</v>
      </c>
      <c r="U127" s="135">
        <v>76.900000000000006</v>
      </c>
      <c r="V127" s="134">
        <v>3354</v>
      </c>
      <c r="W127" s="135">
        <v>81.2</v>
      </c>
      <c r="X127" s="136"/>
      <c r="Y127" s="136"/>
      <c r="Z127" s="136"/>
      <c r="AA127" s="136"/>
    </row>
    <row r="128" spans="1:27" ht="11.25" customHeight="1" x14ac:dyDescent="0.2">
      <c r="A128" s="125" t="s">
        <v>233</v>
      </c>
      <c r="B128" s="142" t="s">
        <v>234</v>
      </c>
      <c r="C128" s="100">
        <v>3462</v>
      </c>
      <c r="D128" s="102">
        <v>66.8</v>
      </c>
      <c r="E128" s="100">
        <v>3493</v>
      </c>
      <c r="F128" s="102">
        <v>70.7</v>
      </c>
      <c r="G128" s="100">
        <v>3512</v>
      </c>
      <c r="H128" s="101">
        <v>73.7</v>
      </c>
      <c r="I128" s="134">
        <v>3404</v>
      </c>
      <c r="J128" s="135">
        <v>73.099999999999994</v>
      </c>
      <c r="K128" s="134">
        <v>3561</v>
      </c>
      <c r="L128" s="135">
        <v>75.900000000000006</v>
      </c>
      <c r="M128" s="96"/>
      <c r="N128" s="100">
        <v>3475</v>
      </c>
      <c r="O128" s="102">
        <v>63.2</v>
      </c>
      <c r="P128" s="100">
        <v>3525</v>
      </c>
      <c r="Q128" s="102">
        <v>66.8</v>
      </c>
      <c r="R128" s="100">
        <v>3541</v>
      </c>
      <c r="S128" s="101">
        <v>71.599999999999994</v>
      </c>
      <c r="T128" s="134">
        <v>3444</v>
      </c>
      <c r="U128" s="135">
        <v>73.400000000000006</v>
      </c>
      <c r="V128" s="134">
        <v>3586</v>
      </c>
      <c r="W128" s="135">
        <v>75</v>
      </c>
      <c r="X128" s="136"/>
      <c r="Y128" s="136"/>
      <c r="Z128" s="136"/>
      <c r="AA128" s="136"/>
    </row>
    <row r="129" spans="1:27" ht="11.25" customHeight="1" x14ac:dyDescent="0.2">
      <c r="A129" s="125" t="s">
        <v>235</v>
      </c>
      <c r="B129" s="142" t="s">
        <v>236</v>
      </c>
      <c r="C129" s="100">
        <v>2546</v>
      </c>
      <c r="D129" s="102">
        <v>74.5</v>
      </c>
      <c r="E129" s="100">
        <v>2635</v>
      </c>
      <c r="F129" s="102">
        <v>79</v>
      </c>
      <c r="G129" s="100">
        <v>2492</v>
      </c>
      <c r="H129" s="101">
        <v>77.7</v>
      </c>
      <c r="I129" s="134">
        <v>2583</v>
      </c>
      <c r="J129" s="135">
        <v>76.2</v>
      </c>
      <c r="K129" s="134">
        <v>2649</v>
      </c>
      <c r="L129" s="135">
        <v>77.5</v>
      </c>
      <c r="M129" s="96"/>
      <c r="N129" s="100">
        <v>2582</v>
      </c>
      <c r="O129" s="102">
        <v>67.599999999999994</v>
      </c>
      <c r="P129" s="100">
        <v>2672</v>
      </c>
      <c r="Q129" s="102">
        <v>71.2</v>
      </c>
      <c r="R129" s="100">
        <v>2527</v>
      </c>
      <c r="S129" s="101">
        <v>73.900000000000006</v>
      </c>
      <c r="T129" s="134">
        <v>2631</v>
      </c>
      <c r="U129" s="135">
        <v>74</v>
      </c>
      <c r="V129" s="134">
        <v>2699</v>
      </c>
      <c r="W129" s="135">
        <v>75.099999999999994</v>
      </c>
      <c r="X129" s="136"/>
      <c r="Y129" s="136"/>
      <c r="Z129" s="136"/>
      <c r="AA129" s="136"/>
    </row>
    <row r="130" spans="1:27" ht="11.25" customHeight="1" x14ac:dyDescent="0.2">
      <c r="A130" s="125" t="s">
        <v>237</v>
      </c>
      <c r="B130" s="142" t="s">
        <v>238</v>
      </c>
      <c r="C130" s="100">
        <v>3434</v>
      </c>
      <c r="D130" s="102">
        <v>68.5</v>
      </c>
      <c r="E130" s="100">
        <v>3449</v>
      </c>
      <c r="F130" s="102">
        <v>75.3</v>
      </c>
      <c r="G130" s="100">
        <v>3334</v>
      </c>
      <c r="H130" s="101">
        <v>75.099999999999994</v>
      </c>
      <c r="I130" s="134">
        <v>3541</v>
      </c>
      <c r="J130" s="135">
        <v>70.400000000000006</v>
      </c>
      <c r="K130" s="134">
        <v>3609</v>
      </c>
      <c r="L130" s="135">
        <v>75.400000000000006</v>
      </c>
      <c r="M130" s="96"/>
      <c r="N130" s="100">
        <v>3467</v>
      </c>
      <c r="O130" s="102">
        <v>63.3</v>
      </c>
      <c r="P130" s="100">
        <v>3490</v>
      </c>
      <c r="Q130" s="102">
        <v>66.5</v>
      </c>
      <c r="R130" s="100">
        <v>3332</v>
      </c>
      <c r="S130" s="101">
        <v>70.900000000000006</v>
      </c>
      <c r="T130" s="134">
        <v>3561</v>
      </c>
      <c r="U130" s="135">
        <v>67.3</v>
      </c>
      <c r="V130" s="134">
        <v>3636</v>
      </c>
      <c r="W130" s="135">
        <v>74.900000000000006</v>
      </c>
      <c r="X130" s="136"/>
      <c r="Y130" s="136"/>
      <c r="Z130" s="136"/>
      <c r="AA130" s="136"/>
    </row>
    <row r="131" spans="1:27" ht="11.25" customHeight="1" x14ac:dyDescent="0.2">
      <c r="A131" s="125" t="s">
        <v>239</v>
      </c>
      <c r="B131" s="142" t="s">
        <v>240</v>
      </c>
      <c r="C131" s="100">
        <v>2207</v>
      </c>
      <c r="D131" s="102">
        <v>63.8</v>
      </c>
      <c r="E131" s="100">
        <v>2130</v>
      </c>
      <c r="F131" s="102">
        <v>72.3</v>
      </c>
      <c r="G131" s="100">
        <v>2076</v>
      </c>
      <c r="H131" s="101">
        <v>73.599999999999994</v>
      </c>
      <c r="I131" s="134">
        <v>2004</v>
      </c>
      <c r="J131" s="135">
        <v>75.599999999999994</v>
      </c>
      <c r="K131" s="134">
        <v>1990</v>
      </c>
      <c r="L131" s="135">
        <v>79.400000000000006</v>
      </c>
      <c r="M131" s="96"/>
      <c r="N131" s="100">
        <v>2243</v>
      </c>
      <c r="O131" s="102">
        <v>54.3</v>
      </c>
      <c r="P131" s="100">
        <v>2170</v>
      </c>
      <c r="Q131" s="102">
        <v>60</v>
      </c>
      <c r="R131" s="100">
        <v>2104</v>
      </c>
      <c r="S131" s="101">
        <v>63.4</v>
      </c>
      <c r="T131" s="134">
        <v>2042</v>
      </c>
      <c r="U131" s="135">
        <v>75.900000000000006</v>
      </c>
      <c r="V131" s="134">
        <v>2027</v>
      </c>
      <c r="W131" s="135">
        <v>79.099999999999994</v>
      </c>
      <c r="X131" s="136"/>
      <c r="Y131" s="136"/>
      <c r="Z131" s="136"/>
      <c r="AA131" s="136"/>
    </row>
    <row r="132" spans="1:27" ht="11.25" customHeight="1" x14ac:dyDescent="0.2">
      <c r="A132" s="125" t="s">
        <v>241</v>
      </c>
      <c r="B132" s="142" t="s">
        <v>242</v>
      </c>
      <c r="C132" s="100">
        <v>1930</v>
      </c>
      <c r="D132" s="102">
        <v>77.400000000000006</v>
      </c>
      <c r="E132" s="100">
        <v>1992</v>
      </c>
      <c r="F132" s="102">
        <v>79</v>
      </c>
      <c r="G132" s="100">
        <v>1954</v>
      </c>
      <c r="H132" s="101">
        <v>79.3</v>
      </c>
      <c r="I132" s="134">
        <v>1933</v>
      </c>
      <c r="J132" s="135">
        <v>81.2</v>
      </c>
      <c r="K132" s="134">
        <v>1992</v>
      </c>
      <c r="L132" s="135">
        <v>78.3</v>
      </c>
      <c r="M132" s="96"/>
      <c r="N132" s="100">
        <v>1979</v>
      </c>
      <c r="O132" s="102">
        <v>75.2</v>
      </c>
      <c r="P132" s="100">
        <v>2036</v>
      </c>
      <c r="Q132" s="102">
        <v>77</v>
      </c>
      <c r="R132" s="100">
        <v>1993</v>
      </c>
      <c r="S132" s="101">
        <v>78.5</v>
      </c>
      <c r="T132" s="134">
        <v>1985</v>
      </c>
      <c r="U132" s="135">
        <v>79.400000000000006</v>
      </c>
      <c r="V132" s="134">
        <v>2035</v>
      </c>
      <c r="W132" s="135">
        <v>81.8</v>
      </c>
      <c r="X132" s="136"/>
      <c r="Y132" s="136"/>
      <c r="Z132" s="136"/>
      <c r="AA132" s="136"/>
    </row>
    <row r="133" spans="1:27" ht="11.25" customHeight="1" x14ac:dyDescent="0.2">
      <c r="A133" s="125" t="s">
        <v>243</v>
      </c>
      <c r="B133" s="142" t="s">
        <v>244</v>
      </c>
      <c r="C133" s="100">
        <v>2973</v>
      </c>
      <c r="D133" s="102">
        <v>68.5</v>
      </c>
      <c r="E133" s="100">
        <v>3030</v>
      </c>
      <c r="F133" s="102">
        <v>70.3</v>
      </c>
      <c r="G133" s="100">
        <v>3004</v>
      </c>
      <c r="H133" s="101">
        <v>74.7</v>
      </c>
      <c r="I133" s="134">
        <v>2954</v>
      </c>
      <c r="J133" s="135">
        <v>64.400000000000006</v>
      </c>
      <c r="K133" s="134">
        <v>2983</v>
      </c>
      <c r="L133" s="135">
        <v>71.900000000000006</v>
      </c>
      <c r="M133" s="96"/>
      <c r="N133" s="100">
        <v>2977</v>
      </c>
      <c r="O133" s="102">
        <v>66.2</v>
      </c>
      <c r="P133" s="100">
        <v>3039</v>
      </c>
      <c r="Q133" s="102">
        <v>68.900000000000006</v>
      </c>
      <c r="R133" s="100">
        <v>3002</v>
      </c>
      <c r="S133" s="101">
        <v>71.2</v>
      </c>
      <c r="T133" s="134">
        <v>2969</v>
      </c>
      <c r="U133" s="135">
        <v>73</v>
      </c>
      <c r="V133" s="134">
        <v>2997</v>
      </c>
      <c r="W133" s="135">
        <v>73.7</v>
      </c>
      <c r="X133" s="136"/>
      <c r="Y133" s="136"/>
      <c r="Z133" s="136"/>
      <c r="AA133" s="136"/>
    </row>
    <row r="134" spans="1:27" ht="11.25" customHeight="1" x14ac:dyDescent="0.2">
      <c r="A134" s="125" t="s">
        <v>245</v>
      </c>
      <c r="B134" s="142" t="s">
        <v>246</v>
      </c>
      <c r="C134" s="100">
        <v>2724</v>
      </c>
      <c r="D134" s="102">
        <v>65.7</v>
      </c>
      <c r="E134" s="100">
        <v>2859</v>
      </c>
      <c r="F134" s="102">
        <v>72.3</v>
      </c>
      <c r="G134" s="100">
        <v>2812</v>
      </c>
      <c r="H134" s="101">
        <v>74.3</v>
      </c>
      <c r="I134" s="134">
        <v>2804</v>
      </c>
      <c r="J134" s="135">
        <v>69.7</v>
      </c>
      <c r="K134" s="134">
        <v>2893</v>
      </c>
      <c r="L134" s="135">
        <v>72.599999999999994</v>
      </c>
      <c r="M134" s="96"/>
      <c r="N134" s="100">
        <v>2795</v>
      </c>
      <c r="O134" s="102">
        <v>60.9</v>
      </c>
      <c r="P134" s="100">
        <v>2912</v>
      </c>
      <c r="Q134" s="102">
        <v>64.099999999999994</v>
      </c>
      <c r="R134" s="100">
        <v>2834</v>
      </c>
      <c r="S134" s="101">
        <v>67.900000000000006</v>
      </c>
      <c r="T134" s="134">
        <v>2822</v>
      </c>
      <c r="U134" s="135">
        <v>73.599999999999994</v>
      </c>
      <c r="V134" s="134">
        <v>2924</v>
      </c>
      <c r="W134" s="135">
        <v>73.3</v>
      </c>
      <c r="X134" s="136"/>
      <c r="Y134" s="136"/>
      <c r="Z134" s="136"/>
      <c r="AA134" s="136"/>
    </row>
    <row r="135" spans="1:27" ht="11.25" customHeight="1" x14ac:dyDescent="0.2">
      <c r="A135" s="125" t="s">
        <v>247</v>
      </c>
      <c r="B135" s="142" t="s">
        <v>248</v>
      </c>
      <c r="C135" s="100">
        <v>2343</v>
      </c>
      <c r="D135" s="102">
        <v>72.8</v>
      </c>
      <c r="E135" s="100">
        <v>2406</v>
      </c>
      <c r="F135" s="102">
        <v>78.099999999999994</v>
      </c>
      <c r="G135" s="100">
        <v>2370</v>
      </c>
      <c r="H135" s="101">
        <v>80.7</v>
      </c>
      <c r="I135" s="134">
        <v>2316</v>
      </c>
      <c r="J135" s="135">
        <v>74.8</v>
      </c>
      <c r="K135" s="134">
        <v>2518</v>
      </c>
      <c r="L135" s="135">
        <v>78.2</v>
      </c>
      <c r="M135" s="96"/>
      <c r="N135" s="100">
        <v>2386</v>
      </c>
      <c r="O135" s="102">
        <v>67.8</v>
      </c>
      <c r="P135" s="100">
        <v>2440</v>
      </c>
      <c r="Q135" s="102">
        <v>69</v>
      </c>
      <c r="R135" s="100">
        <v>2418</v>
      </c>
      <c r="S135" s="101">
        <v>72.2</v>
      </c>
      <c r="T135" s="134">
        <v>2365</v>
      </c>
      <c r="U135" s="135">
        <v>75.599999999999994</v>
      </c>
      <c r="V135" s="134">
        <v>2548</v>
      </c>
      <c r="W135" s="135">
        <v>79.5</v>
      </c>
      <c r="X135" s="136"/>
      <c r="Y135" s="136"/>
      <c r="Z135" s="136"/>
      <c r="AA135" s="136"/>
    </row>
    <row r="136" spans="1:27" ht="11.25" customHeight="1" x14ac:dyDescent="0.2">
      <c r="A136" s="125" t="s">
        <v>249</v>
      </c>
      <c r="B136" s="142" t="s">
        <v>250</v>
      </c>
      <c r="C136" s="100">
        <v>1426</v>
      </c>
      <c r="D136" s="102">
        <v>79.3</v>
      </c>
      <c r="E136" s="100">
        <v>1388</v>
      </c>
      <c r="F136" s="102">
        <v>80.900000000000006</v>
      </c>
      <c r="G136" s="100">
        <v>1451</v>
      </c>
      <c r="H136" s="101">
        <v>82.1</v>
      </c>
      <c r="I136" s="134">
        <v>1456</v>
      </c>
      <c r="J136" s="135">
        <v>77.900000000000006</v>
      </c>
      <c r="K136" s="134">
        <v>1525</v>
      </c>
      <c r="L136" s="135">
        <v>79.900000000000006</v>
      </c>
      <c r="M136" s="96"/>
      <c r="N136" s="100">
        <v>1441</v>
      </c>
      <c r="O136" s="102">
        <v>73.5</v>
      </c>
      <c r="P136" s="100">
        <v>1403</v>
      </c>
      <c r="Q136" s="102">
        <v>75.5</v>
      </c>
      <c r="R136" s="100">
        <v>1471</v>
      </c>
      <c r="S136" s="101">
        <v>77.3</v>
      </c>
      <c r="T136" s="134">
        <v>1479</v>
      </c>
      <c r="U136" s="135">
        <v>80.7</v>
      </c>
      <c r="V136" s="134">
        <v>1544</v>
      </c>
      <c r="W136" s="135">
        <v>78.599999999999994</v>
      </c>
      <c r="X136" s="136"/>
      <c r="Y136" s="136"/>
      <c r="Z136" s="136"/>
      <c r="AA136" s="136"/>
    </row>
    <row r="137" spans="1:27" ht="11.25" customHeight="1" x14ac:dyDescent="0.2">
      <c r="A137" s="125" t="s">
        <v>251</v>
      </c>
      <c r="B137" s="142" t="s">
        <v>252</v>
      </c>
      <c r="C137" s="100">
        <v>1420</v>
      </c>
      <c r="D137" s="102">
        <v>69.3</v>
      </c>
      <c r="E137" s="100">
        <v>1444</v>
      </c>
      <c r="F137" s="102">
        <v>67.8</v>
      </c>
      <c r="G137" s="100">
        <v>1371</v>
      </c>
      <c r="H137" s="101">
        <v>74.7</v>
      </c>
      <c r="I137" s="134">
        <v>1430</v>
      </c>
      <c r="J137" s="135">
        <v>70.900000000000006</v>
      </c>
      <c r="K137" s="134">
        <v>1481</v>
      </c>
      <c r="L137" s="135">
        <v>75.3</v>
      </c>
      <c r="M137" s="96"/>
      <c r="N137" s="100">
        <v>1447</v>
      </c>
      <c r="O137" s="102">
        <v>61</v>
      </c>
      <c r="P137" s="100">
        <v>1473</v>
      </c>
      <c r="Q137" s="102">
        <v>64.2</v>
      </c>
      <c r="R137" s="100">
        <v>1405</v>
      </c>
      <c r="S137" s="101">
        <v>74</v>
      </c>
      <c r="T137" s="134">
        <v>1459</v>
      </c>
      <c r="U137" s="135">
        <v>78.2</v>
      </c>
      <c r="V137" s="134">
        <v>1509</v>
      </c>
      <c r="W137" s="135">
        <v>77.900000000000006</v>
      </c>
      <c r="X137" s="136"/>
      <c r="Y137" s="136"/>
      <c r="Z137" s="136"/>
      <c r="AA137" s="136"/>
    </row>
    <row r="138" spans="1:27" ht="11.25" customHeight="1" x14ac:dyDescent="0.2">
      <c r="A138" s="125" t="s">
        <v>253</v>
      </c>
      <c r="B138" s="142" t="s">
        <v>254</v>
      </c>
      <c r="C138" s="100">
        <v>3044</v>
      </c>
      <c r="D138" s="102">
        <v>79.5</v>
      </c>
      <c r="E138" s="100">
        <v>3032</v>
      </c>
      <c r="F138" s="102">
        <v>83.7</v>
      </c>
      <c r="G138" s="100">
        <v>3118</v>
      </c>
      <c r="H138" s="101">
        <v>82.8</v>
      </c>
      <c r="I138" s="134">
        <v>3166</v>
      </c>
      <c r="J138" s="135">
        <v>79.2</v>
      </c>
      <c r="K138" s="134">
        <v>3290</v>
      </c>
      <c r="L138" s="135">
        <v>80.400000000000006</v>
      </c>
      <c r="M138" s="96"/>
      <c r="N138" s="100">
        <v>3111</v>
      </c>
      <c r="O138" s="102">
        <v>78.2</v>
      </c>
      <c r="P138" s="100">
        <v>3062</v>
      </c>
      <c r="Q138" s="102">
        <v>81.099999999999994</v>
      </c>
      <c r="R138" s="100">
        <v>3136</v>
      </c>
      <c r="S138" s="101">
        <v>78.3</v>
      </c>
      <c r="T138" s="134">
        <v>3191</v>
      </c>
      <c r="U138" s="135">
        <v>83.9</v>
      </c>
      <c r="V138" s="134">
        <v>3309</v>
      </c>
      <c r="W138" s="135">
        <v>82</v>
      </c>
      <c r="X138" s="136"/>
      <c r="Y138" s="136"/>
      <c r="Z138" s="136"/>
      <c r="AA138" s="136"/>
    </row>
    <row r="139" spans="1:27" ht="11.25" customHeight="1" x14ac:dyDescent="0.2">
      <c r="A139" s="125" t="s">
        <v>255</v>
      </c>
      <c r="B139" s="142" t="s">
        <v>256</v>
      </c>
      <c r="C139" s="100">
        <v>1349</v>
      </c>
      <c r="D139" s="102">
        <v>69.8</v>
      </c>
      <c r="E139" s="100">
        <v>1276</v>
      </c>
      <c r="F139" s="102">
        <v>73</v>
      </c>
      <c r="G139" s="100">
        <v>1320</v>
      </c>
      <c r="H139" s="101">
        <v>75.599999999999994</v>
      </c>
      <c r="I139" s="134">
        <v>1223</v>
      </c>
      <c r="J139" s="135">
        <v>68.400000000000006</v>
      </c>
      <c r="K139" s="134">
        <v>1271</v>
      </c>
      <c r="L139" s="135">
        <v>74.7</v>
      </c>
      <c r="M139" s="96"/>
      <c r="N139" s="100">
        <v>1364</v>
      </c>
      <c r="O139" s="102">
        <v>62.8</v>
      </c>
      <c r="P139" s="100">
        <v>1281</v>
      </c>
      <c r="Q139" s="102">
        <v>66.099999999999994</v>
      </c>
      <c r="R139" s="100">
        <v>1331</v>
      </c>
      <c r="S139" s="101">
        <v>68.400000000000006</v>
      </c>
      <c r="T139" s="134">
        <v>1236</v>
      </c>
      <c r="U139" s="135">
        <v>72.3</v>
      </c>
      <c r="V139" s="134">
        <v>1278</v>
      </c>
      <c r="W139" s="135">
        <v>79</v>
      </c>
      <c r="X139" s="136"/>
      <c r="Y139" s="136"/>
      <c r="Z139" s="136"/>
      <c r="AA139" s="136"/>
    </row>
    <row r="140" spans="1:27" ht="11.25" customHeight="1" x14ac:dyDescent="0.2">
      <c r="A140" s="125" t="s">
        <v>257</v>
      </c>
      <c r="B140" s="142" t="s">
        <v>258</v>
      </c>
      <c r="C140" s="100">
        <v>2543</v>
      </c>
      <c r="D140" s="102">
        <v>75.400000000000006</v>
      </c>
      <c r="E140" s="100">
        <v>2594</v>
      </c>
      <c r="F140" s="102">
        <v>79.3</v>
      </c>
      <c r="G140" s="100">
        <v>2559</v>
      </c>
      <c r="H140" s="101">
        <v>82.3</v>
      </c>
      <c r="I140" s="134">
        <v>2578</v>
      </c>
      <c r="J140" s="135">
        <v>78.7</v>
      </c>
      <c r="K140" s="134">
        <v>2648</v>
      </c>
      <c r="L140" s="135">
        <v>83.2</v>
      </c>
      <c r="M140" s="96"/>
      <c r="N140" s="100">
        <v>2553</v>
      </c>
      <c r="O140" s="102">
        <v>77.3</v>
      </c>
      <c r="P140" s="100">
        <v>2601</v>
      </c>
      <c r="Q140" s="102">
        <v>78.099999999999994</v>
      </c>
      <c r="R140" s="100">
        <v>2577</v>
      </c>
      <c r="S140" s="101">
        <v>79.400000000000006</v>
      </c>
      <c r="T140" s="134">
        <v>2584</v>
      </c>
      <c r="U140" s="135">
        <v>81.5</v>
      </c>
      <c r="V140" s="134">
        <v>2659</v>
      </c>
      <c r="W140" s="135">
        <v>83.8</v>
      </c>
      <c r="X140" s="136"/>
      <c r="Y140" s="136"/>
      <c r="Z140" s="136"/>
      <c r="AA140" s="136"/>
    </row>
    <row r="141" spans="1:27" ht="11.25" customHeight="1" x14ac:dyDescent="0.2">
      <c r="A141" s="125" t="s">
        <v>259</v>
      </c>
      <c r="B141" s="142" t="s">
        <v>260</v>
      </c>
      <c r="C141" s="100">
        <v>2408</v>
      </c>
      <c r="D141" s="102">
        <v>66.099999999999994</v>
      </c>
      <c r="E141" s="100">
        <v>2452</v>
      </c>
      <c r="F141" s="102">
        <v>73.400000000000006</v>
      </c>
      <c r="G141" s="100">
        <v>2303</v>
      </c>
      <c r="H141" s="101">
        <v>74.2</v>
      </c>
      <c r="I141" s="134">
        <v>2323</v>
      </c>
      <c r="J141" s="135">
        <v>68.2</v>
      </c>
      <c r="K141" s="134">
        <v>2394</v>
      </c>
      <c r="L141" s="135">
        <v>71.3</v>
      </c>
      <c r="M141" s="96"/>
      <c r="N141" s="100">
        <v>2439</v>
      </c>
      <c r="O141" s="102">
        <v>63.9</v>
      </c>
      <c r="P141" s="100">
        <v>2477</v>
      </c>
      <c r="Q141" s="102">
        <v>66.400000000000006</v>
      </c>
      <c r="R141" s="100">
        <v>2325</v>
      </c>
      <c r="S141" s="101">
        <v>67.7</v>
      </c>
      <c r="T141" s="134">
        <v>2360</v>
      </c>
      <c r="U141" s="135">
        <v>66.900000000000006</v>
      </c>
      <c r="V141" s="134">
        <v>2438</v>
      </c>
      <c r="W141" s="135">
        <v>73.7</v>
      </c>
      <c r="X141" s="136"/>
      <c r="Y141" s="136"/>
      <c r="Z141" s="136"/>
      <c r="AA141" s="136"/>
    </row>
    <row r="142" spans="1:27" ht="11.25" customHeight="1" x14ac:dyDescent="0.2">
      <c r="A142" s="3"/>
      <c r="B142" s="142"/>
      <c r="C142" s="100"/>
      <c r="D142" s="114"/>
      <c r="E142" s="100"/>
      <c r="F142" s="114"/>
      <c r="G142" s="100"/>
      <c r="H142" s="101"/>
      <c r="M142" s="96"/>
      <c r="N142" s="100"/>
      <c r="O142" s="102"/>
      <c r="P142" s="100"/>
      <c r="Q142" s="102"/>
      <c r="R142" s="100"/>
      <c r="S142" s="101"/>
      <c r="V142" s="149"/>
      <c r="W142" s="149"/>
      <c r="X142" s="136"/>
      <c r="Y142" s="136"/>
      <c r="Z142" s="136"/>
      <c r="AA142" s="136"/>
    </row>
    <row r="143" spans="1:27" s="98" customFormat="1" ht="11.25" customHeight="1" x14ac:dyDescent="0.2">
      <c r="A143" s="16" t="s">
        <v>387</v>
      </c>
      <c r="B143" s="92" t="s">
        <v>261</v>
      </c>
      <c r="C143" s="93">
        <v>86857</v>
      </c>
      <c r="D143" s="97">
        <v>67.5</v>
      </c>
      <c r="E143" s="93">
        <v>88474</v>
      </c>
      <c r="F143" s="97">
        <v>71.7</v>
      </c>
      <c r="G143" s="93">
        <v>85534</v>
      </c>
      <c r="H143" s="95">
        <v>72.2</v>
      </c>
      <c r="I143" s="93">
        <v>85179</v>
      </c>
      <c r="J143" s="95">
        <v>68.400000000000006</v>
      </c>
      <c r="K143" s="93">
        <v>87045</v>
      </c>
      <c r="L143" s="95">
        <v>72.3</v>
      </c>
      <c r="M143" s="96"/>
      <c r="N143" s="93">
        <v>87089</v>
      </c>
      <c r="O143" s="97">
        <v>62.5</v>
      </c>
      <c r="P143" s="93">
        <v>88723</v>
      </c>
      <c r="Q143" s="97">
        <v>66</v>
      </c>
      <c r="R143" s="93">
        <v>85777</v>
      </c>
      <c r="S143" s="95">
        <v>67.8</v>
      </c>
      <c r="T143" s="93">
        <v>85465</v>
      </c>
      <c r="U143" s="95">
        <v>70.8</v>
      </c>
      <c r="V143" s="93">
        <v>87445</v>
      </c>
      <c r="W143" s="95">
        <v>72.8</v>
      </c>
      <c r="X143" s="136"/>
      <c r="Y143" s="136"/>
      <c r="Z143" s="136"/>
      <c r="AA143" s="136"/>
    </row>
    <row r="144" spans="1:27" ht="11.25" customHeight="1" x14ac:dyDescent="0.2">
      <c r="A144" s="125" t="s">
        <v>465</v>
      </c>
      <c r="B144" s="142" t="s">
        <v>262</v>
      </c>
      <c r="C144" s="100">
        <v>1071</v>
      </c>
      <c r="D144" s="102">
        <v>60.1</v>
      </c>
      <c r="E144" s="100">
        <v>1057</v>
      </c>
      <c r="F144" s="102">
        <v>71.2</v>
      </c>
      <c r="G144" s="100">
        <v>1048</v>
      </c>
      <c r="H144" s="101">
        <v>73.3</v>
      </c>
      <c r="I144" s="134">
        <v>1061</v>
      </c>
      <c r="J144" s="135">
        <v>71.099999999999994</v>
      </c>
      <c r="K144" s="134">
        <v>1049</v>
      </c>
      <c r="L144" s="135">
        <v>70.400000000000006</v>
      </c>
      <c r="M144" s="96"/>
      <c r="N144" s="100">
        <v>1082</v>
      </c>
      <c r="O144" s="102">
        <v>60.7</v>
      </c>
      <c r="P144" s="100">
        <v>1065</v>
      </c>
      <c r="Q144" s="102">
        <v>64.599999999999994</v>
      </c>
      <c r="R144" s="100">
        <v>1061</v>
      </c>
      <c r="S144" s="101">
        <v>67.8</v>
      </c>
      <c r="T144" s="134">
        <v>1067</v>
      </c>
      <c r="U144" s="135">
        <v>70.5</v>
      </c>
      <c r="V144" s="134">
        <v>1052</v>
      </c>
      <c r="W144" s="135">
        <v>72.599999999999994</v>
      </c>
      <c r="X144" s="136"/>
      <c r="Y144" s="136"/>
      <c r="Z144" s="136"/>
      <c r="AA144" s="136"/>
    </row>
    <row r="145" spans="1:27" ht="11.25" customHeight="1" x14ac:dyDescent="0.2">
      <c r="A145" s="125" t="s">
        <v>263</v>
      </c>
      <c r="B145" s="142" t="s">
        <v>264</v>
      </c>
      <c r="C145" s="100">
        <v>2209</v>
      </c>
      <c r="D145" s="102">
        <v>61.5</v>
      </c>
      <c r="E145" s="100">
        <v>2283</v>
      </c>
      <c r="F145" s="102">
        <v>66.5</v>
      </c>
      <c r="G145" s="100">
        <v>2219</v>
      </c>
      <c r="H145" s="101">
        <v>64.099999999999994</v>
      </c>
      <c r="I145" s="134">
        <v>2124</v>
      </c>
      <c r="J145" s="135">
        <v>70.400000000000006</v>
      </c>
      <c r="K145" s="134">
        <v>2204</v>
      </c>
      <c r="L145" s="135">
        <v>73.2</v>
      </c>
      <c r="M145" s="96"/>
      <c r="N145" s="100">
        <v>2209</v>
      </c>
      <c r="O145" s="102">
        <v>51.6</v>
      </c>
      <c r="P145" s="100">
        <v>2296</v>
      </c>
      <c r="Q145" s="102">
        <v>56.1</v>
      </c>
      <c r="R145" s="100">
        <v>2232</v>
      </c>
      <c r="S145" s="101">
        <v>59.4</v>
      </c>
      <c r="T145" s="134">
        <v>2117</v>
      </c>
      <c r="U145" s="135">
        <v>58.6</v>
      </c>
      <c r="V145" s="134">
        <v>2209</v>
      </c>
      <c r="W145" s="135">
        <v>66.8</v>
      </c>
      <c r="X145" s="136"/>
      <c r="Y145" s="136"/>
      <c r="Z145" s="136"/>
      <c r="AA145" s="136"/>
    </row>
    <row r="146" spans="1:27" ht="11.25" customHeight="1" x14ac:dyDescent="0.2">
      <c r="A146" s="125" t="s">
        <v>265</v>
      </c>
      <c r="B146" s="142" t="s">
        <v>266</v>
      </c>
      <c r="C146" s="100">
        <v>5479</v>
      </c>
      <c r="D146" s="102">
        <v>75.5</v>
      </c>
      <c r="E146" s="100">
        <v>5627</v>
      </c>
      <c r="F146" s="102">
        <v>76.400000000000006</v>
      </c>
      <c r="G146" s="100">
        <v>5373</v>
      </c>
      <c r="H146" s="101">
        <v>77.400000000000006</v>
      </c>
      <c r="I146" s="134">
        <v>5353</v>
      </c>
      <c r="J146" s="135">
        <v>74.599999999999994</v>
      </c>
      <c r="K146" s="134">
        <v>5432</v>
      </c>
      <c r="L146" s="135">
        <v>78.099999999999994</v>
      </c>
      <c r="M146" s="96"/>
      <c r="N146" s="100">
        <v>5484</v>
      </c>
      <c r="O146" s="102">
        <v>74.2</v>
      </c>
      <c r="P146" s="100">
        <v>5635</v>
      </c>
      <c r="Q146" s="102">
        <v>74.8</v>
      </c>
      <c r="R146" s="100">
        <v>5396</v>
      </c>
      <c r="S146" s="101">
        <v>77.2</v>
      </c>
      <c r="T146" s="134">
        <v>5378</v>
      </c>
      <c r="U146" s="135">
        <v>79.599999999999994</v>
      </c>
      <c r="V146" s="134">
        <v>5452</v>
      </c>
      <c r="W146" s="135">
        <v>81</v>
      </c>
      <c r="X146" s="136"/>
      <c r="Y146" s="136"/>
      <c r="Z146" s="136"/>
      <c r="AA146" s="136"/>
    </row>
    <row r="147" spans="1:27" ht="11.25" customHeight="1" x14ac:dyDescent="0.2">
      <c r="A147" s="125" t="s">
        <v>267</v>
      </c>
      <c r="B147" s="142" t="s">
        <v>268</v>
      </c>
      <c r="C147" s="100">
        <v>5069</v>
      </c>
      <c r="D147" s="102">
        <v>63</v>
      </c>
      <c r="E147" s="100">
        <v>5254</v>
      </c>
      <c r="F147" s="102">
        <v>68.2</v>
      </c>
      <c r="G147" s="100">
        <v>5046</v>
      </c>
      <c r="H147" s="101">
        <v>70</v>
      </c>
      <c r="I147" s="134">
        <v>4922</v>
      </c>
      <c r="J147" s="135">
        <v>65.900000000000006</v>
      </c>
      <c r="K147" s="134">
        <v>5206</v>
      </c>
      <c r="L147" s="135">
        <v>72.400000000000006</v>
      </c>
      <c r="M147" s="96"/>
      <c r="N147" s="100">
        <v>5078</v>
      </c>
      <c r="O147" s="102">
        <v>60.8</v>
      </c>
      <c r="P147" s="100">
        <v>5270</v>
      </c>
      <c r="Q147" s="102">
        <v>65</v>
      </c>
      <c r="R147" s="100">
        <v>5055</v>
      </c>
      <c r="S147" s="101">
        <v>66.3</v>
      </c>
      <c r="T147" s="134">
        <v>4939</v>
      </c>
      <c r="U147" s="135">
        <v>70.099999999999994</v>
      </c>
      <c r="V147" s="134">
        <v>5228</v>
      </c>
      <c r="W147" s="135">
        <v>70.099999999999994</v>
      </c>
      <c r="X147" s="136"/>
      <c r="Y147" s="136"/>
      <c r="Z147" s="136"/>
      <c r="AA147" s="136"/>
    </row>
    <row r="148" spans="1:27" ht="11.25" customHeight="1" x14ac:dyDescent="0.2">
      <c r="A148" s="125" t="s">
        <v>269</v>
      </c>
      <c r="B148" s="142" t="s">
        <v>270</v>
      </c>
      <c r="C148" s="100">
        <v>13744</v>
      </c>
      <c r="D148" s="102">
        <v>69.8</v>
      </c>
      <c r="E148" s="100">
        <v>13828</v>
      </c>
      <c r="F148" s="102">
        <v>72.5</v>
      </c>
      <c r="G148" s="100">
        <v>13453</v>
      </c>
      <c r="H148" s="101">
        <v>73.2</v>
      </c>
      <c r="I148" s="134">
        <v>13489</v>
      </c>
      <c r="J148" s="135">
        <v>66.099999999999994</v>
      </c>
      <c r="K148" s="134">
        <v>13625</v>
      </c>
      <c r="L148" s="135">
        <v>69.3</v>
      </c>
      <c r="M148" s="96"/>
      <c r="N148" s="100">
        <v>13779</v>
      </c>
      <c r="O148" s="102">
        <v>64.2</v>
      </c>
      <c r="P148" s="100">
        <v>13886</v>
      </c>
      <c r="Q148" s="102">
        <v>67.099999999999994</v>
      </c>
      <c r="R148" s="100">
        <v>13481</v>
      </c>
      <c r="S148" s="101">
        <v>68.8</v>
      </c>
      <c r="T148" s="134">
        <v>13540</v>
      </c>
      <c r="U148" s="135">
        <v>70.5</v>
      </c>
      <c r="V148" s="134">
        <v>13675</v>
      </c>
      <c r="W148" s="135">
        <v>71.900000000000006</v>
      </c>
      <c r="X148" s="136"/>
      <c r="Y148" s="136"/>
      <c r="Z148" s="136"/>
      <c r="AA148" s="136"/>
    </row>
    <row r="149" spans="1:27" ht="11.25" customHeight="1" x14ac:dyDescent="0.2">
      <c r="A149" s="125" t="s">
        <v>271</v>
      </c>
      <c r="B149" s="142" t="s">
        <v>272</v>
      </c>
      <c r="C149" s="100">
        <v>1497</v>
      </c>
      <c r="D149" s="102">
        <v>58.3</v>
      </c>
      <c r="E149" s="100">
        <v>1506</v>
      </c>
      <c r="F149" s="102">
        <v>64.2</v>
      </c>
      <c r="G149" s="100">
        <v>1434</v>
      </c>
      <c r="H149" s="101">
        <v>63.4</v>
      </c>
      <c r="I149" s="134">
        <v>1532</v>
      </c>
      <c r="J149" s="135">
        <v>52.3</v>
      </c>
      <c r="K149" s="134">
        <v>1443</v>
      </c>
      <c r="L149" s="135">
        <v>61</v>
      </c>
      <c r="M149" s="96"/>
      <c r="N149" s="100">
        <v>1494</v>
      </c>
      <c r="O149" s="102">
        <v>50.3</v>
      </c>
      <c r="P149" s="100">
        <v>1508</v>
      </c>
      <c r="Q149" s="102">
        <v>58</v>
      </c>
      <c r="R149" s="100">
        <v>1426</v>
      </c>
      <c r="S149" s="101">
        <v>58.5</v>
      </c>
      <c r="T149" s="134">
        <v>1533</v>
      </c>
      <c r="U149" s="135">
        <v>59.8</v>
      </c>
      <c r="V149" s="134">
        <v>1437</v>
      </c>
      <c r="W149" s="135">
        <v>64.099999999999994</v>
      </c>
      <c r="X149" s="136"/>
      <c r="Y149" s="136"/>
      <c r="Z149" s="136"/>
      <c r="AA149" s="136"/>
    </row>
    <row r="150" spans="1:27" ht="11.25" customHeight="1" x14ac:dyDescent="0.2">
      <c r="A150" s="125" t="s">
        <v>273</v>
      </c>
      <c r="B150" s="142" t="s">
        <v>274</v>
      </c>
      <c r="C150" s="100">
        <v>16272</v>
      </c>
      <c r="D150" s="102">
        <v>64.7</v>
      </c>
      <c r="E150" s="100">
        <v>16434</v>
      </c>
      <c r="F150" s="102">
        <v>70.400000000000006</v>
      </c>
      <c r="G150" s="100">
        <v>15735</v>
      </c>
      <c r="H150" s="101">
        <v>71.2</v>
      </c>
      <c r="I150" s="134">
        <v>15876</v>
      </c>
      <c r="J150" s="135">
        <v>69</v>
      </c>
      <c r="K150" s="134">
        <v>16213</v>
      </c>
      <c r="L150" s="135">
        <v>73</v>
      </c>
      <c r="M150" s="96"/>
      <c r="N150" s="100">
        <v>16275</v>
      </c>
      <c r="O150" s="102">
        <v>61.3</v>
      </c>
      <c r="P150" s="100">
        <v>16496</v>
      </c>
      <c r="Q150" s="102">
        <v>64.3</v>
      </c>
      <c r="R150" s="100">
        <v>15783</v>
      </c>
      <c r="S150" s="101">
        <v>67.2</v>
      </c>
      <c r="T150" s="134">
        <v>15924</v>
      </c>
      <c r="U150" s="135">
        <v>70.8</v>
      </c>
      <c r="V150" s="134">
        <v>16305</v>
      </c>
      <c r="W150" s="135">
        <v>71.7</v>
      </c>
      <c r="X150" s="136"/>
      <c r="Y150" s="136"/>
      <c r="Z150" s="136"/>
      <c r="AA150" s="136"/>
    </row>
    <row r="151" spans="1:27" ht="11.25" customHeight="1" x14ac:dyDescent="0.2">
      <c r="A151" s="125" t="s">
        <v>275</v>
      </c>
      <c r="B151" s="142" t="s">
        <v>276</v>
      </c>
      <c r="C151" s="100">
        <v>3313</v>
      </c>
      <c r="D151" s="102">
        <v>69.3</v>
      </c>
      <c r="E151" s="100">
        <v>3355</v>
      </c>
      <c r="F151" s="102">
        <v>68.099999999999994</v>
      </c>
      <c r="G151" s="100">
        <v>3144</v>
      </c>
      <c r="H151" s="101">
        <v>67.7</v>
      </c>
      <c r="I151" s="134">
        <v>3084</v>
      </c>
      <c r="J151" s="135">
        <v>72.8</v>
      </c>
      <c r="K151" s="134">
        <v>3168</v>
      </c>
      <c r="L151" s="135">
        <v>71.7</v>
      </c>
      <c r="M151" s="96"/>
      <c r="N151" s="100">
        <v>3310</v>
      </c>
      <c r="O151" s="102">
        <v>59.8</v>
      </c>
      <c r="P151" s="100">
        <v>3347</v>
      </c>
      <c r="Q151" s="102">
        <v>62.9</v>
      </c>
      <c r="R151" s="100">
        <v>3158</v>
      </c>
      <c r="S151" s="101">
        <v>64.099999999999994</v>
      </c>
      <c r="T151" s="134">
        <v>3092</v>
      </c>
      <c r="U151" s="135">
        <v>70.599999999999994</v>
      </c>
      <c r="V151" s="134">
        <v>3179</v>
      </c>
      <c r="W151" s="135">
        <v>69.2</v>
      </c>
      <c r="X151" s="136"/>
      <c r="Y151" s="136"/>
      <c r="Z151" s="136"/>
      <c r="AA151" s="136"/>
    </row>
    <row r="152" spans="1:27" ht="11.25" customHeight="1" x14ac:dyDescent="0.2">
      <c r="A152" s="125" t="s">
        <v>277</v>
      </c>
      <c r="B152" s="142" t="s">
        <v>278</v>
      </c>
      <c r="C152" s="100">
        <v>2497</v>
      </c>
      <c r="D152" s="102">
        <v>66.900000000000006</v>
      </c>
      <c r="E152" s="100">
        <v>2659</v>
      </c>
      <c r="F152" s="102">
        <v>70.3</v>
      </c>
      <c r="G152" s="100">
        <v>2523</v>
      </c>
      <c r="H152" s="101">
        <v>69.5</v>
      </c>
      <c r="I152" s="134">
        <v>2615</v>
      </c>
      <c r="J152" s="135">
        <v>75.3</v>
      </c>
      <c r="K152" s="134">
        <v>2657</v>
      </c>
      <c r="L152" s="135">
        <v>73</v>
      </c>
      <c r="M152" s="96"/>
      <c r="N152" s="100">
        <v>2514</v>
      </c>
      <c r="O152" s="102">
        <v>58.1</v>
      </c>
      <c r="P152" s="100">
        <v>2666</v>
      </c>
      <c r="Q152" s="102">
        <v>60.7</v>
      </c>
      <c r="R152" s="100">
        <v>2551</v>
      </c>
      <c r="S152" s="101">
        <v>61.9</v>
      </c>
      <c r="T152" s="134">
        <v>2624</v>
      </c>
      <c r="U152" s="135">
        <v>67.8</v>
      </c>
      <c r="V152" s="134">
        <v>2684</v>
      </c>
      <c r="W152" s="135">
        <v>71.599999999999994</v>
      </c>
      <c r="X152" s="136"/>
      <c r="Y152" s="136"/>
      <c r="Z152" s="136"/>
      <c r="AA152" s="136"/>
    </row>
    <row r="153" spans="1:27" ht="11.25" customHeight="1" x14ac:dyDescent="0.2">
      <c r="A153" s="125" t="s">
        <v>279</v>
      </c>
      <c r="B153" s="142" t="s">
        <v>280</v>
      </c>
      <c r="C153" s="100">
        <v>6038</v>
      </c>
      <c r="D153" s="102">
        <v>67</v>
      </c>
      <c r="E153" s="100">
        <v>6193</v>
      </c>
      <c r="F153" s="102">
        <v>70.7</v>
      </c>
      <c r="G153" s="100">
        <v>5952</v>
      </c>
      <c r="H153" s="101">
        <v>69.8</v>
      </c>
      <c r="I153" s="134">
        <v>5846</v>
      </c>
      <c r="J153" s="135">
        <v>65.2</v>
      </c>
      <c r="K153" s="134">
        <v>6090</v>
      </c>
      <c r="L153" s="135">
        <v>70.400000000000006</v>
      </c>
      <c r="M153" s="96"/>
      <c r="N153" s="100">
        <v>6083</v>
      </c>
      <c r="O153" s="102">
        <v>62.7</v>
      </c>
      <c r="P153" s="100">
        <v>6201</v>
      </c>
      <c r="Q153" s="102">
        <v>67.599999999999994</v>
      </c>
      <c r="R153" s="100">
        <v>5970</v>
      </c>
      <c r="S153" s="101">
        <v>67.3</v>
      </c>
      <c r="T153" s="134">
        <v>5873</v>
      </c>
      <c r="U153" s="135">
        <v>70.8</v>
      </c>
      <c r="V153" s="134">
        <v>6108</v>
      </c>
      <c r="W153" s="135">
        <v>71.099999999999994</v>
      </c>
      <c r="X153" s="136"/>
      <c r="Y153" s="136"/>
      <c r="Z153" s="136"/>
      <c r="AA153" s="136"/>
    </row>
    <row r="154" spans="1:27" ht="11.25" customHeight="1" x14ac:dyDescent="0.2">
      <c r="A154" s="125" t="s">
        <v>281</v>
      </c>
      <c r="B154" s="142" t="s">
        <v>282</v>
      </c>
      <c r="C154" s="100">
        <v>1927</v>
      </c>
      <c r="D154" s="102">
        <v>56.1</v>
      </c>
      <c r="E154" s="100">
        <v>1865</v>
      </c>
      <c r="F154" s="102">
        <v>62.2</v>
      </c>
      <c r="G154" s="100">
        <v>1872</v>
      </c>
      <c r="H154" s="101">
        <v>63.7</v>
      </c>
      <c r="I154" s="134">
        <v>1763</v>
      </c>
      <c r="J154" s="135">
        <v>62.8</v>
      </c>
      <c r="K154" s="134">
        <v>1816</v>
      </c>
      <c r="L154" s="135">
        <v>57.3</v>
      </c>
      <c r="M154" s="96"/>
      <c r="N154" s="100">
        <v>1925</v>
      </c>
      <c r="O154" s="102">
        <v>44.2</v>
      </c>
      <c r="P154" s="100">
        <v>1857</v>
      </c>
      <c r="Q154" s="102">
        <v>52.1</v>
      </c>
      <c r="R154" s="100">
        <v>1881</v>
      </c>
      <c r="S154" s="101">
        <v>51</v>
      </c>
      <c r="T154" s="134">
        <v>1767</v>
      </c>
      <c r="U154" s="135">
        <v>61.7</v>
      </c>
      <c r="V154" s="134">
        <v>1823</v>
      </c>
      <c r="W154" s="135">
        <v>60.9</v>
      </c>
      <c r="X154" s="136"/>
      <c r="Y154" s="136"/>
      <c r="Z154" s="136"/>
      <c r="AA154" s="136"/>
    </row>
    <row r="155" spans="1:27" ht="11.25" customHeight="1" x14ac:dyDescent="0.2">
      <c r="A155" s="125" t="s">
        <v>283</v>
      </c>
      <c r="B155" s="142" t="s">
        <v>284</v>
      </c>
      <c r="C155" s="100">
        <v>881</v>
      </c>
      <c r="D155" s="102">
        <v>66.599999999999994</v>
      </c>
      <c r="E155" s="100">
        <v>912</v>
      </c>
      <c r="F155" s="102">
        <v>72</v>
      </c>
      <c r="G155" s="100">
        <v>923</v>
      </c>
      <c r="H155" s="101">
        <v>66.5</v>
      </c>
      <c r="I155" s="134">
        <v>953</v>
      </c>
      <c r="J155" s="135">
        <v>69.900000000000006</v>
      </c>
      <c r="K155" s="134">
        <v>1023</v>
      </c>
      <c r="L155" s="135">
        <v>72.8</v>
      </c>
      <c r="M155" s="96"/>
      <c r="N155" s="100">
        <v>901</v>
      </c>
      <c r="O155" s="102">
        <v>63.8</v>
      </c>
      <c r="P155" s="100">
        <v>921</v>
      </c>
      <c r="Q155" s="102">
        <v>64.900000000000006</v>
      </c>
      <c r="R155" s="100">
        <v>923</v>
      </c>
      <c r="S155" s="101">
        <v>66.8</v>
      </c>
      <c r="T155" s="134">
        <v>975</v>
      </c>
      <c r="U155" s="135">
        <v>72.400000000000006</v>
      </c>
      <c r="V155" s="134">
        <v>1036</v>
      </c>
      <c r="W155" s="135">
        <v>74.400000000000006</v>
      </c>
      <c r="X155" s="136"/>
      <c r="Y155" s="136"/>
      <c r="Z155" s="136"/>
      <c r="AA155" s="136"/>
    </row>
    <row r="156" spans="1:27" ht="11.25" customHeight="1" x14ac:dyDescent="0.2">
      <c r="A156" s="125" t="s">
        <v>285</v>
      </c>
      <c r="B156" s="142" t="s">
        <v>286</v>
      </c>
      <c r="C156" s="100">
        <v>1380</v>
      </c>
      <c r="D156" s="102">
        <v>75.8</v>
      </c>
      <c r="E156" s="100">
        <v>1474</v>
      </c>
      <c r="F156" s="102">
        <v>80.099999999999994</v>
      </c>
      <c r="G156" s="100">
        <v>1458</v>
      </c>
      <c r="H156" s="101">
        <v>79.599999999999994</v>
      </c>
      <c r="I156" s="134">
        <v>1492</v>
      </c>
      <c r="J156" s="135">
        <v>75.3</v>
      </c>
      <c r="K156" s="134">
        <v>1603</v>
      </c>
      <c r="L156" s="135">
        <v>83.5</v>
      </c>
      <c r="M156" s="96"/>
      <c r="N156" s="100">
        <v>1402</v>
      </c>
      <c r="O156" s="102">
        <v>71.7</v>
      </c>
      <c r="P156" s="100">
        <v>1487</v>
      </c>
      <c r="Q156" s="102">
        <v>74.900000000000006</v>
      </c>
      <c r="R156" s="100">
        <v>1469</v>
      </c>
      <c r="S156" s="101">
        <v>79.400000000000006</v>
      </c>
      <c r="T156" s="134">
        <v>1503</v>
      </c>
      <c r="U156" s="135">
        <v>78.7</v>
      </c>
      <c r="V156" s="134">
        <v>1609</v>
      </c>
      <c r="W156" s="135">
        <v>83.3</v>
      </c>
      <c r="X156" s="136"/>
      <c r="Y156" s="136"/>
      <c r="Z156" s="136"/>
      <c r="AA156" s="136"/>
    </row>
    <row r="157" spans="1:27" ht="11.25" customHeight="1" x14ac:dyDescent="0.2">
      <c r="A157" s="125" t="s">
        <v>287</v>
      </c>
      <c r="B157" s="142" t="s">
        <v>288</v>
      </c>
      <c r="C157" s="100">
        <v>2165</v>
      </c>
      <c r="D157" s="102">
        <v>62.1</v>
      </c>
      <c r="E157" s="100">
        <v>2022</v>
      </c>
      <c r="F157" s="102">
        <v>62.6</v>
      </c>
      <c r="G157" s="100">
        <v>1940</v>
      </c>
      <c r="H157" s="101">
        <v>67.2</v>
      </c>
      <c r="I157" s="134">
        <v>1821</v>
      </c>
      <c r="J157" s="135">
        <v>67.5</v>
      </c>
      <c r="K157" s="134">
        <v>1991</v>
      </c>
      <c r="L157" s="135">
        <v>71.599999999999994</v>
      </c>
      <c r="M157" s="96"/>
      <c r="N157" s="100">
        <v>2173</v>
      </c>
      <c r="O157" s="102">
        <v>50.9</v>
      </c>
      <c r="P157" s="100">
        <v>2034</v>
      </c>
      <c r="Q157" s="102">
        <v>55.9</v>
      </c>
      <c r="R157" s="100">
        <v>1957</v>
      </c>
      <c r="S157" s="101">
        <v>58.6</v>
      </c>
      <c r="T157" s="134">
        <v>1840</v>
      </c>
      <c r="U157" s="135">
        <v>66</v>
      </c>
      <c r="V157" s="134">
        <v>2013</v>
      </c>
      <c r="W157" s="135">
        <v>69.3</v>
      </c>
      <c r="X157" s="136"/>
      <c r="Y157" s="136"/>
      <c r="Z157" s="136"/>
      <c r="AA157" s="136"/>
    </row>
    <row r="158" spans="1:27" ht="11.25" customHeight="1" x14ac:dyDescent="0.2">
      <c r="A158" s="125" t="s">
        <v>289</v>
      </c>
      <c r="B158" s="142" t="s">
        <v>290</v>
      </c>
      <c r="C158" s="100">
        <v>10233</v>
      </c>
      <c r="D158" s="102">
        <v>70</v>
      </c>
      <c r="E158" s="100">
        <v>10491</v>
      </c>
      <c r="F158" s="102">
        <v>74.599999999999994</v>
      </c>
      <c r="G158" s="100">
        <v>10434</v>
      </c>
      <c r="H158" s="101">
        <v>75.2</v>
      </c>
      <c r="I158" s="134">
        <v>10320</v>
      </c>
      <c r="J158" s="135">
        <v>70.900000000000006</v>
      </c>
      <c r="K158" s="134">
        <v>10370</v>
      </c>
      <c r="L158" s="135">
        <v>76.400000000000006</v>
      </c>
      <c r="M158" s="96"/>
      <c r="N158" s="100">
        <v>10271</v>
      </c>
      <c r="O158" s="102">
        <v>66.5</v>
      </c>
      <c r="P158" s="100">
        <v>10510</v>
      </c>
      <c r="Q158" s="102">
        <v>69.400000000000006</v>
      </c>
      <c r="R158" s="100">
        <v>10438</v>
      </c>
      <c r="S158" s="101">
        <v>71</v>
      </c>
      <c r="T158" s="134">
        <v>10354</v>
      </c>
      <c r="U158" s="135">
        <v>74</v>
      </c>
      <c r="V158" s="134">
        <v>10413</v>
      </c>
      <c r="W158" s="135">
        <v>77</v>
      </c>
      <c r="X158" s="136"/>
      <c r="Y158" s="136"/>
      <c r="Z158" s="136"/>
      <c r="AA158" s="136"/>
    </row>
    <row r="159" spans="1:27" ht="11.25" customHeight="1" x14ac:dyDescent="0.2">
      <c r="A159" s="125" t="s">
        <v>291</v>
      </c>
      <c r="B159" s="142" t="s">
        <v>292</v>
      </c>
      <c r="C159" s="100">
        <v>1952</v>
      </c>
      <c r="D159" s="102">
        <v>67.400000000000006</v>
      </c>
      <c r="E159" s="100">
        <v>1956</v>
      </c>
      <c r="F159" s="102">
        <v>76.3</v>
      </c>
      <c r="G159" s="100">
        <v>1927</v>
      </c>
      <c r="H159" s="101">
        <v>76.3</v>
      </c>
      <c r="I159" s="134">
        <v>1857</v>
      </c>
      <c r="J159" s="135">
        <v>62.5</v>
      </c>
      <c r="K159" s="134">
        <v>1923</v>
      </c>
      <c r="L159" s="135">
        <v>70.8</v>
      </c>
      <c r="M159" s="96"/>
      <c r="N159" s="100">
        <v>1956</v>
      </c>
      <c r="O159" s="102">
        <v>66.8</v>
      </c>
      <c r="P159" s="100">
        <v>1952</v>
      </c>
      <c r="Q159" s="102">
        <v>68.3</v>
      </c>
      <c r="R159" s="100">
        <v>1926</v>
      </c>
      <c r="S159" s="101">
        <v>68.599999999999994</v>
      </c>
      <c r="T159" s="134">
        <v>1860</v>
      </c>
      <c r="U159" s="135">
        <v>71.2</v>
      </c>
      <c r="V159" s="134">
        <v>1936</v>
      </c>
      <c r="W159" s="135">
        <v>74</v>
      </c>
      <c r="X159" s="136"/>
      <c r="Y159" s="136"/>
      <c r="Z159" s="136"/>
      <c r="AA159" s="136"/>
    </row>
    <row r="160" spans="1:27" ht="11.25" customHeight="1" x14ac:dyDescent="0.2">
      <c r="A160" s="125" t="s">
        <v>293</v>
      </c>
      <c r="B160" s="142" t="s">
        <v>294</v>
      </c>
      <c r="C160" s="100">
        <v>7992</v>
      </c>
      <c r="D160" s="102">
        <v>68.400000000000006</v>
      </c>
      <c r="E160" s="100">
        <v>8288</v>
      </c>
      <c r="F160" s="102">
        <v>73.599999999999994</v>
      </c>
      <c r="G160" s="100">
        <v>7957</v>
      </c>
      <c r="H160" s="101">
        <v>74.599999999999994</v>
      </c>
      <c r="I160" s="134">
        <v>8007</v>
      </c>
      <c r="J160" s="135">
        <v>66.7</v>
      </c>
      <c r="K160" s="134">
        <v>8071</v>
      </c>
      <c r="L160" s="135">
        <v>70.8</v>
      </c>
      <c r="M160" s="96"/>
      <c r="N160" s="100">
        <v>8001</v>
      </c>
      <c r="O160" s="102">
        <v>59.4</v>
      </c>
      <c r="P160" s="100">
        <v>8294</v>
      </c>
      <c r="Q160" s="102">
        <v>64.2</v>
      </c>
      <c r="R160" s="100">
        <v>7950</v>
      </c>
      <c r="S160" s="101">
        <v>66.599999999999994</v>
      </c>
      <c r="T160" s="134">
        <v>8003</v>
      </c>
      <c r="U160" s="135">
        <v>67.3</v>
      </c>
      <c r="V160" s="134">
        <v>8096</v>
      </c>
      <c r="W160" s="135">
        <v>71.400000000000006</v>
      </c>
      <c r="X160" s="136"/>
      <c r="Y160" s="136"/>
      <c r="Z160" s="136"/>
      <c r="AA160" s="136"/>
    </row>
    <row r="161" spans="1:27" ht="11.25" customHeight="1" x14ac:dyDescent="0.2">
      <c r="A161" s="125" t="s">
        <v>295</v>
      </c>
      <c r="B161" s="142" t="s">
        <v>296</v>
      </c>
      <c r="C161" s="100">
        <v>1477</v>
      </c>
      <c r="D161" s="102">
        <v>71</v>
      </c>
      <c r="E161" s="100">
        <v>1491</v>
      </c>
      <c r="F161" s="102">
        <v>74.599999999999994</v>
      </c>
      <c r="G161" s="100">
        <v>1444</v>
      </c>
      <c r="H161" s="101">
        <v>75.099999999999994</v>
      </c>
      <c r="I161" s="134">
        <v>1461</v>
      </c>
      <c r="J161" s="135">
        <v>70.2</v>
      </c>
      <c r="K161" s="134">
        <v>1520</v>
      </c>
      <c r="L161" s="135">
        <v>77</v>
      </c>
      <c r="M161" s="96"/>
      <c r="N161" s="100">
        <v>1484</v>
      </c>
      <c r="O161" s="102">
        <v>70.599999999999994</v>
      </c>
      <c r="P161" s="100">
        <v>1496</v>
      </c>
      <c r="Q161" s="102">
        <v>74.400000000000006</v>
      </c>
      <c r="R161" s="100">
        <v>1455</v>
      </c>
      <c r="S161" s="101">
        <v>75.3</v>
      </c>
      <c r="T161" s="134">
        <v>1467</v>
      </c>
      <c r="U161" s="135">
        <v>77.5</v>
      </c>
      <c r="V161" s="134">
        <v>1533</v>
      </c>
      <c r="W161" s="135">
        <v>79.3</v>
      </c>
      <c r="X161" s="136"/>
      <c r="Y161" s="136"/>
      <c r="Z161" s="136"/>
      <c r="AA161" s="136"/>
    </row>
    <row r="162" spans="1:27" ht="11.25" customHeight="1" x14ac:dyDescent="0.2">
      <c r="A162" s="125" t="s">
        <v>297</v>
      </c>
      <c r="B162" s="142" t="s">
        <v>298</v>
      </c>
      <c r="C162" s="100">
        <v>1661</v>
      </c>
      <c r="D162" s="102">
        <v>75.099999999999994</v>
      </c>
      <c r="E162" s="100">
        <v>1779</v>
      </c>
      <c r="F162" s="102">
        <v>79.599999999999994</v>
      </c>
      <c r="G162" s="100">
        <v>1652</v>
      </c>
      <c r="H162" s="101">
        <v>77.599999999999994</v>
      </c>
      <c r="I162" s="134">
        <v>1603</v>
      </c>
      <c r="J162" s="135">
        <v>70.2</v>
      </c>
      <c r="K162" s="134">
        <v>1641</v>
      </c>
      <c r="L162" s="135">
        <v>75.7</v>
      </c>
      <c r="M162" s="96"/>
      <c r="N162" s="100">
        <v>1668</v>
      </c>
      <c r="O162" s="102">
        <v>71.8</v>
      </c>
      <c r="P162" s="100">
        <v>1802</v>
      </c>
      <c r="Q162" s="102">
        <v>74.400000000000006</v>
      </c>
      <c r="R162" s="100">
        <v>1665</v>
      </c>
      <c r="S162" s="101">
        <v>74</v>
      </c>
      <c r="T162" s="134">
        <v>1609</v>
      </c>
      <c r="U162" s="135">
        <v>75.900000000000006</v>
      </c>
      <c r="V162" s="134">
        <v>1657</v>
      </c>
      <c r="W162" s="135">
        <v>80.8</v>
      </c>
      <c r="X162" s="136"/>
      <c r="Y162" s="136"/>
      <c r="Z162" s="136"/>
      <c r="AA162" s="136"/>
    </row>
    <row r="163" spans="1:27" ht="11.25" customHeight="1" x14ac:dyDescent="0.2">
      <c r="A163" s="3"/>
      <c r="B163" s="142"/>
      <c r="C163" s="100"/>
      <c r="D163" s="114"/>
      <c r="E163" s="100"/>
      <c r="F163" s="114"/>
      <c r="G163" s="100"/>
      <c r="H163" s="101"/>
      <c r="M163" s="96"/>
      <c r="N163" s="100"/>
      <c r="O163" s="102"/>
      <c r="P163" s="100"/>
      <c r="Q163" s="102"/>
      <c r="R163" s="100"/>
      <c r="S163" s="101"/>
      <c r="V163" s="149"/>
      <c r="W163" s="149"/>
      <c r="X163" s="136"/>
      <c r="Y163" s="136"/>
      <c r="Z163" s="136"/>
      <c r="AA163" s="136"/>
    </row>
    <row r="164" spans="1:27" s="98" customFormat="1" ht="11.25" customHeight="1" x14ac:dyDescent="0.2">
      <c r="A164" s="16" t="s">
        <v>388</v>
      </c>
      <c r="B164" s="92" t="s">
        <v>299</v>
      </c>
      <c r="C164" s="93">
        <v>55425</v>
      </c>
      <c r="D164" s="97">
        <v>66.900000000000006</v>
      </c>
      <c r="E164" s="93">
        <v>55678</v>
      </c>
      <c r="F164" s="97">
        <v>70.599999999999994</v>
      </c>
      <c r="G164" s="93">
        <v>53903</v>
      </c>
      <c r="H164" s="95">
        <v>72.400000000000006</v>
      </c>
      <c r="I164" s="93">
        <v>53276</v>
      </c>
      <c r="J164" s="95">
        <v>67</v>
      </c>
      <c r="K164" s="93">
        <v>54909</v>
      </c>
      <c r="L164" s="95">
        <v>69.5</v>
      </c>
      <c r="M164" s="96"/>
      <c r="N164" s="93">
        <v>55430</v>
      </c>
      <c r="O164" s="97">
        <v>60.1</v>
      </c>
      <c r="P164" s="93">
        <v>55651</v>
      </c>
      <c r="Q164" s="97">
        <v>63</v>
      </c>
      <c r="R164" s="93">
        <v>53899</v>
      </c>
      <c r="S164" s="95">
        <v>64.599999999999994</v>
      </c>
      <c r="T164" s="93">
        <v>53232</v>
      </c>
      <c r="U164" s="95">
        <v>67.7</v>
      </c>
      <c r="V164" s="93">
        <v>54999</v>
      </c>
      <c r="W164" s="95">
        <v>70.3</v>
      </c>
      <c r="X164" s="136"/>
      <c r="Y164" s="136"/>
      <c r="Z164" s="136"/>
      <c r="AA164" s="136"/>
    </row>
    <row r="165" spans="1:27" ht="11.25" customHeight="1" x14ac:dyDescent="0.2">
      <c r="A165" s="125" t="s">
        <v>302</v>
      </c>
      <c r="B165" s="142" t="s">
        <v>303</v>
      </c>
      <c r="C165" s="100">
        <v>2153</v>
      </c>
      <c r="D165" s="102">
        <v>73.2</v>
      </c>
      <c r="E165" s="100">
        <v>2232</v>
      </c>
      <c r="F165" s="102">
        <v>75.099999999999994</v>
      </c>
      <c r="G165" s="100">
        <v>2072</v>
      </c>
      <c r="H165" s="101">
        <v>78.2</v>
      </c>
      <c r="I165" s="134">
        <v>2064</v>
      </c>
      <c r="J165" s="135">
        <v>66.400000000000006</v>
      </c>
      <c r="K165" s="134">
        <v>2169</v>
      </c>
      <c r="L165" s="135">
        <v>70.400000000000006</v>
      </c>
      <c r="M165" s="96"/>
      <c r="N165" s="100">
        <v>2147</v>
      </c>
      <c r="O165" s="102">
        <v>65.400000000000006</v>
      </c>
      <c r="P165" s="100">
        <v>2228</v>
      </c>
      <c r="Q165" s="102">
        <v>66</v>
      </c>
      <c r="R165" s="100">
        <v>2081</v>
      </c>
      <c r="S165" s="101">
        <v>68.400000000000006</v>
      </c>
      <c r="T165" s="134">
        <v>2046</v>
      </c>
      <c r="U165" s="135">
        <v>67.400000000000006</v>
      </c>
      <c r="V165" s="134">
        <v>2177</v>
      </c>
      <c r="W165" s="135">
        <v>71.8</v>
      </c>
      <c r="X165" s="136"/>
      <c r="Y165" s="136"/>
      <c r="Z165" s="136"/>
      <c r="AA165" s="136"/>
    </row>
    <row r="166" spans="1:27" ht="11.25" customHeight="1" x14ac:dyDescent="0.2">
      <c r="A166" s="125" t="s">
        <v>304</v>
      </c>
      <c r="B166" s="142" t="s">
        <v>305</v>
      </c>
      <c r="C166" s="100">
        <v>1722</v>
      </c>
      <c r="D166" s="102">
        <v>67.2</v>
      </c>
      <c r="E166" s="100">
        <v>1674</v>
      </c>
      <c r="F166" s="102">
        <v>72.099999999999994</v>
      </c>
      <c r="G166" s="100">
        <v>1638</v>
      </c>
      <c r="H166" s="101">
        <v>68.7</v>
      </c>
      <c r="I166" s="134">
        <v>1612</v>
      </c>
      <c r="J166" s="135">
        <v>71.400000000000006</v>
      </c>
      <c r="K166" s="134">
        <v>1674</v>
      </c>
      <c r="L166" s="135">
        <v>77.2</v>
      </c>
      <c r="M166" s="96"/>
      <c r="N166" s="100">
        <v>1730</v>
      </c>
      <c r="O166" s="102">
        <v>59</v>
      </c>
      <c r="P166" s="100">
        <v>1668</v>
      </c>
      <c r="Q166" s="102">
        <v>65.599999999999994</v>
      </c>
      <c r="R166" s="100">
        <v>1643</v>
      </c>
      <c r="S166" s="101">
        <v>65.3</v>
      </c>
      <c r="T166" s="134">
        <v>1621</v>
      </c>
      <c r="U166" s="135">
        <v>68.8</v>
      </c>
      <c r="V166" s="134">
        <v>1682</v>
      </c>
      <c r="W166" s="135">
        <v>73.5</v>
      </c>
      <c r="X166" s="136"/>
      <c r="Y166" s="136"/>
      <c r="Z166" s="136"/>
      <c r="AA166" s="136"/>
    </row>
    <row r="167" spans="1:27" ht="11.25" customHeight="1" x14ac:dyDescent="0.2">
      <c r="A167" s="125" t="s">
        <v>306</v>
      </c>
      <c r="B167" s="142" t="s">
        <v>307</v>
      </c>
      <c r="C167" s="100">
        <v>3023</v>
      </c>
      <c r="D167" s="102">
        <v>61.7</v>
      </c>
      <c r="E167" s="100">
        <v>2876</v>
      </c>
      <c r="F167" s="102">
        <v>68.599999999999994</v>
      </c>
      <c r="G167" s="100">
        <v>2888</v>
      </c>
      <c r="H167" s="101">
        <v>69.099999999999994</v>
      </c>
      <c r="I167" s="134">
        <v>2823</v>
      </c>
      <c r="J167" s="135">
        <v>68</v>
      </c>
      <c r="K167" s="134">
        <v>3140</v>
      </c>
      <c r="L167" s="135">
        <v>64.3</v>
      </c>
      <c r="M167" s="96"/>
      <c r="N167" s="100">
        <v>3005</v>
      </c>
      <c r="O167" s="102">
        <v>47</v>
      </c>
      <c r="P167" s="100">
        <v>2872</v>
      </c>
      <c r="Q167" s="102">
        <v>53.8</v>
      </c>
      <c r="R167" s="100">
        <v>2901</v>
      </c>
      <c r="S167" s="101">
        <v>56</v>
      </c>
      <c r="T167" s="134">
        <v>2826</v>
      </c>
      <c r="U167" s="135">
        <v>61.6</v>
      </c>
      <c r="V167" s="134">
        <v>3149</v>
      </c>
      <c r="W167" s="135">
        <v>62.8</v>
      </c>
      <c r="X167" s="136"/>
      <c r="Y167" s="136"/>
      <c r="Z167" s="136"/>
      <c r="AA167" s="136"/>
    </row>
    <row r="168" spans="1:27" ht="11.25" customHeight="1" x14ac:dyDescent="0.2">
      <c r="A168" s="125" t="s">
        <v>308</v>
      </c>
      <c r="B168" s="142" t="s">
        <v>309</v>
      </c>
      <c r="C168" s="100">
        <v>5881</v>
      </c>
      <c r="D168" s="102">
        <v>64.900000000000006</v>
      </c>
      <c r="E168" s="100">
        <v>5801</v>
      </c>
      <c r="F168" s="102">
        <v>69.400000000000006</v>
      </c>
      <c r="G168" s="100">
        <v>5604</v>
      </c>
      <c r="H168" s="101">
        <v>69.5</v>
      </c>
      <c r="I168" s="134">
        <v>5532</v>
      </c>
      <c r="J168" s="135">
        <v>66</v>
      </c>
      <c r="K168" s="134">
        <v>5715</v>
      </c>
      <c r="L168" s="135">
        <v>72.099999999999994</v>
      </c>
      <c r="M168" s="96"/>
      <c r="N168" s="100">
        <v>5887</v>
      </c>
      <c r="O168" s="102">
        <v>56.4</v>
      </c>
      <c r="P168" s="100">
        <v>5804</v>
      </c>
      <c r="Q168" s="102">
        <v>60.4</v>
      </c>
      <c r="R168" s="100">
        <v>5612</v>
      </c>
      <c r="S168" s="101">
        <v>63.3</v>
      </c>
      <c r="T168" s="134">
        <v>5521</v>
      </c>
      <c r="U168" s="135">
        <v>66</v>
      </c>
      <c r="V168" s="134">
        <v>5732</v>
      </c>
      <c r="W168" s="135">
        <v>70.2</v>
      </c>
      <c r="X168" s="136"/>
      <c r="Y168" s="136"/>
      <c r="Z168" s="136"/>
      <c r="AA168" s="136"/>
    </row>
    <row r="169" spans="1:27" ht="11.25" customHeight="1" x14ac:dyDescent="0.2">
      <c r="A169" s="125" t="s">
        <v>310</v>
      </c>
      <c r="B169" s="142" t="s">
        <v>311</v>
      </c>
      <c r="C169" s="100">
        <v>7567</v>
      </c>
      <c r="D169" s="102">
        <v>67.400000000000006</v>
      </c>
      <c r="E169" s="100">
        <v>7569</v>
      </c>
      <c r="F169" s="102">
        <v>69.7</v>
      </c>
      <c r="G169" s="100">
        <v>7308</v>
      </c>
      <c r="H169" s="101">
        <v>71.900000000000006</v>
      </c>
      <c r="I169" s="134">
        <v>7508</v>
      </c>
      <c r="J169" s="135">
        <v>67</v>
      </c>
      <c r="K169" s="134">
        <v>7545</v>
      </c>
      <c r="L169" s="135">
        <v>69.099999999999994</v>
      </c>
      <c r="M169" s="96"/>
      <c r="N169" s="100">
        <v>7576</v>
      </c>
      <c r="O169" s="102">
        <v>61.3</v>
      </c>
      <c r="P169" s="100">
        <v>7549</v>
      </c>
      <c r="Q169" s="102">
        <v>63.7</v>
      </c>
      <c r="R169" s="100">
        <v>7296</v>
      </c>
      <c r="S169" s="101">
        <v>65.8</v>
      </c>
      <c r="T169" s="134">
        <v>7512</v>
      </c>
      <c r="U169" s="135">
        <v>71.900000000000006</v>
      </c>
      <c r="V169" s="134">
        <v>7569</v>
      </c>
      <c r="W169" s="135">
        <v>71.8</v>
      </c>
      <c r="X169" s="136"/>
      <c r="Y169" s="136"/>
      <c r="Z169" s="136"/>
      <c r="AA169" s="136"/>
    </row>
    <row r="170" spans="1:27" ht="11.25" customHeight="1" x14ac:dyDescent="0.2">
      <c r="A170" s="125" t="s">
        <v>312</v>
      </c>
      <c r="B170" s="142" t="s">
        <v>313</v>
      </c>
      <c r="C170" s="100">
        <v>4281</v>
      </c>
      <c r="D170" s="102">
        <v>71</v>
      </c>
      <c r="E170" s="100">
        <v>4316</v>
      </c>
      <c r="F170" s="102">
        <v>74.8</v>
      </c>
      <c r="G170" s="100">
        <v>4134</v>
      </c>
      <c r="H170" s="101">
        <v>76.099999999999994</v>
      </c>
      <c r="I170" s="134">
        <v>4204</v>
      </c>
      <c r="J170" s="135">
        <v>63.1</v>
      </c>
      <c r="K170" s="134">
        <v>4284</v>
      </c>
      <c r="L170" s="135">
        <v>68.900000000000006</v>
      </c>
      <c r="M170" s="96"/>
      <c r="N170" s="100">
        <v>4278</v>
      </c>
      <c r="O170" s="102">
        <v>64.099999999999994</v>
      </c>
      <c r="P170" s="100">
        <v>4312</v>
      </c>
      <c r="Q170" s="102">
        <v>67.099999999999994</v>
      </c>
      <c r="R170" s="100">
        <v>4107</v>
      </c>
      <c r="S170" s="101">
        <v>67.599999999999994</v>
      </c>
      <c r="T170" s="134">
        <v>4207</v>
      </c>
      <c r="U170" s="135">
        <v>64.3</v>
      </c>
      <c r="V170" s="134">
        <v>4275</v>
      </c>
      <c r="W170" s="135">
        <v>69</v>
      </c>
      <c r="X170" s="136"/>
      <c r="Y170" s="136"/>
      <c r="Z170" s="136"/>
      <c r="AA170" s="136"/>
    </row>
    <row r="171" spans="1:27" ht="11.25" customHeight="1" x14ac:dyDescent="0.2">
      <c r="A171" s="125" t="s">
        <v>314</v>
      </c>
      <c r="B171" s="142" t="s">
        <v>315</v>
      </c>
      <c r="C171" s="100">
        <v>6729</v>
      </c>
      <c r="D171" s="102">
        <v>70.2</v>
      </c>
      <c r="E171" s="100">
        <v>6816</v>
      </c>
      <c r="F171" s="102">
        <v>71.7</v>
      </c>
      <c r="G171" s="100">
        <v>6639</v>
      </c>
      <c r="H171" s="101">
        <v>74.099999999999994</v>
      </c>
      <c r="I171" s="134">
        <v>6495</v>
      </c>
      <c r="J171" s="135">
        <v>68.099999999999994</v>
      </c>
      <c r="K171" s="134">
        <v>6569</v>
      </c>
      <c r="L171" s="135">
        <v>68.7</v>
      </c>
      <c r="M171" s="96"/>
      <c r="N171" s="100">
        <v>6736</v>
      </c>
      <c r="O171" s="102">
        <v>66.8</v>
      </c>
      <c r="P171" s="100">
        <v>6812</v>
      </c>
      <c r="Q171" s="102">
        <v>68.8</v>
      </c>
      <c r="R171" s="100">
        <v>6628</v>
      </c>
      <c r="S171" s="101">
        <v>71</v>
      </c>
      <c r="T171" s="134">
        <v>6480</v>
      </c>
      <c r="U171" s="135">
        <v>73.7</v>
      </c>
      <c r="V171" s="134">
        <v>6559</v>
      </c>
      <c r="W171" s="135">
        <v>73.099999999999994</v>
      </c>
      <c r="X171" s="136"/>
      <c r="Y171" s="136"/>
      <c r="Z171" s="136"/>
      <c r="AA171" s="136"/>
    </row>
    <row r="172" spans="1:27" ht="11.25" customHeight="1" x14ac:dyDescent="0.2">
      <c r="A172" s="125" t="s">
        <v>300</v>
      </c>
      <c r="B172" s="142" t="s">
        <v>301</v>
      </c>
      <c r="C172" s="100">
        <v>15</v>
      </c>
      <c r="D172" s="102">
        <v>80</v>
      </c>
      <c r="E172" s="100">
        <v>22</v>
      </c>
      <c r="F172" s="102">
        <v>77.3</v>
      </c>
      <c r="G172" s="100">
        <v>19</v>
      </c>
      <c r="H172" s="101">
        <v>73.7</v>
      </c>
      <c r="I172" s="134">
        <v>22</v>
      </c>
      <c r="J172" s="135">
        <v>86.4</v>
      </c>
      <c r="K172" s="134">
        <v>21</v>
      </c>
      <c r="L172" s="135">
        <v>81</v>
      </c>
      <c r="M172" s="96"/>
      <c r="N172" s="100">
        <v>14</v>
      </c>
      <c r="O172" s="102">
        <v>85.7</v>
      </c>
      <c r="P172" s="100">
        <v>22</v>
      </c>
      <c r="Q172" s="102">
        <v>100</v>
      </c>
      <c r="R172" s="100">
        <v>17</v>
      </c>
      <c r="S172" s="101">
        <v>100</v>
      </c>
      <c r="T172" s="134">
        <v>22</v>
      </c>
      <c r="U172" s="135">
        <v>100</v>
      </c>
      <c r="V172" s="134">
        <v>21</v>
      </c>
      <c r="W172" s="135">
        <v>85.7</v>
      </c>
      <c r="X172" s="136"/>
      <c r="Y172" s="136"/>
      <c r="Z172" s="136"/>
      <c r="AA172" s="136"/>
    </row>
    <row r="173" spans="1:27" ht="11.25" customHeight="1" x14ac:dyDescent="0.2">
      <c r="A173" s="125" t="s">
        <v>316</v>
      </c>
      <c r="B173" s="142" t="s">
        <v>317</v>
      </c>
      <c r="C173" s="100">
        <v>2217</v>
      </c>
      <c r="D173" s="102">
        <v>67.2</v>
      </c>
      <c r="E173" s="100">
        <v>2230</v>
      </c>
      <c r="F173" s="102">
        <v>72.5</v>
      </c>
      <c r="G173" s="100">
        <v>2244</v>
      </c>
      <c r="H173" s="101">
        <v>73.400000000000006</v>
      </c>
      <c r="I173" s="134">
        <v>2165</v>
      </c>
      <c r="J173" s="135">
        <v>70.099999999999994</v>
      </c>
      <c r="K173" s="134">
        <v>2204</v>
      </c>
      <c r="L173" s="135">
        <v>71</v>
      </c>
      <c r="M173" s="96"/>
      <c r="N173" s="100">
        <v>2209</v>
      </c>
      <c r="O173" s="102">
        <v>57.1</v>
      </c>
      <c r="P173" s="100">
        <v>2223</v>
      </c>
      <c r="Q173" s="102">
        <v>60.2</v>
      </c>
      <c r="R173" s="100">
        <v>2246</v>
      </c>
      <c r="S173" s="101">
        <v>61.3</v>
      </c>
      <c r="T173" s="134">
        <v>2171</v>
      </c>
      <c r="U173" s="135">
        <v>66.5</v>
      </c>
      <c r="V173" s="134">
        <v>2209</v>
      </c>
      <c r="W173" s="135">
        <v>68.2</v>
      </c>
      <c r="X173" s="136"/>
      <c r="Y173" s="136"/>
      <c r="Z173" s="136"/>
      <c r="AA173" s="136"/>
    </row>
    <row r="174" spans="1:27" ht="11.25" customHeight="1" x14ac:dyDescent="0.2">
      <c r="A174" s="125" t="s">
        <v>318</v>
      </c>
      <c r="B174" s="142" t="s">
        <v>319</v>
      </c>
      <c r="C174" s="100">
        <v>2908</v>
      </c>
      <c r="D174" s="102">
        <v>62.1</v>
      </c>
      <c r="E174" s="100">
        <v>2943</v>
      </c>
      <c r="F174" s="102">
        <v>68.7</v>
      </c>
      <c r="G174" s="100">
        <v>2794</v>
      </c>
      <c r="H174" s="101">
        <v>71.8</v>
      </c>
      <c r="I174" s="134">
        <v>2720</v>
      </c>
      <c r="J174" s="135">
        <v>69.7</v>
      </c>
      <c r="K174" s="134">
        <v>2772</v>
      </c>
      <c r="L174" s="135">
        <v>71.8</v>
      </c>
      <c r="M174" s="96"/>
      <c r="N174" s="100">
        <v>2910</v>
      </c>
      <c r="O174" s="102">
        <v>53.4</v>
      </c>
      <c r="P174" s="100">
        <v>2953</v>
      </c>
      <c r="Q174" s="102">
        <v>55.8</v>
      </c>
      <c r="R174" s="100">
        <v>2818</v>
      </c>
      <c r="S174" s="101">
        <v>59.8</v>
      </c>
      <c r="T174" s="134">
        <v>2743</v>
      </c>
      <c r="U174" s="135">
        <v>64.2</v>
      </c>
      <c r="V174" s="134">
        <v>2772</v>
      </c>
      <c r="W174" s="135">
        <v>68.5</v>
      </c>
      <c r="X174" s="136"/>
      <c r="Y174" s="136"/>
      <c r="Z174" s="136"/>
      <c r="AA174" s="136"/>
    </row>
    <row r="175" spans="1:27" ht="11.25" customHeight="1" x14ac:dyDescent="0.2">
      <c r="A175" s="125" t="s">
        <v>320</v>
      </c>
      <c r="B175" s="142" t="s">
        <v>321</v>
      </c>
      <c r="C175" s="100">
        <v>1653</v>
      </c>
      <c r="D175" s="102">
        <v>66.599999999999994</v>
      </c>
      <c r="E175" s="100">
        <v>1644</v>
      </c>
      <c r="F175" s="102">
        <v>68.599999999999994</v>
      </c>
      <c r="G175" s="100">
        <v>1561</v>
      </c>
      <c r="H175" s="101">
        <v>71.900000000000006</v>
      </c>
      <c r="I175" s="134">
        <v>1567</v>
      </c>
      <c r="J175" s="135">
        <v>70.599999999999994</v>
      </c>
      <c r="K175" s="134">
        <v>1608</v>
      </c>
      <c r="L175" s="135">
        <v>71.8</v>
      </c>
      <c r="M175" s="96"/>
      <c r="N175" s="100">
        <v>1654</v>
      </c>
      <c r="O175" s="102">
        <v>65.400000000000006</v>
      </c>
      <c r="P175" s="100">
        <v>1642</v>
      </c>
      <c r="Q175" s="102">
        <v>64.900000000000006</v>
      </c>
      <c r="R175" s="100">
        <v>1552</v>
      </c>
      <c r="S175" s="101">
        <v>61.4</v>
      </c>
      <c r="T175" s="134">
        <v>1557</v>
      </c>
      <c r="U175" s="135">
        <v>69.099999999999994</v>
      </c>
      <c r="V175" s="134">
        <v>1612</v>
      </c>
      <c r="W175" s="135">
        <v>71</v>
      </c>
      <c r="X175" s="136"/>
      <c r="Y175" s="136"/>
      <c r="Z175" s="136"/>
      <c r="AA175" s="136"/>
    </row>
    <row r="176" spans="1:27" ht="11.25" customHeight="1" x14ac:dyDescent="0.2">
      <c r="A176" s="125" t="s">
        <v>322</v>
      </c>
      <c r="B176" s="142" t="s">
        <v>323</v>
      </c>
      <c r="C176" s="100">
        <v>5566</v>
      </c>
      <c r="D176" s="102">
        <v>64.3</v>
      </c>
      <c r="E176" s="100">
        <v>5633</v>
      </c>
      <c r="F176" s="102">
        <v>69.900000000000006</v>
      </c>
      <c r="G176" s="100">
        <v>5322</v>
      </c>
      <c r="H176" s="101">
        <v>72.8</v>
      </c>
      <c r="I176" s="134">
        <v>5159</v>
      </c>
      <c r="J176" s="135">
        <v>64.5</v>
      </c>
      <c r="K176" s="134">
        <v>5410</v>
      </c>
      <c r="L176" s="135">
        <v>67.7</v>
      </c>
      <c r="M176" s="96"/>
      <c r="N176" s="100">
        <v>5574</v>
      </c>
      <c r="O176" s="102">
        <v>59.3</v>
      </c>
      <c r="P176" s="100">
        <v>5627</v>
      </c>
      <c r="Q176" s="102">
        <v>61.7</v>
      </c>
      <c r="R176" s="100">
        <v>5315</v>
      </c>
      <c r="S176" s="101">
        <v>61.9</v>
      </c>
      <c r="T176" s="134">
        <v>5161</v>
      </c>
      <c r="U176" s="135">
        <v>65.900000000000006</v>
      </c>
      <c r="V176" s="134">
        <v>5410</v>
      </c>
      <c r="W176" s="135">
        <v>70.900000000000006</v>
      </c>
      <c r="X176" s="136"/>
      <c r="Y176" s="136"/>
      <c r="Z176" s="136"/>
      <c r="AA176" s="136"/>
    </row>
    <row r="177" spans="1:27" ht="11.25" customHeight="1" x14ac:dyDescent="0.2">
      <c r="A177" s="125" t="s">
        <v>324</v>
      </c>
      <c r="B177" s="142" t="s">
        <v>325</v>
      </c>
      <c r="C177" s="100">
        <v>3056</v>
      </c>
      <c r="D177" s="102">
        <v>62.8</v>
      </c>
      <c r="E177" s="100">
        <v>3155</v>
      </c>
      <c r="F177" s="102">
        <v>67.400000000000006</v>
      </c>
      <c r="G177" s="100">
        <v>3174</v>
      </c>
      <c r="H177" s="101">
        <v>69.7</v>
      </c>
      <c r="I177" s="134">
        <v>3001</v>
      </c>
      <c r="J177" s="135">
        <v>66</v>
      </c>
      <c r="K177" s="134">
        <v>3044</v>
      </c>
      <c r="L177" s="135">
        <v>67.099999999999994</v>
      </c>
      <c r="M177" s="96"/>
      <c r="N177" s="100">
        <v>3056</v>
      </c>
      <c r="O177" s="102">
        <v>58.7</v>
      </c>
      <c r="P177" s="100">
        <v>3159</v>
      </c>
      <c r="Q177" s="102">
        <v>64.7</v>
      </c>
      <c r="R177" s="100">
        <v>3171</v>
      </c>
      <c r="S177" s="101">
        <v>63.1</v>
      </c>
      <c r="T177" s="134">
        <v>2979</v>
      </c>
      <c r="U177" s="135">
        <v>66.900000000000006</v>
      </c>
      <c r="V177" s="134">
        <v>3050</v>
      </c>
      <c r="W177" s="135">
        <v>67.5</v>
      </c>
      <c r="X177" s="136"/>
      <c r="Y177" s="136"/>
      <c r="Z177" s="136"/>
      <c r="AA177" s="136"/>
    </row>
    <row r="178" spans="1:27" ht="11.25" customHeight="1" x14ac:dyDescent="0.2">
      <c r="A178" s="125" t="s">
        <v>326</v>
      </c>
      <c r="B178" s="142" t="s">
        <v>327</v>
      </c>
      <c r="C178" s="100">
        <v>2184</v>
      </c>
      <c r="D178" s="102">
        <v>64.8</v>
      </c>
      <c r="E178" s="100">
        <v>2122</v>
      </c>
      <c r="F178" s="102">
        <v>69.8</v>
      </c>
      <c r="G178" s="100">
        <v>2069</v>
      </c>
      <c r="H178" s="101">
        <v>70.900000000000006</v>
      </c>
      <c r="I178" s="134">
        <v>2168</v>
      </c>
      <c r="J178" s="135">
        <v>67.900000000000006</v>
      </c>
      <c r="K178" s="134">
        <v>2178</v>
      </c>
      <c r="L178" s="135">
        <v>67.7</v>
      </c>
      <c r="M178" s="96"/>
      <c r="N178" s="100">
        <v>2186</v>
      </c>
      <c r="O178" s="102">
        <v>49.5</v>
      </c>
      <c r="P178" s="100">
        <v>2129</v>
      </c>
      <c r="Q178" s="102">
        <v>53.1</v>
      </c>
      <c r="R178" s="100">
        <v>2085</v>
      </c>
      <c r="S178" s="101">
        <v>55.9</v>
      </c>
      <c r="T178" s="134">
        <v>2168</v>
      </c>
      <c r="U178" s="135">
        <v>58</v>
      </c>
      <c r="V178" s="134">
        <v>2195</v>
      </c>
      <c r="W178" s="135">
        <v>65.099999999999994</v>
      </c>
      <c r="X178" s="136"/>
      <c r="Y178" s="136"/>
      <c r="Z178" s="136"/>
      <c r="AA178" s="136"/>
    </row>
    <row r="179" spans="1:27" ht="11.25" customHeight="1" x14ac:dyDescent="0.2">
      <c r="A179" s="125" t="s">
        <v>328</v>
      </c>
      <c r="B179" s="142" t="s">
        <v>329</v>
      </c>
      <c r="C179" s="100">
        <v>1490</v>
      </c>
      <c r="D179" s="102">
        <v>65</v>
      </c>
      <c r="E179" s="100">
        <v>1500</v>
      </c>
      <c r="F179" s="102">
        <v>67.599999999999994</v>
      </c>
      <c r="G179" s="100">
        <v>1445</v>
      </c>
      <c r="H179" s="101">
        <v>73.8</v>
      </c>
      <c r="I179" s="134">
        <v>1389</v>
      </c>
      <c r="J179" s="135">
        <v>69.099999999999994</v>
      </c>
      <c r="K179" s="134">
        <v>1441</v>
      </c>
      <c r="L179" s="135">
        <v>71.900000000000006</v>
      </c>
      <c r="M179" s="96"/>
      <c r="N179" s="100">
        <v>1489</v>
      </c>
      <c r="O179" s="102">
        <v>61</v>
      </c>
      <c r="P179" s="100">
        <v>1504</v>
      </c>
      <c r="Q179" s="102">
        <v>63</v>
      </c>
      <c r="R179" s="100">
        <v>1448</v>
      </c>
      <c r="S179" s="101">
        <v>61.5</v>
      </c>
      <c r="T179" s="134">
        <v>1393</v>
      </c>
      <c r="U179" s="135">
        <v>67</v>
      </c>
      <c r="V179" s="134">
        <v>1444</v>
      </c>
      <c r="W179" s="135">
        <v>68</v>
      </c>
      <c r="X179" s="136"/>
      <c r="Y179" s="136"/>
      <c r="Z179" s="136"/>
      <c r="AA179" s="136"/>
    </row>
    <row r="180" spans="1:27" ht="11.25" customHeight="1" x14ac:dyDescent="0.2">
      <c r="A180" s="125" t="s">
        <v>330</v>
      </c>
      <c r="B180" s="142" t="s">
        <v>331</v>
      </c>
      <c r="C180" s="100">
        <v>4980</v>
      </c>
      <c r="D180" s="102">
        <v>70.900000000000006</v>
      </c>
      <c r="E180" s="100">
        <v>5145</v>
      </c>
      <c r="F180" s="102">
        <v>71.5</v>
      </c>
      <c r="G180" s="100">
        <v>4992</v>
      </c>
      <c r="H180" s="101">
        <v>73.8</v>
      </c>
      <c r="I180" s="134">
        <v>4847</v>
      </c>
      <c r="J180" s="135">
        <v>66.7</v>
      </c>
      <c r="K180" s="134">
        <v>5135</v>
      </c>
      <c r="L180" s="135">
        <v>69.7</v>
      </c>
      <c r="M180" s="96"/>
      <c r="N180" s="100">
        <v>4979</v>
      </c>
      <c r="O180" s="102">
        <v>65.5</v>
      </c>
      <c r="P180" s="100">
        <v>5147</v>
      </c>
      <c r="Q180" s="102">
        <v>66.599999999999994</v>
      </c>
      <c r="R180" s="100">
        <v>4979</v>
      </c>
      <c r="S180" s="101">
        <v>70.3</v>
      </c>
      <c r="T180" s="134">
        <v>4825</v>
      </c>
      <c r="U180" s="135">
        <v>70.7</v>
      </c>
      <c r="V180" s="134">
        <v>5143</v>
      </c>
      <c r="W180" s="135">
        <v>74.099999999999994</v>
      </c>
      <c r="X180" s="136"/>
      <c r="Y180" s="136"/>
      <c r="Z180" s="136"/>
      <c r="AA180" s="136"/>
    </row>
    <row r="181" spans="1:27" ht="11.25" customHeight="1" x14ac:dyDescent="0.2">
      <c r="A181" s="26"/>
      <c r="B181" s="142"/>
      <c r="C181" s="100"/>
      <c r="D181" s="102"/>
      <c r="E181" s="100"/>
      <c r="F181" s="102"/>
      <c r="G181" s="100"/>
      <c r="H181" s="101"/>
      <c r="I181" s="82"/>
      <c r="J181" s="82"/>
      <c r="K181" s="82"/>
      <c r="L181" s="82"/>
      <c r="M181" s="96"/>
      <c r="N181" s="100"/>
      <c r="O181" s="102"/>
      <c r="P181" s="100"/>
      <c r="Q181" s="102"/>
      <c r="R181" s="100"/>
      <c r="S181" s="101"/>
      <c r="V181" s="104"/>
      <c r="W181" s="104"/>
      <c r="X181" s="136"/>
      <c r="Y181" s="136"/>
      <c r="Z181" s="136"/>
      <c r="AA181" s="136"/>
    </row>
    <row r="182" spans="1:27" ht="22.5" customHeight="1" x14ac:dyDescent="0.2">
      <c r="A182" s="32" t="s">
        <v>443</v>
      </c>
      <c r="B182" s="33"/>
      <c r="C182" s="106">
        <v>559641</v>
      </c>
      <c r="D182" s="195">
        <v>65.3</v>
      </c>
      <c r="E182" s="106">
        <v>560246</v>
      </c>
      <c r="F182" s="195">
        <v>69.900000000000006</v>
      </c>
      <c r="G182" s="106">
        <v>543785</v>
      </c>
      <c r="H182" s="108">
        <v>72</v>
      </c>
      <c r="I182" s="106">
        <v>540934</v>
      </c>
      <c r="J182" s="108">
        <v>68.2</v>
      </c>
      <c r="K182" s="106">
        <v>552867</v>
      </c>
      <c r="L182" s="108">
        <v>70.5</v>
      </c>
      <c r="M182" s="96"/>
      <c r="N182" s="106">
        <v>561320</v>
      </c>
      <c r="O182" s="195">
        <v>58.4</v>
      </c>
      <c r="P182" s="106">
        <v>561923</v>
      </c>
      <c r="Q182" s="195">
        <v>62.5</v>
      </c>
      <c r="R182" s="106">
        <v>545365</v>
      </c>
      <c r="S182" s="108">
        <v>64.900000000000006</v>
      </c>
      <c r="T182" s="106">
        <v>542617</v>
      </c>
      <c r="U182" s="108">
        <v>68.7</v>
      </c>
      <c r="V182" s="106">
        <v>555076</v>
      </c>
      <c r="W182" s="108">
        <v>70.8</v>
      </c>
      <c r="X182" s="136"/>
      <c r="Y182" s="136"/>
      <c r="Z182" s="136"/>
      <c r="AA182" s="136"/>
    </row>
    <row r="183" spans="1:27" ht="11.25" customHeight="1" x14ac:dyDescent="0.2">
      <c r="A183" s="116"/>
      <c r="B183" s="99"/>
      <c r="C183" s="106"/>
      <c r="D183" s="195"/>
      <c r="E183" s="106"/>
      <c r="F183" s="195"/>
      <c r="G183" s="106"/>
      <c r="H183" s="108"/>
      <c r="I183" s="201"/>
      <c r="J183" s="201"/>
      <c r="K183" s="106"/>
      <c r="L183" s="108"/>
      <c r="M183" s="96"/>
      <c r="N183" s="106"/>
      <c r="O183" s="195"/>
      <c r="P183" s="106"/>
      <c r="Q183" s="195"/>
      <c r="R183" s="106"/>
      <c r="S183" s="108"/>
      <c r="T183" s="199"/>
      <c r="U183" s="199"/>
      <c r="V183" s="228"/>
      <c r="W183" s="228"/>
      <c r="X183" s="136"/>
      <c r="Y183" s="136"/>
      <c r="Z183" s="136"/>
      <c r="AA183" s="136"/>
    </row>
    <row r="184" spans="1:27" s="98" customFormat="1" x14ac:dyDescent="0.2">
      <c r="A184" s="17" t="s">
        <v>375</v>
      </c>
      <c r="B184" s="33" t="s">
        <v>332</v>
      </c>
      <c r="C184" s="106">
        <v>566092</v>
      </c>
      <c r="D184" s="195">
        <v>64.7</v>
      </c>
      <c r="E184" s="200">
        <v>565890</v>
      </c>
      <c r="F184" s="108">
        <v>69.3</v>
      </c>
      <c r="G184" s="106">
        <v>544784</v>
      </c>
      <c r="H184" s="108">
        <v>71.8</v>
      </c>
      <c r="I184" s="106">
        <v>541963</v>
      </c>
      <c r="J184" s="108">
        <v>68</v>
      </c>
      <c r="K184" s="106">
        <v>553883</v>
      </c>
      <c r="L184" s="108">
        <v>70.400000000000006</v>
      </c>
      <c r="M184" s="96"/>
      <c r="N184" s="109">
        <v>567431</v>
      </c>
      <c r="O184" s="193">
        <v>57.9</v>
      </c>
      <c r="P184" s="197">
        <v>567188</v>
      </c>
      <c r="Q184" s="108">
        <v>62</v>
      </c>
      <c r="R184" s="202">
        <v>546155</v>
      </c>
      <c r="S184" s="194">
        <v>64.8</v>
      </c>
      <c r="T184" s="106">
        <v>543368</v>
      </c>
      <c r="U184" s="108">
        <v>68.7</v>
      </c>
      <c r="V184" s="106">
        <v>555973</v>
      </c>
      <c r="W184" s="108">
        <v>70.7</v>
      </c>
      <c r="X184" s="136"/>
      <c r="Y184" s="136"/>
      <c r="Z184" s="136"/>
      <c r="AA184" s="136"/>
    </row>
    <row r="185" spans="1:27" ht="11.25" customHeight="1" x14ac:dyDescent="0.2">
      <c r="A185" s="110"/>
      <c r="B185" s="110"/>
      <c r="C185" s="117"/>
      <c r="D185" s="118"/>
      <c r="E185" s="117"/>
      <c r="F185" s="118"/>
      <c r="G185" s="111"/>
      <c r="H185" s="112"/>
      <c r="I185" s="112"/>
      <c r="J185" s="112"/>
      <c r="K185" s="111"/>
      <c r="L185" s="137"/>
      <c r="M185" s="88"/>
      <c r="N185" s="117"/>
      <c r="O185" s="118"/>
      <c r="P185" s="117"/>
      <c r="Q185" s="118"/>
      <c r="R185" s="111"/>
      <c r="S185" s="112"/>
      <c r="T185" s="112"/>
      <c r="U185" s="112"/>
      <c r="V185" s="88"/>
      <c r="W185" s="88"/>
    </row>
    <row r="186" spans="1:27" ht="11.25" customHeight="1" x14ac:dyDescent="0.2">
      <c r="A186" s="104"/>
      <c r="B186" s="104"/>
      <c r="C186" s="148"/>
      <c r="D186" s="149"/>
      <c r="E186" s="148"/>
      <c r="F186" s="149"/>
      <c r="G186" s="93"/>
      <c r="H186" s="149"/>
      <c r="I186" s="149"/>
      <c r="J186" s="149"/>
      <c r="K186" s="149"/>
      <c r="L186" s="149"/>
      <c r="M186" s="104"/>
      <c r="N186" s="148"/>
      <c r="O186" s="149"/>
      <c r="P186" s="148"/>
      <c r="Q186" s="149"/>
      <c r="R186" s="93"/>
      <c r="S186" s="149"/>
      <c r="T186" s="149"/>
      <c r="U186" s="149"/>
      <c r="V186" s="104"/>
      <c r="W186" s="140" t="s">
        <v>371</v>
      </c>
    </row>
    <row r="187" spans="1:27" s="113" customFormat="1" ht="22.5" customHeight="1" x14ac:dyDescent="0.2">
      <c r="A187" s="463" t="s">
        <v>377</v>
      </c>
      <c r="B187" s="463"/>
      <c r="C187" s="463"/>
      <c r="D187" s="463"/>
      <c r="E187" s="463"/>
      <c r="F187" s="463"/>
      <c r="G187" s="463"/>
      <c r="H187" s="463"/>
      <c r="I187" s="463"/>
      <c r="J187" s="463"/>
      <c r="K187" s="463"/>
      <c r="L187" s="463"/>
      <c r="M187" s="206"/>
      <c r="N187" s="206"/>
      <c r="O187" s="206"/>
      <c r="P187" s="206"/>
      <c r="Q187" s="206"/>
      <c r="R187" s="206"/>
      <c r="S187" s="206"/>
      <c r="T187" s="206"/>
      <c r="U187" s="206"/>
      <c r="V187" s="206"/>
      <c r="W187" s="206"/>
    </row>
    <row r="188" spans="1:27" ht="11.25" customHeight="1" x14ac:dyDescent="0.2">
      <c r="A188" s="535" t="s">
        <v>357</v>
      </c>
      <c r="B188" s="535"/>
      <c r="C188" s="535"/>
      <c r="D188" s="535"/>
      <c r="E188" s="535"/>
      <c r="F188" s="535"/>
      <c r="G188" s="535"/>
      <c r="H188" s="535"/>
      <c r="I188" s="146"/>
      <c r="J188" s="146"/>
      <c r="K188" s="146"/>
      <c r="L188" s="146"/>
      <c r="M188" s="535"/>
      <c r="N188" s="535"/>
      <c r="O188" s="535"/>
      <c r="P188" s="535"/>
      <c r="Q188" s="535"/>
      <c r="R188" s="535"/>
      <c r="S188" s="535"/>
      <c r="T188" s="146"/>
      <c r="U188" s="146"/>
      <c r="V188" s="104"/>
      <c r="W188" s="104"/>
    </row>
    <row r="189" spans="1:27" ht="22.5" customHeight="1" x14ac:dyDescent="0.2">
      <c r="A189" s="504" t="s">
        <v>439</v>
      </c>
      <c r="B189" s="504"/>
      <c r="C189" s="504"/>
      <c r="D189" s="504"/>
      <c r="E189" s="504"/>
      <c r="F189" s="504"/>
      <c r="G189" s="504"/>
      <c r="H189" s="504"/>
      <c r="I189" s="504"/>
      <c r="J189" s="504"/>
      <c r="K189" s="504"/>
      <c r="L189" s="504"/>
      <c r="M189" s="205"/>
      <c r="N189" s="205"/>
      <c r="O189" s="205"/>
      <c r="P189" s="205"/>
      <c r="Q189" s="205"/>
      <c r="R189" s="205"/>
      <c r="S189" s="205"/>
      <c r="T189" s="205"/>
      <c r="U189" s="205"/>
      <c r="V189" s="205"/>
      <c r="W189" s="104"/>
    </row>
    <row r="190" spans="1:27" s="113" customFormat="1" ht="11.25" customHeight="1" x14ac:dyDescent="0.2">
      <c r="A190" s="535" t="s">
        <v>435</v>
      </c>
      <c r="B190" s="535"/>
      <c r="C190" s="535"/>
      <c r="D190" s="535"/>
      <c r="E190" s="535"/>
      <c r="F190" s="535"/>
      <c r="G190" s="149"/>
      <c r="H190" s="148"/>
      <c r="I190" s="148"/>
      <c r="J190" s="148"/>
      <c r="K190" s="136"/>
      <c r="L190" s="149"/>
      <c r="M190" s="149"/>
      <c r="N190" s="145"/>
      <c r="O190" s="148"/>
      <c r="P190" s="149"/>
      <c r="Q190" s="148"/>
      <c r="R190" s="149"/>
      <c r="S190" s="148"/>
      <c r="T190" s="148"/>
      <c r="U190" s="148"/>
      <c r="V190" s="145"/>
      <c r="W190" s="145"/>
    </row>
    <row r="191" spans="1:27" ht="11.25" customHeight="1" x14ac:dyDescent="0.2">
      <c r="A191" s="104"/>
      <c r="B191" s="104"/>
      <c r="C191" s="104"/>
      <c r="D191" s="148"/>
      <c r="E191" s="149"/>
      <c r="F191" s="148"/>
      <c r="G191" s="149"/>
      <c r="H191" s="148"/>
      <c r="I191" s="148"/>
      <c r="J191" s="148"/>
      <c r="K191" s="134"/>
      <c r="L191" s="134"/>
      <c r="M191" s="149"/>
      <c r="N191" s="104"/>
      <c r="O191" s="148"/>
      <c r="P191" s="149"/>
      <c r="Q191" s="148"/>
      <c r="R191" s="149"/>
      <c r="S191" s="148"/>
      <c r="T191" s="148"/>
      <c r="U191" s="148"/>
      <c r="V191" s="134"/>
      <c r="W191" s="134"/>
    </row>
    <row r="192" spans="1:27" ht="11.25" customHeight="1" x14ac:dyDescent="0.2">
      <c r="A192" s="3" t="s">
        <v>349</v>
      </c>
      <c r="B192" s="104"/>
      <c r="C192" s="104"/>
      <c r="D192" s="148"/>
      <c r="E192" s="149"/>
      <c r="F192" s="148"/>
      <c r="G192" s="149"/>
      <c r="H192" s="148"/>
      <c r="I192" s="148"/>
      <c r="J192" s="148"/>
      <c r="K192" s="148"/>
      <c r="L192" s="148"/>
      <c r="M192" s="149"/>
      <c r="N192" s="104"/>
      <c r="O192" s="148"/>
      <c r="P192" s="149"/>
      <c r="Q192" s="148"/>
      <c r="R192" s="149"/>
      <c r="S192" s="148"/>
      <c r="T192" s="148"/>
      <c r="U192" s="148"/>
      <c r="V192" s="104"/>
      <c r="W192" s="104"/>
    </row>
    <row r="198" spans="1:3" ht="12.75" x14ac:dyDescent="0.25">
      <c r="A198" s="104" t="s">
        <v>445</v>
      </c>
      <c r="B198" s="218" t="e">
        <f>VLOOKUP('Table 19'!#REF!,A199:B200,2,0)</f>
        <v>#REF!</v>
      </c>
      <c r="C198" s="219" t="e">
        <f>IF(B198=1,0,11)</f>
        <v>#REF!</v>
      </c>
    </row>
    <row r="199" spans="1:3" x14ac:dyDescent="0.2">
      <c r="A199" s="104" t="s">
        <v>7</v>
      </c>
      <c r="B199" s="218">
        <v>1</v>
      </c>
      <c r="C199" s="221"/>
    </row>
    <row r="200" spans="1:3" ht="12.75" x14ac:dyDescent="0.25">
      <c r="A200" s="104" t="s">
        <v>8</v>
      </c>
      <c r="B200" s="218">
        <v>2</v>
      </c>
      <c r="C200" s="222"/>
    </row>
  </sheetData>
  <mergeCells count="20">
    <mergeCell ref="A190:F190"/>
    <mergeCell ref="A188:H188"/>
    <mergeCell ref="M188:S188"/>
    <mergeCell ref="A187:L187"/>
    <mergeCell ref="A189:L189"/>
    <mergeCell ref="C5:L5"/>
    <mergeCell ref="N5:W5"/>
    <mergeCell ref="T6:U6"/>
    <mergeCell ref="A5:A7"/>
    <mergeCell ref="B5:B7"/>
    <mergeCell ref="A1:W1"/>
    <mergeCell ref="G6:H6"/>
    <mergeCell ref="N6:O6"/>
    <mergeCell ref="P6:Q6"/>
    <mergeCell ref="R6:S6"/>
    <mergeCell ref="K6:L6"/>
    <mergeCell ref="V6:W6"/>
    <mergeCell ref="C6:D6"/>
    <mergeCell ref="E6:F6"/>
    <mergeCell ref="I6:J6"/>
  </mergeCells>
  <phoneticPr fontId="22" type="noConversion"/>
  <conditionalFormatting sqref="A165:A180">
    <cfRule type="cellIs" dxfId="0" priority="1" stopIfTrue="1" operator="equal">
      <formula>"x"</formula>
    </cfRule>
  </conditionalFormatting>
  <pageMargins left="0.74803149606299213" right="0.74803149606299213" top="0.98425196850393704" bottom="0.98425196850393704" header="0.51181102362204722" footer="0.51181102362204722"/>
  <pageSetup paperSize="9" scale="64"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EA0CA3E416E484EB0CDF721F5401173" ma:contentTypeVersion="11" ma:contentTypeDescription="Create a new document." ma:contentTypeScope="" ma:versionID="4b6d71a95486935a1cf0605905b2bfe1">
  <xsd:schema xmlns:xsd="http://www.w3.org/2001/XMLSchema" xmlns:xs="http://www.w3.org/2001/XMLSchema" xmlns:p="http://schemas.microsoft.com/office/2006/metadata/properties" xmlns:ns2="12b962fe-1dfd-4659-866d-8dac05dab1ed" xmlns:ns3="d9593668-6d8f-4975-8732-cf3be1e5828f" targetNamespace="http://schemas.microsoft.com/office/2006/metadata/properties" ma:root="true" ma:fieldsID="8a693944d3481417d658899777724c2d" ns2:_="" ns3:_="">
    <xsd:import namespace="12b962fe-1dfd-4659-866d-8dac05dab1ed"/>
    <xsd:import namespace="d9593668-6d8f-4975-8732-cf3be1e5828f"/>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b962fe-1dfd-4659-866d-8dac05dab1ed"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ecf9a66-1c15-4d19-8064-ccd24a9f6bf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593668-6d8f-4975-8732-cf3be1e5828f"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5fbe8be-f8f8-4d72-b2f1-cd5eb49433f1}" ma:internalName="TaxCatchAll" ma:showField="CatchAllData" ma:web="d9593668-6d8f-4975-8732-cf3be1e582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9593668-6d8f-4975-8732-cf3be1e5828f"/>
    <ReferenceId xmlns="12b962fe-1dfd-4659-866d-8dac05dab1ed" xsi:nil="true"/>
    <lcf76f155ced4ddcb4097134ff3c332f xmlns="12b962fe-1dfd-4659-866d-8dac05dab1e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ECF6ECD-9002-485B-A5D6-391D4D662D7F}">
  <ds:schemaRefs>
    <ds:schemaRef ds:uri="http://schemas.microsoft.com/sharepoint/v3/contenttype/forms"/>
  </ds:schemaRefs>
</ds:datastoreItem>
</file>

<file path=customXml/itemProps2.xml><?xml version="1.0" encoding="utf-8"?>
<ds:datastoreItem xmlns:ds="http://schemas.openxmlformats.org/officeDocument/2006/customXml" ds:itemID="{0063D1EE-5F67-4917-860A-E2ED50BF23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b962fe-1dfd-4659-866d-8dac05dab1ed"/>
    <ds:schemaRef ds:uri="d9593668-6d8f-4975-8732-cf3be1e582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02F560-1A3D-41E3-B1BC-F271C2A224A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37</vt:i4>
      </vt:variant>
    </vt:vector>
  </HeadingPairs>
  <TitlesOfParts>
    <vt:vector size="60" baseType="lpstr">
      <vt:lpstr>Index</vt:lpstr>
      <vt:lpstr>Table 7</vt:lpstr>
      <vt:lpstr>Table 8</vt:lpstr>
      <vt:lpstr>Table 9</vt:lpstr>
      <vt:lpstr>Table 10a</vt:lpstr>
      <vt:lpstr>Table 10b</vt:lpstr>
      <vt:lpstr>Table 11</vt:lpstr>
      <vt:lpstr>Table 12</vt:lpstr>
      <vt:lpstr>Table 13</vt:lpstr>
      <vt:lpstr>Table 14</vt:lpstr>
      <vt:lpstr>Table 15</vt:lpstr>
      <vt:lpstr>Table 16 data</vt:lpstr>
      <vt:lpstr>Table 16</vt:lpstr>
      <vt:lpstr>GCSE Data Set - Girls</vt:lpstr>
      <vt:lpstr>GCSE Data Set - Boys</vt:lpstr>
      <vt:lpstr>Table 17</vt:lpstr>
      <vt:lpstr>Table 17 data</vt:lpstr>
      <vt:lpstr>Table 18</vt:lpstr>
      <vt:lpstr>Table 19</vt:lpstr>
      <vt:lpstr>Table 19 data</vt:lpstr>
      <vt:lpstr>Table 20</vt:lpstr>
      <vt:lpstr>Table 21</vt:lpstr>
      <vt:lpstr>Table 20 data</vt:lpstr>
      <vt:lpstr>EngMaths</vt:lpstr>
      <vt:lpstr>Gender</vt:lpstr>
      <vt:lpstr>'Table 10a'!Print_Area</vt:lpstr>
      <vt:lpstr>'Table 10b'!Print_Area</vt:lpstr>
      <vt:lpstr>'Table 11'!Print_Area</vt:lpstr>
      <vt:lpstr>'Table 12'!Print_Area</vt:lpstr>
      <vt:lpstr>'Table 13'!Print_Area</vt:lpstr>
      <vt:lpstr>'Table 14'!Print_Area</vt:lpstr>
      <vt:lpstr>'Table 15'!Print_Area</vt:lpstr>
      <vt:lpstr>'Table 16'!Print_Area</vt:lpstr>
      <vt:lpstr>'Table 17'!Print_Area</vt:lpstr>
      <vt:lpstr>'Table 17 data'!Print_Area</vt:lpstr>
      <vt:lpstr>'Table 18'!Print_Area</vt:lpstr>
      <vt:lpstr>'Table 19'!Print_Area</vt:lpstr>
      <vt:lpstr>'Table 19 data'!Print_Area</vt:lpstr>
      <vt:lpstr>'Table 20'!Print_Area</vt:lpstr>
      <vt:lpstr>'Table 20 data'!Print_Area</vt:lpstr>
      <vt:lpstr>'Table 21'!Print_Area</vt:lpstr>
      <vt:lpstr>'Table 7'!Print_Area</vt:lpstr>
      <vt:lpstr>'Table 8'!Print_Area</vt:lpstr>
      <vt:lpstr>'Table 9'!Print_Area</vt:lpstr>
      <vt:lpstr>'Table 10a'!Print_Titles</vt:lpstr>
      <vt:lpstr>'Table 10b'!Print_Titles</vt:lpstr>
      <vt:lpstr>'Table 16'!Print_Titles</vt:lpstr>
      <vt:lpstr>'Table 17'!Print_Titles</vt:lpstr>
      <vt:lpstr>'Table 17 data'!Print_Titles</vt:lpstr>
      <vt:lpstr>'Table 18'!Print_Titles</vt:lpstr>
      <vt:lpstr>'Table 19'!Print_Titles</vt:lpstr>
      <vt:lpstr>'Table 19 data'!Print_Titles</vt:lpstr>
      <vt:lpstr>'Table 20'!Print_Titles</vt:lpstr>
      <vt:lpstr>'Table 20 data'!Print_Titles</vt:lpstr>
      <vt:lpstr>'Table 21'!Print_Titles</vt:lpstr>
      <vt:lpstr>'Table 7'!Print_Titles</vt:lpstr>
      <vt:lpstr>'Table 8'!Print_Titles</vt:lpstr>
      <vt:lpstr>'Table 9'!Print_Titles</vt:lpstr>
      <vt:lpstr>T16Percentage</vt:lpstr>
      <vt:lpstr>Table17dropdown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Nelda D'Souza</dc:creator>
  <cp:lastModifiedBy>YSAIAH REYES</cp:lastModifiedBy>
  <cp:lastPrinted>2014-01-20T16:42:00Z</cp:lastPrinted>
  <dcterms:created xsi:type="dcterms:W3CDTF">2012-01-09T14:17:15Z</dcterms:created>
  <dcterms:modified xsi:type="dcterms:W3CDTF">2026-05-13T09:24:10Z</dcterms:modified>
</cp:coreProperties>
</file>